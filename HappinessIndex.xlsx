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0CEBC256-B56F-4779-871E-2C013F33C1D1}" xr6:coauthVersionLast="47" xr6:coauthVersionMax="47" xr10:uidLastSave="{00000000-0000-0000-0000-000000000000}"/>
  <bookViews>
    <workbookView xWindow="-93" yWindow="-93" windowWidth="19386" windowHeight="12186" tabRatio="917" activeTab="4" xr2:uid="{00000000-000D-0000-FFFF-FFFF00000000}"/>
  </bookViews>
  <sheets>
    <sheet name="HI2026" sheetId="11" r:id="rId1"/>
    <sheet name="HI2025" sheetId="7" r:id="rId2"/>
    <sheet name="HI2024" sheetId="1" r:id="rId3"/>
    <sheet name="Friends" sheetId="3" r:id="rId4"/>
    <sheet name="Movies2025" sheetId="8" r:id="rId5"/>
    <sheet name="Movies2024" sheetId="4" r:id="rId6"/>
    <sheet name="FlightDetails" sheetId="5" r:id="rId7"/>
    <sheet name="Sheet1" sheetId="6" r:id="rId8"/>
    <sheet name="Sheet2" sheetId="10" r:id="rId9"/>
    <sheet name="Table1" sheetId="9" r:id="rId10"/>
  </sheets>
  <definedNames>
    <definedName name="_xlnm._FilterDatabase" localSheetId="3" hidden="1">Friends!$G$2:$J$2</definedName>
    <definedName name="_xlnm._FilterDatabase" localSheetId="5" hidden="1">Movies2024!$A$2:$C$2</definedName>
    <definedName name="_xlnm._FilterDatabase" localSheetId="7" hidden="1">Sheet1!$D$13:$E$25</definedName>
    <definedName name="f">'HI2025'!$F$1048576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11" l="1"/>
  <c r="T7" i="11"/>
  <c r="AG16" i="11"/>
  <c r="AG15" i="11"/>
  <c r="D61" i="11"/>
  <c r="O7" i="11" s="1"/>
  <c r="H3" i="5"/>
  <c r="G26" i="5"/>
  <c r="R34" i="11"/>
  <c r="I26" i="5"/>
  <c r="T6" i="11"/>
  <c r="D33" i="11"/>
  <c r="O6" i="11" s="1"/>
  <c r="U5" i="11"/>
  <c r="T5" i="11"/>
  <c r="C8" i="6"/>
  <c r="C7" i="6"/>
  <c r="C6" i="6"/>
  <c r="C5" i="6"/>
  <c r="T8" i="11"/>
  <c r="T9" i="11"/>
  <c r="T10" i="11"/>
  <c r="T11" i="11"/>
  <c r="T12" i="11"/>
  <c r="T13" i="11"/>
  <c r="T14" i="11"/>
  <c r="T15" i="11"/>
  <c r="T16" i="11"/>
  <c r="BC366" i="11"/>
  <c r="BB366" i="11"/>
  <c r="BA366" i="11"/>
  <c r="AZ366" i="11"/>
  <c r="AY366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5" i="11"/>
  <c r="AY305" i="11"/>
  <c r="AX305" i="11"/>
  <c r="AW305" i="11"/>
  <c r="AV305" i="11"/>
  <c r="AU305" i="11"/>
  <c r="AT305" i="11"/>
  <c r="AS305" i="11"/>
  <c r="AR305" i="11"/>
  <c r="AQ305" i="11"/>
  <c r="AL305" i="11"/>
  <c r="BC304" i="11"/>
  <c r="BB304" i="11"/>
  <c r="BA304" i="11"/>
  <c r="AZ304" i="11"/>
  <c r="AY304" i="11"/>
  <c r="AX304" i="11"/>
  <c r="AW304" i="11"/>
  <c r="AV304" i="11"/>
  <c r="AU304" i="11"/>
  <c r="AT304" i="11"/>
  <c r="AS304" i="11"/>
  <c r="AR304" i="11"/>
  <c r="AQ304" i="11"/>
  <c r="AL304" i="11"/>
  <c r="BC303" i="11"/>
  <c r="BB303" i="11"/>
  <c r="BA303" i="11"/>
  <c r="AZ303" i="11"/>
  <c r="AY303" i="11"/>
  <c r="AX303" i="11"/>
  <c r="AW303" i="11"/>
  <c r="AV303" i="11"/>
  <c r="AU303" i="11"/>
  <c r="AT303" i="11"/>
  <c r="AS303" i="11"/>
  <c r="AR303" i="11"/>
  <c r="AQ303" i="11"/>
  <c r="AL303" i="11"/>
  <c r="BC302" i="11"/>
  <c r="BB302" i="11"/>
  <c r="BA302" i="11"/>
  <c r="AZ302" i="11"/>
  <c r="AY302" i="11"/>
  <c r="AX302" i="11"/>
  <c r="AW302" i="11"/>
  <c r="AV302" i="11"/>
  <c r="AU302" i="11"/>
  <c r="AT302" i="11"/>
  <c r="AS302" i="11"/>
  <c r="AR302" i="11"/>
  <c r="AQ302" i="11"/>
  <c r="AL302" i="11"/>
  <c r="BC301" i="11"/>
  <c r="BB301" i="11"/>
  <c r="BA301" i="11"/>
  <c r="AZ301" i="11"/>
  <c r="AY301" i="11"/>
  <c r="AX301" i="11"/>
  <c r="AW301" i="11"/>
  <c r="AV301" i="11"/>
  <c r="AU301" i="11"/>
  <c r="AT301" i="11"/>
  <c r="AS301" i="11"/>
  <c r="AR301" i="11"/>
  <c r="AQ301" i="11"/>
  <c r="AL301" i="11"/>
  <c r="BC300" i="11"/>
  <c r="BB300" i="11"/>
  <c r="BA300" i="11"/>
  <c r="AZ300" i="11"/>
  <c r="AY300" i="11"/>
  <c r="AX300" i="11"/>
  <c r="AW300" i="11"/>
  <c r="AV300" i="11"/>
  <c r="AU300" i="11"/>
  <c r="AT300" i="11"/>
  <c r="AS300" i="11"/>
  <c r="AR300" i="11"/>
  <c r="AQ300" i="11"/>
  <c r="AL300" i="11"/>
  <c r="BC299" i="11"/>
  <c r="BB299" i="11"/>
  <c r="BA299" i="11"/>
  <c r="AZ299" i="11"/>
  <c r="AY299" i="11"/>
  <c r="AX299" i="11"/>
  <c r="AW299" i="11"/>
  <c r="AV299" i="11"/>
  <c r="AU299" i="11"/>
  <c r="AT299" i="11"/>
  <c r="AS299" i="11"/>
  <c r="AR299" i="11"/>
  <c r="AQ299" i="11"/>
  <c r="AL299" i="11"/>
  <c r="BC298" i="11"/>
  <c r="BB298" i="11"/>
  <c r="BA298" i="11"/>
  <c r="AZ298" i="11"/>
  <c r="AY298" i="11"/>
  <c r="AX298" i="11"/>
  <c r="AW298" i="11"/>
  <c r="AV298" i="11"/>
  <c r="AU298" i="11"/>
  <c r="AT298" i="11"/>
  <c r="AS298" i="11"/>
  <c r="AR298" i="11"/>
  <c r="AQ298" i="11"/>
  <c r="AL298" i="11"/>
  <c r="BC297" i="11"/>
  <c r="BB297" i="11"/>
  <c r="BA297" i="11"/>
  <c r="AZ297" i="11"/>
  <c r="AY297" i="11"/>
  <c r="AX297" i="11"/>
  <c r="AW297" i="11"/>
  <c r="AV297" i="11"/>
  <c r="AU297" i="11"/>
  <c r="AT297" i="11"/>
  <c r="AS297" i="11"/>
  <c r="AR297" i="11"/>
  <c r="AQ297" i="11"/>
  <c r="AL297" i="11"/>
  <c r="BC296" i="11"/>
  <c r="BB296" i="11"/>
  <c r="BA296" i="11"/>
  <c r="AZ296" i="11"/>
  <c r="AY296" i="11"/>
  <c r="AX296" i="11"/>
  <c r="AW296" i="11"/>
  <c r="AV296" i="11"/>
  <c r="AU296" i="11"/>
  <c r="AT296" i="11"/>
  <c r="AS296" i="11"/>
  <c r="AR296" i="11"/>
  <c r="AQ296" i="11"/>
  <c r="AL296" i="11"/>
  <c r="BC295" i="11"/>
  <c r="BB295" i="11"/>
  <c r="BA295" i="11"/>
  <c r="AZ295" i="11"/>
  <c r="AY295" i="11"/>
  <c r="AX295" i="11"/>
  <c r="AW295" i="11"/>
  <c r="AV295" i="11"/>
  <c r="AU295" i="11"/>
  <c r="AT295" i="11"/>
  <c r="AS295" i="11"/>
  <c r="AR295" i="11"/>
  <c r="AQ295" i="11"/>
  <c r="AL295" i="11"/>
  <c r="BC294" i="11"/>
  <c r="BB294" i="11"/>
  <c r="BA294" i="11"/>
  <c r="AZ294" i="11"/>
  <c r="AY294" i="11"/>
  <c r="AX294" i="11"/>
  <c r="AW294" i="11"/>
  <c r="AV294" i="11"/>
  <c r="AU294" i="11"/>
  <c r="AT294" i="11"/>
  <c r="AS294" i="11"/>
  <c r="AR294" i="11"/>
  <c r="AQ294" i="11"/>
  <c r="AL294" i="11"/>
  <c r="BC293" i="11"/>
  <c r="BB293" i="11"/>
  <c r="BA293" i="11"/>
  <c r="AZ293" i="11"/>
  <c r="AY293" i="11"/>
  <c r="AX293" i="11"/>
  <c r="AW293" i="11"/>
  <c r="AV293" i="11"/>
  <c r="AU293" i="11"/>
  <c r="AT293" i="11"/>
  <c r="AS293" i="11"/>
  <c r="AR293" i="11"/>
  <c r="AQ293" i="11"/>
  <c r="AL293" i="11"/>
  <c r="BC292" i="11"/>
  <c r="BB292" i="11"/>
  <c r="BA292" i="11"/>
  <c r="AZ292" i="11"/>
  <c r="AY292" i="11"/>
  <c r="AX292" i="11"/>
  <c r="AW292" i="11"/>
  <c r="AV292" i="11"/>
  <c r="AU292" i="11"/>
  <c r="AT292" i="11"/>
  <c r="AS292" i="11"/>
  <c r="AR292" i="11"/>
  <c r="AQ292" i="11"/>
  <c r="AL292" i="11"/>
  <c r="BC291" i="11"/>
  <c r="BB291" i="11"/>
  <c r="BA291" i="11"/>
  <c r="AZ291" i="11"/>
  <c r="AY291" i="11"/>
  <c r="AX291" i="11"/>
  <c r="AW291" i="11"/>
  <c r="AV291" i="11"/>
  <c r="AU291" i="11"/>
  <c r="AT291" i="11"/>
  <c r="AS291" i="11"/>
  <c r="AR291" i="11"/>
  <c r="AQ291" i="11"/>
  <c r="AL291" i="11"/>
  <c r="BC290" i="11"/>
  <c r="BB290" i="11"/>
  <c r="BA290" i="11"/>
  <c r="AZ290" i="11"/>
  <c r="AY290" i="11"/>
  <c r="AX290" i="11"/>
  <c r="AW290" i="11"/>
  <c r="AV290" i="11"/>
  <c r="AU290" i="11"/>
  <c r="AT290" i="11"/>
  <c r="AS290" i="11"/>
  <c r="AR290" i="11"/>
  <c r="AQ290" i="11"/>
  <c r="AL290" i="11"/>
  <c r="BC289" i="11"/>
  <c r="BB289" i="11"/>
  <c r="BA289" i="11"/>
  <c r="AZ289" i="11"/>
  <c r="AY289" i="11"/>
  <c r="AX289" i="11"/>
  <c r="AW289" i="11"/>
  <c r="AV289" i="11"/>
  <c r="AU289" i="11"/>
  <c r="AT289" i="11"/>
  <c r="AS289" i="11"/>
  <c r="AR289" i="11"/>
  <c r="AQ289" i="11"/>
  <c r="AL289" i="11"/>
  <c r="BC288" i="11"/>
  <c r="BB288" i="11"/>
  <c r="BA288" i="11"/>
  <c r="AZ288" i="11"/>
  <c r="AY288" i="11"/>
  <c r="AX288" i="11"/>
  <c r="AW288" i="11"/>
  <c r="AV288" i="11"/>
  <c r="AU288" i="11"/>
  <c r="AT288" i="11"/>
  <c r="AS288" i="11"/>
  <c r="AR288" i="11"/>
  <c r="AQ288" i="11"/>
  <c r="AL288" i="11"/>
  <c r="BC287" i="11"/>
  <c r="BB287" i="11"/>
  <c r="BA287" i="11"/>
  <c r="AZ287" i="11"/>
  <c r="AY287" i="11"/>
  <c r="AX287" i="11"/>
  <c r="AW287" i="11"/>
  <c r="AV287" i="11"/>
  <c r="AU287" i="11"/>
  <c r="AT287" i="11"/>
  <c r="AS287" i="11"/>
  <c r="AR287" i="11"/>
  <c r="AQ287" i="11"/>
  <c r="AL287" i="11"/>
  <c r="BC286" i="11"/>
  <c r="BB286" i="11"/>
  <c r="BA286" i="11"/>
  <c r="AZ286" i="11"/>
  <c r="AY286" i="11"/>
  <c r="AX286" i="11"/>
  <c r="AW286" i="11"/>
  <c r="AV286" i="11"/>
  <c r="AU286" i="11"/>
  <c r="AT286" i="11"/>
  <c r="AS286" i="11"/>
  <c r="AR286" i="11"/>
  <c r="AQ286" i="11"/>
  <c r="AL286" i="11"/>
  <c r="BC285" i="11"/>
  <c r="BB285" i="11"/>
  <c r="BA285" i="11"/>
  <c r="AZ285" i="11"/>
  <c r="AY285" i="11"/>
  <c r="AX285" i="11"/>
  <c r="AW285" i="11"/>
  <c r="AV285" i="11"/>
  <c r="AU285" i="11"/>
  <c r="AT285" i="11"/>
  <c r="AS285" i="11"/>
  <c r="AR285" i="11"/>
  <c r="AQ285" i="11"/>
  <c r="AL285" i="11"/>
  <c r="BC284" i="11"/>
  <c r="BB284" i="11"/>
  <c r="BA284" i="11"/>
  <c r="AZ284" i="11"/>
  <c r="AY284" i="11"/>
  <c r="AX284" i="11"/>
  <c r="AW284" i="11"/>
  <c r="AV284" i="11"/>
  <c r="AU284" i="11"/>
  <c r="AT284" i="11"/>
  <c r="AS284" i="11"/>
  <c r="AR284" i="11"/>
  <c r="AQ284" i="11"/>
  <c r="AL284" i="11"/>
  <c r="BC283" i="11"/>
  <c r="BB283" i="11"/>
  <c r="BA283" i="11"/>
  <c r="AZ283" i="11"/>
  <c r="AY283" i="11"/>
  <c r="AX283" i="11"/>
  <c r="AW283" i="11"/>
  <c r="AV283" i="11"/>
  <c r="AU283" i="11"/>
  <c r="AT283" i="11"/>
  <c r="AS283" i="11"/>
  <c r="AR283" i="11"/>
  <c r="AQ283" i="11"/>
  <c r="AL283" i="11"/>
  <c r="BC282" i="11"/>
  <c r="BB282" i="11"/>
  <c r="BA282" i="11"/>
  <c r="AZ282" i="11"/>
  <c r="AY282" i="11"/>
  <c r="AX282" i="11"/>
  <c r="AW282" i="11"/>
  <c r="AV282" i="11"/>
  <c r="AU282" i="11"/>
  <c r="AT282" i="11"/>
  <c r="AS282" i="11"/>
  <c r="AR282" i="11"/>
  <c r="AQ282" i="11"/>
  <c r="AL282" i="11"/>
  <c r="BC281" i="11"/>
  <c r="BB281" i="11"/>
  <c r="BA281" i="11"/>
  <c r="AZ281" i="11"/>
  <c r="AY281" i="11"/>
  <c r="AX281" i="11"/>
  <c r="AW281" i="11"/>
  <c r="AV281" i="11"/>
  <c r="AU281" i="11"/>
  <c r="AT281" i="11"/>
  <c r="AS281" i="11"/>
  <c r="AR281" i="11"/>
  <c r="AQ281" i="11"/>
  <c r="AL281" i="11"/>
  <c r="BC280" i="11"/>
  <c r="BB280" i="11"/>
  <c r="BA280" i="11"/>
  <c r="AZ280" i="11"/>
  <c r="AY280" i="11"/>
  <c r="AX280" i="11"/>
  <c r="AW280" i="11"/>
  <c r="AV280" i="11"/>
  <c r="AU280" i="11"/>
  <c r="AT280" i="11"/>
  <c r="AS280" i="11"/>
  <c r="AR280" i="11"/>
  <c r="AQ280" i="11"/>
  <c r="AL280" i="11"/>
  <c r="BC279" i="11"/>
  <c r="BB279" i="11"/>
  <c r="BA279" i="11"/>
  <c r="AZ279" i="11"/>
  <c r="AY279" i="11"/>
  <c r="AX279" i="11"/>
  <c r="AW279" i="11"/>
  <c r="AV279" i="11"/>
  <c r="AU279" i="11"/>
  <c r="AT279" i="11"/>
  <c r="AS279" i="11"/>
  <c r="AR279" i="11"/>
  <c r="AQ279" i="11"/>
  <c r="AL279" i="11"/>
  <c r="BC278" i="11"/>
  <c r="BB278" i="11"/>
  <c r="BA278" i="11"/>
  <c r="AZ278" i="11"/>
  <c r="AY278" i="11"/>
  <c r="AX278" i="11"/>
  <c r="AW278" i="11"/>
  <c r="AV278" i="11"/>
  <c r="AU278" i="11"/>
  <c r="AT278" i="11"/>
  <c r="AS278" i="11"/>
  <c r="AR278" i="11"/>
  <c r="AQ278" i="11"/>
  <c r="AL278" i="11"/>
  <c r="BC277" i="11"/>
  <c r="BB277" i="11"/>
  <c r="BA277" i="11"/>
  <c r="AZ277" i="11"/>
  <c r="AY277" i="11"/>
  <c r="AX277" i="11"/>
  <c r="AW277" i="11"/>
  <c r="AV277" i="11"/>
  <c r="AU277" i="11"/>
  <c r="AT277" i="11"/>
  <c r="AS277" i="11"/>
  <c r="AR277" i="11"/>
  <c r="AQ277" i="11"/>
  <c r="AL277" i="11"/>
  <c r="BC276" i="11"/>
  <c r="BB276" i="11"/>
  <c r="BA276" i="11"/>
  <c r="AZ276" i="11"/>
  <c r="AY276" i="11"/>
  <c r="AX276" i="11"/>
  <c r="AW276" i="11"/>
  <c r="AV276" i="11"/>
  <c r="AU276" i="11"/>
  <c r="AT276" i="11"/>
  <c r="AS276" i="11"/>
  <c r="AR276" i="11"/>
  <c r="AQ276" i="11"/>
  <c r="AL276" i="11"/>
  <c r="BC275" i="11"/>
  <c r="BB275" i="11"/>
  <c r="BA275" i="11"/>
  <c r="AZ275" i="11"/>
  <c r="AY275" i="11"/>
  <c r="AX275" i="11"/>
  <c r="AW275" i="11"/>
  <c r="AV275" i="11"/>
  <c r="AU275" i="11"/>
  <c r="AT275" i="11"/>
  <c r="AS275" i="11"/>
  <c r="AR275" i="11"/>
  <c r="AQ275" i="11"/>
  <c r="AL275" i="11"/>
  <c r="BC274" i="11"/>
  <c r="BB274" i="11"/>
  <c r="BA274" i="11"/>
  <c r="AZ274" i="11"/>
  <c r="AY274" i="11"/>
  <c r="AX274" i="11"/>
  <c r="AW274" i="11"/>
  <c r="AV274" i="11"/>
  <c r="AU274" i="11"/>
  <c r="AT274" i="11"/>
  <c r="AS274" i="11"/>
  <c r="AR274" i="11"/>
  <c r="AQ274" i="11"/>
  <c r="AL274" i="11"/>
  <c r="BC273" i="11"/>
  <c r="BB273" i="11"/>
  <c r="BA273" i="11"/>
  <c r="AZ273" i="11"/>
  <c r="AY273" i="11"/>
  <c r="AX273" i="11"/>
  <c r="AW273" i="11"/>
  <c r="AV273" i="11"/>
  <c r="AU273" i="11"/>
  <c r="AT273" i="11"/>
  <c r="AS273" i="11"/>
  <c r="AR273" i="11"/>
  <c r="AQ273" i="11"/>
  <c r="AL273" i="11"/>
  <c r="BC272" i="11"/>
  <c r="BB272" i="11"/>
  <c r="BA272" i="11"/>
  <c r="AZ272" i="11"/>
  <c r="AY272" i="11"/>
  <c r="AX272" i="11"/>
  <c r="AW272" i="11"/>
  <c r="AV272" i="11"/>
  <c r="AU272" i="11"/>
  <c r="AT272" i="11"/>
  <c r="AS272" i="11"/>
  <c r="AR272" i="11"/>
  <c r="AQ272" i="11"/>
  <c r="AL272" i="11"/>
  <c r="BC271" i="11"/>
  <c r="BB271" i="11"/>
  <c r="BA271" i="11"/>
  <c r="AZ271" i="11"/>
  <c r="AY271" i="11"/>
  <c r="AX271" i="11"/>
  <c r="AW271" i="11"/>
  <c r="AV271" i="11"/>
  <c r="AU271" i="11"/>
  <c r="AT271" i="11"/>
  <c r="AS271" i="11"/>
  <c r="AR271" i="11"/>
  <c r="AQ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L35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L34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L33" i="11"/>
  <c r="BC32" i="11"/>
  <c r="BB32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L32" i="11"/>
  <c r="BC31" i="11"/>
  <c r="BB31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BC30" i="11"/>
  <c r="BB30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BC29" i="11"/>
  <c r="BB29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BC28" i="11"/>
  <c r="BB28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BC27" i="11"/>
  <c r="BB27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BC26" i="11"/>
  <c r="BB26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BC25" i="11"/>
  <c r="BB25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BC24" i="11"/>
  <c r="BB24" i="11"/>
  <c r="BA24" i="11"/>
  <c r="AZ24" i="11"/>
  <c r="AY24" i="11"/>
  <c r="AX24" i="11"/>
  <c r="AW24" i="11"/>
  <c r="AV24" i="11"/>
  <c r="AU24" i="11"/>
  <c r="AT24" i="11"/>
  <c r="AR24" i="11"/>
  <c r="AQ24" i="11"/>
  <c r="AP24" i="11"/>
  <c r="AI24" i="11"/>
  <c r="BC23" i="11"/>
  <c r="BB23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BC22" i="11"/>
  <c r="BB22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BC21" i="11"/>
  <c r="BB21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L21" i="11"/>
  <c r="AJ21" i="11"/>
  <c r="AI21" i="11"/>
  <c r="BC20" i="11"/>
  <c r="BB20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L20" i="11"/>
  <c r="AJ20" i="11"/>
  <c r="AI20" i="11"/>
  <c r="BC19" i="11"/>
  <c r="BB19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L19" i="11"/>
  <c r="AI19" i="11"/>
  <c r="BC18" i="11"/>
  <c r="BB18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L18" i="11"/>
  <c r="AI18" i="11"/>
  <c r="BC17" i="11"/>
  <c r="BB17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L17" i="11"/>
  <c r="AI17" i="11"/>
  <c r="BC16" i="11"/>
  <c r="BB16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L16" i="11"/>
  <c r="AI16" i="11"/>
  <c r="V16" i="11"/>
  <c r="U16" i="11"/>
  <c r="S16" i="11"/>
  <c r="R16" i="11"/>
  <c r="Q16" i="11"/>
  <c r="BC15" i="11"/>
  <c r="BB15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L15" i="11"/>
  <c r="AI15" i="11"/>
  <c r="V15" i="11"/>
  <c r="U15" i="11"/>
  <c r="S15" i="11"/>
  <c r="R15" i="11"/>
  <c r="Q15" i="11"/>
  <c r="BC14" i="11"/>
  <c r="BB14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L14" i="11"/>
  <c r="AI14" i="11"/>
  <c r="AG14" i="11"/>
  <c r="V14" i="11"/>
  <c r="U14" i="11"/>
  <c r="S14" i="11"/>
  <c r="R14" i="11"/>
  <c r="Q14" i="11"/>
  <c r="BC13" i="11"/>
  <c r="BB13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L13" i="11"/>
  <c r="AJ13" i="11"/>
  <c r="AI13" i="11"/>
  <c r="V13" i="11"/>
  <c r="U13" i="11"/>
  <c r="S13" i="11"/>
  <c r="R13" i="11"/>
  <c r="Q13" i="11"/>
  <c r="BC12" i="11"/>
  <c r="BB12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V12" i="11"/>
  <c r="U12" i="11"/>
  <c r="S12" i="11"/>
  <c r="R12" i="11"/>
  <c r="Q12" i="11"/>
  <c r="BC11" i="11"/>
  <c r="BB11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V11" i="11"/>
  <c r="U11" i="11"/>
  <c r="S11" i="11"/>
  <c r="R11" i="11"/>
  <c r="Q11" i="11"/>
  <c r="BC10" i="11"/>
  <c r="BB10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V10" i="11"/>
  <c r="U10" i="11"/>
  <c r="S10" i="11"/>
  <c r="R10" i="11"/>
  <c r="Q10" i="11"/>
  <c r="L10" i="11"/>
  <c r="AK19" i="11" s="1"/>
  <c r="BC9" i="11"/>
  <c r="BB9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V9" i="11"/>
  <c r="U9" i="11"/>
  <c r="S9" i="11"/>
  <c r="R9" i="11"/>
  <c r="Q9" i="11"/>
  <c r="L9" i="11"/>
  <c r="AK18" i="11" s="1"/>
  <c r="BC8" i="11"/>
  <c r="BB8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V8" i="11"/>
  <c r="U8" i="11"/>
  <c r="S8" i="11"/>
  <c r="R8" i="11"/>
  <c r="Q8" i="11"/>
  <c r="L8" i="11"/>
  <c r="AK17" i="11" s="1"/>
  <c r="BC7" i="11"/>
  <c r="BB7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V7" i="11"/>
  <c r="U7" i="11"/>
  <c r="S7" i="11"/>
  <c r="R7" i="11"/>
  <c r="Q7" i="11"/>
  <c r="L7" i="11"/>
  <c r="AK16" i="11" s="1"/>
  <c r="BC6" i="11"/>
  <c r="BB6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V6" i="11"/>
  <c r="U6" i="11"/>
  <c r="S6" i="11"/>
  <c r="R6" i="11"/>
  <c r="Q6" i="11"/>
  <c r="L6" i="11"/>
  <c r="AK15" i="11" s="1"/>
  <c r="BC5" i="11"/>
  <c r="BB5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V5" i="11"/>
  <c r="S5" i="11"/>
  <c r="R5" i="11"/>
  <c r="Q5" i="11"/>
  <c r="L5" i="11"/>
  <c r="AK14" i="11" s="1"/>
  <c r="BC4" i="11"/>
  <c r="BB4" i="11"/>
  <c r="BA4" i="11"/>
  <c r="AZ4" i="11"/>
  <c r="AY4" i="11"/>
  <c r="AX4" i="11"/>
  <c r="AW4" i="11"/>
  <c r="AV4" i="11"/>
  <c r="AU4" i="11"/>
  <c r="AT4" i="11"/>
  <c r="AS4" i="11"/>
  <c r="AR4" i="11"/>
  <c r="AQ4" i="11"/>
  <c r="AP4" i="11"/>
  <c r="BC3" i="11"/>
  <c r="BB3" i="11"/>
  <c r="BA3" i="11"/>
  <c r="AZ3" i="11"/>
  <c r="AY3" i="11"/>
  <c r="AX3" i="11"/>
  <c r="AW3" i="11"/>
  <c r="AV3" i="11"/>
  <c r="AU3" i="11"/>
  <c r="AT3" i="11"/>
  <c r="AS3" i="11"/>
  <c r="AR3" i="11"/>
  <c r="AQ3" i="11"/>
  <c r="AP3" i="11"/>
  <c r="BC2" i="11"/>
  <c r="BB2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E2" i="11"/>
  <c r="O5" i="1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0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W5" i="11" l="1"/>
  <c r="L11" i="11"/>
  <c r="L13" i="11" s="1"/>
  <c r="P5" i="11"/>
  <c r="U13" i="7"/>
  <c r="X12" i="10"/>
  <c r="X13" i="10" s="1"/>
  <c r="D9" i="10"/>
  <c r="F4" i="10" s="1"/>
  <c r="K11" i="10" s="1"/>
  <c r="M11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<sst xmlns="http://schemas.openxmlformats.org/spreadsheetml/2006/main" count="2061" uniqueCount="524">
  <si>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</si>
  <si>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</si>
  <si>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</si>
  <si>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</si>
  <si>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</si>
  <si>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</si>
  <si>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</si>
  <si>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</si>
  <si>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</si>
  <si>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</si>
  <si>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</si>
  <si>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</si>
  <si>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</si>
  <si>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</si>
  <si>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</si>
  <si>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</si>
  <si>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</si>
  <si>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</si>
  <si>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</si>
  <si>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</si>
  <si>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</si>
  <si>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</si>
  <si>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</si>
  <si>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</si>
  <si>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</si>
  <si>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</si>
  <si>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</si>
  <si>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</si>
  <si>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</si>
  <si>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</si>
  <si>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</si>
  <si>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</si>
  <si>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</si>
  <si>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</si>
  <si>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</si>
  <si>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</si>
  <si>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</si>
  <si>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</si>
  <si>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</si>
  <si>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</si>
  <si>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</si>
  <si>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</si>
  <si>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</si>
  <si>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</si>
  <si>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</si>
  <si>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</si>
  <si>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</si>
  <si>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</si>
  <si>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</si>
  <si>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</si>
  <si>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</si>
  <si>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</si>
  <si>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</si>
  <si>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</si>
  <si>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</si>
  <si>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</si>
  <si>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</si>
  <si>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</si>
  <si>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</si>
  <si>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</si>
  <si>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</si>
  <si>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</si>
  <si>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</si>
  <si>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</si>
  <si>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</si>
  <si>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</si>
  <si>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</si>
  <si>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</si>
  <si>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</si>
  <si>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</si>
  <si>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</si>
  <si>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</si>
  <si>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</si>
  <si>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</si>
  <si>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</si>
  <si>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</si>
  <si>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</si>
  <si>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</si>
  <si>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</si>
  <si>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</si>
  <si>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</si>
  <si>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</si>
  <si>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</si>
  <si>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</si>
  <si>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</si>
  <si>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</si>
  <si>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</si>
  <si>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</si>
  <si>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</si>
  <si>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</si>
  <si>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</si>
  <si>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</si>
  <si>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</si>
  <si>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</si>
  <si>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</si>
  <si>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</si>
  <si>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</si>
  <si>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</si>
  <si>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</si>
  <si>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</si>
  <si>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</si>
  <si>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</si>
  <si>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</si>
  <si>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</si>
  <si>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</si>
  <si>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</si>
  <si>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</si>
  <si>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</si>
  <si>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</si>
  <si>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</si>
  <si>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</si>
  <si>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</si>
  <si>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</si>
  <si>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</si>
  <si>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</si>
  <si>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</si>
  <si>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</si>
  <si>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</si>
  <si>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</si>
  <si>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</si>
  <si>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</si>
  <si>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</si>
  <si>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</si>
  <si>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</si>
  <si>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</si>
  <si>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</si>
  <si>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</si>
  <si>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</si>
  <si>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</si>
  <si>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</si>
  <si>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</si>
  <si>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</si>
  <si>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</si>
  <si>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</si>
  <si>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</si>
  <si>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</si>
  <si>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</si>
  <si>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</si>
  <si>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</si>
  <si>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</si>
  <si>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</si>
  <si>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</si>
  <si>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</si>
  <si>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</si>
  <si>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</si>
  <si>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</si>
  <si>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</si>
  <si>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</si>
  <si>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</si>
  <si>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</si>
  <si>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</si>
  <si>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</si>
  <si>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</si>
  <si>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</si>
  <si>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</si>
  <si>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</si>
  <si>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</si>
  <si>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</si>
  <si>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</si>
  <si>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</si>
  <si>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</si>
  <si>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</si>
  <si>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</si>
  <si>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</si>
  <si>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</si>
  <si>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</si>
  <si>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</si>
  <si>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</si>
  <si>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</si>
  <si>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</si>
  <si>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</si>
  <si>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</si>
  <si>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</si>
  <si>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</si>
  <si>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</si>
  <si>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</si>
  <si>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</si>
  <si>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</si>
  <si>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</si>
  <si>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</si>
  <si>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</si>
  <si>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</si>
  <si>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</si>
  <si>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</si>
  <si>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</si>
  <si>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</si>
  <si>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</si>
  <si>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</si>
  <si>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</si>
  <si>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</si>
  <si>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</si>
  <si>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</si>
  <si>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</si>
  <si>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</si>
  <si>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</si>
  <si>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</si>
  <si>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</si>
  <si>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</si>
  <si>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</si>
  <si>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</si>
  <si>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</si>
  <si>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</si>
  <si>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</si>
  <si>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</si>
  <si>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</si>
  <si>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</si>
  <si>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</si>
  <si>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</si>
  <si>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</si>
  <si>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</si>
  <si>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</si>
  <si>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</si>
  <si>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</si>
  <si>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</si>
  <si>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</si>
  <si>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</si>
  <si>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</si>
  <si>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</si>
  <si>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</si>
  <si>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</si>
  <si>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</si>
  <si>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</si>
  <si>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</si>
  <si>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</si>
  <si>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</si>
  <si>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</si>
  <si>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</si>
  <si>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</si>
  <si>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</si>
  <si>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</si>
  <si>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</si>
  <si>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</si>
  <si>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</si>
  <si>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</si>
  <si>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</si>
  <si>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</si>
  <si>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</si>
  <si>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</si>
  <si>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</si>
  <si>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</si>
  <si>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</si>
  <si>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</si>
  <si>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</si>
  <si>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</si>
  <si>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</si>
  <si>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</si>
  <si>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</si>
  <si>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</si>
  <si>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</si>
  <si>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</si>
  <si>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</si>
  <si>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</si>
  <si>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</si>
  <si>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</si>
  <si>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</si>
  <si>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</si>
  <si>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</si>
  <si>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</si>
  <si>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</si>
  <si>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</si>
  <si>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</si>
  <si>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</si>
  <si>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</si>
  <si>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</si>
  <si>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</si>
  <si>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</si>
  <si>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</si>
  <si>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</si>
  <si>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</si>
  <si>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</si>
  <si>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</si>
  <si>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</si>
  <si>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</si>
  <si>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</si>
  <si>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</si>
  <si>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</si>
  <si>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</si>
  <si>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</si>
  <si>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</si>
  <si>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</si>
  <si>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</si>
  <si>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</si>
  <si>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</si>
  <si>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</si>
  <si>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</si>
  <si>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</si>
  <si>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</si>
  <si>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</si>
  <si>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</si>
  <si>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</si>
  <si>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</si>
  <si>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</si>
  <si>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</si>
  <si>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</si>
  <si>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</si>
  <si>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</si>
  <si>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</si>
  <si>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</si>
  <si>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</si>
  <si>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</si>
  <si>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</si>
  <si>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</si>
  <si>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</si>
  <si>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</si>
  <si>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</si>
  <si>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</si>
  <si>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</si>
  <si>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</si>
  <si>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</si>
  <si>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</si>
  <si>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</si>
  <si>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</si>
  <si>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</si>
  <si>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</si>
  <si>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</si>
  <si>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</si>
  <si>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</si>
  <si>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</si>
  <si>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</si>
  <si>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</si>
  <si>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</si>
  <si>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</si>
  <si>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</si>
  <si>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</si>
  <si>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</si>
  <si>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</si>
  <si>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</si>
  <si>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</si>
  <si>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</si>
  <si>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</si>
  <si>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</si>
  <si>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</si>
  <si>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</si>
  <si>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</si>
  <si>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</si>
  <si>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</si>
  <si>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</si>
  <si>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</si>
  <si>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</si>
  <si>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</si>
  <si>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</si>
  <si>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</si>
  <si>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</si>
  <si>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</si>
  <si>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</si>
  <si>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</si>
  <si>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</si>
  <si>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</si>
  <si>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</si>
  <si>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</si>
  <si>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</si>
  <si>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</si>
  <si>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</si>
  <si>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</si>
  <si>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</si>
  <si>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</si>
  <si>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</si>
  <si>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</si>
  <si>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</si>
  <si>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</si>
  <si>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</si>
  <si>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</si>
  <si>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</si>
  <si>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</si>
  <si>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</si>
  <si>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</si>
  <si>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</si>
  <si>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</si>
  <si>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</si>
  <si>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</si>
  <si>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</si>
  <si>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</si>
  <si>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</si>
  <si>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</si>
  <si>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</si>
  <si>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</si>
  <si>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</si>
  <si>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</si>
  <si>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</si>
  <si>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</si>
  <si>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</si>
  <si>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</si>
  <si>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</si>
  <si>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</si>
  <si>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</si>
  <si>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</si>
  <si>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</si>
  <si>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</si>
  <si>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</si>
  <si>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</si>
  <si>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</si>
  <si>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</si>
  <si>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</si>
  <si>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</si>
  <si>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</si>
  <si>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</si>
  <si>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</si>
  <si>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</si>
  <si>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</si>
  <si>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</si>
  <si>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</si>
  <si>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</si>
  <si>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</si>
  <si>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</si>
  <si>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</si>
  <si>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</si>
  <si>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</si>
  <si>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</si>
  <si>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</si>
  <si>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</si>
  <si>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</si>
  <si>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</si>
  <si>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</si>
  <si>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</si>
  <si>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</si>
  <si>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</si>
  <si>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</si>
  <si>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</si>
  <si>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</si>
  <si>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</si>
  <si>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</si>
  <si>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</si>
  <si>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</si>
  <si>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</si>
  <si>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</si>
  <si>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</si>
  <si>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</si>
  <si>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</si>
  <si>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</si>
  <si>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</si>
  <si>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</si>
  <si>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</si>
  <si>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</si>
  <si>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</si>
  <si>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</si>
  <si>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</si>
  <si>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</si>
  <si>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</si>
  <si>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</si>
  <si>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</si>
  <si>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</si>
  <si>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</si>
  <si>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</si>
  <si>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</si>
  <si>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</si>
  <si>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</si>
  <si>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</si>
  <si>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</si>
  <si>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</si>
  <si>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</si>
  <si>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</si>
  <si>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</si>
  <si>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</si>
  <si>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</si>
  <si>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</si>
  <si>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</si>
  <si>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</si>
  <si>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</si>
  <si>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</si>
  <si>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</si>
  <si>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</si>
  <si>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</si>
  <si>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</si>
  <si>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</si>
  <si>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</si>
  <si>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</si>
  <si>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</si>
  <si>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</si>
  <si>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</si>
  <si>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</si>
  <si>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</si>
  <si>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</si>
  <si>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</si>
  <si>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</si>
  <si>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</si>
  <si>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</si>
  <si>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</si>
  <si>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</si>
  <si>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</si>
  <si>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</si>
  <si>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</si>
  <si>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</si>
  <si>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</si>
  <si>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</si>
  <si>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</si>
  <si>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</si>
  <si>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</si>
  <si>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</si>
  <si>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</si>
  <si>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</si>
  <si>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</si>
  <si>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</si>
  <si>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</si>
  <si>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</si>
  <si>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</si>
  <si>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</si>
  <si>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</si>
  <si>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</si>
  <si>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</si>
  <si>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</si>
  <si>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</si>
  <si>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</si>
  <si>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</si>
  <si>
    <t>Don't Breathe</t>
  </si>
  <si>
    <t>Bring Her Back</t>
  </si>
  <si>
    <t>American Psycho</t>
  </si>
  <si>
    <t>The Ritual</t>
  </si>
  <si>
    <t>Visited Shruti's college</t>
  </si>
  <si>
    <t>WFH</t>
  </si>
  <si>
    <t>Chanda Jha</t>
  </si>
  <si>
    <t>Durga</t>
  </si>
  <si>
    <t>Travel Date</t>
  </si>
  <si>
    <t>Mode</t>
  </si>
  <si>
    <t>Bus</t>
  </si>
  <si>
    <t>Marathahalli</t>
  </si>
  <si>
    <t>Pala</t>
  </si>
  <si>
    <t>Booked Via</t>
  </si>
  <si>
    <t>Abhibus</t>
  </si>
  <si>
    <t xml:space="preserve">Reason </t>
  </si>
  <si>
    <t>Fest</t>
  </si>
  <si>
    <t>Banglore,Kottayam</t>
  </si>
  <si>
    <t>Kottayam,Banglore</t>
  </si>
  <si>
    <t>Maryiln Monroe</t>
  </si>
  <si>
    <t>Dhurandhr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</si>
</sst>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  <fill>
      <patternFill patternType="solid">
        <fgColor rgb="FFFF010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-0.499984740745262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30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8" fillId="0" borderId="1" xfId="0" applyFont="1" applyBorder="1"/>
    <xf numFmtId="165" fontId="0" fillId="0" borderId="4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9" fillId="28" borderId="37" xfId="0" applyFont="1" applyFill="1" applyBorder="1"/>
    <xf numFmtId="0" fontId="9" fillId="28" borderId="60" xfId="0" applyFont="1" applyFill="1" applyBorder="1"/>
    <xf numFmtId="0" fontId="0" fillId="28" borderId="37" xfId="0" applyFill="1" applyBorder="1" applyAlignment="1">
      <alignment horizontal="center" vertical="center"/>
    </xf>
    <xf numFmtId="0" fontId="0" fillId="28" borderId="60" xfId="0" applyFill="1" applyBorder="1" applyAlignment="1">
      <alignment horizontal="center" vertical="center"/>
    </xf>
    <xf numFmtId="0" fontId="0" fillId="28" borderId="6" xfId="0" applyFill="1" applyBorder="1"/>
    <xf numFmtId="0" fontId="0" fillId="18" borderId="31" xfId="0" applyFill="1" applyBorder="1"/>
    <xf numFmtId="0" fontId="0" fillId="18" borderId="33" xfId="0" applyFill="1" applyBorder="1"/>
    <xf numFmtId="0" fontId="0" fillId="29" borderId="34" xfId="0" applyFill="1" applyBorder="1"/>
    <xf numFmtId="0" fontId="0" fillId="29" borderId="50" xfId="0" applyFill="1" applyBorder="1"/>
    <xf numFmtId="0" fontId="0" fillId="29" borderId="36" xfId="0" applyFill="1" applyBorder="1"/>
    <xf numFmtId="0" fontId="0" fillId="29" borderId="61" xfId="0" applyFill="1" applyBorder="1"/>
    <xf numFmtId="0" fontId="0" fillId="29" borderId="35" xfId="0" applyFill="1" applyBorder="1"/>
    <xf numFmtId="0" fontId="0" fillId="29" borderId="52" xfId="0" applyFill="1" applyBorder="1"/>
    <xf numFmtId="2" fontId="0" fillId="29" borderId="34" xfId="0" applyNumberFormat="1" applyFill="1" applyBorder="1"/>
    <xf numFmtId="2" fontId="0" fillId="29" borderId="36" xfId="0" applyNumberFormat="1" applyFill="1" applyBorder="1"/>
    <xf numFmtId="2" fontId="0" fillId="29" borderId="35" xfId="0" applyNumberFormat="1" applyFill="1" applyBorder="1"/>
    <xf numFmtId="0" fontId="0" fillId="19" borderId="34" xfId="0" applyFill="1" applyBorder="1"/>
    <xf numFmtId="0" fontId="0" fillId="19" borderId="60" xfId="0" applyFill="1" applyBorder="1"/>
    <xf numFmtId="0" fontId="0" fillId="19" borderId="37" xfId="0" applyFill="1" applyBorder="1"/>
    <xf numFmtId="0" fontId="0" fillId="19" borderId="50" xfId="0" applyFill="1" applyBorder="1"/>
    <xf numFmtId="0" fontId="0" fillId="19" borderId="35" xfId="0" applyFill="1" applyBorder="1"/>
    <xf numFmtId="0" fontId="0" fillId="19" borderId="52" xfId="0" applyFill="1" applyBorder="1"/>
    <xf numFmtId="0" fontId="4" fillId="19" borderId="52" xfId="0" applyFont="1" applyFill="1" applyBorder="1" applyAlignment="1">
      <alignment horizontal="center" vertical="center"/>
    </xf>
    <xf numFmtId="0" fontId="4" fillId="19" borderId="35" xfId="0" applyFont="1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22" borderId="6" xfId="0" applyFill="1" applyBorder="1"/>
    <xf numFmtId="0" fontId="0" fillId="22" borderId="0" xfId="0" applyFill="1"/>
    <xf numFmtId="0" fontId="0" fillId="8" borderId="49" xfId="0" applyFill="1" applyBorder="1"/>
    <xf numFmtId="0" fontId="0" fillId="8" borderId="0" xfId="0" applyFill="1"/>
    <xf numFmtId="2" fontId="2" fillId="8" borderId="0" xfId="0" applyNumberFormat="1" applyFont="1" applyFill="1" applyAlignment="1">
      <alignment horizontal="center" vertical="center"/>
    </xf>
    <xf numFmtId="2" fontId="2" fillId="8" borderId="51" xfId="0" applyNumberFormat="1" applyFont="1" applyFill="1" applyBorder="1" applyAlignment="1">
      <alignment horizontal="center" vertical="center"/>
    </xf>
    <xf numFmtId="0" fontId="0" fillId="8" borderId="51" xfId="0" applyFill="1" applyBorder="1"/>
    <xf numFmtId="0" fontId="0" fillId="8" borderId="36" xfId="0" applyFill="1" applyBorder="1"/>
    <xf numFmtId="0" fontId="0" fillId="8" borderId="0" xfId="0" applyFill="1" applyAlignment="1">
      <alignment horizontal="center" vertical="center"/>
    </xf>
    <xf numFmtId="0" fontId="0" fillId="8" borderId="61" xfId="0" applyFill="1" applyBorder="1"/>
    <xf numFmtId="2" fontId="0" fillId="8" borderId="0" xfId="0" applyNumberFormat="1" applyFill="1"/>
    <xf numFmtId="0" fontId="0" fillId="10" borderId="27" xfId="0" applyFill="1" applyBorder="1"/>
    <xf numFmtId="0" fontId="0" fillId="10" borderId="24" xfId="0" applyFill="1" applyBorder="1"/>
    <xf numFmtId="0" fontId="0" fillId="27" borderId="0" xfId="0" applyFill="1"/>
    <xf numFmtId="0" fontId="0" fillId="27" borderId="61" xfId="0" applyFill="1" applyBorder="1"/>
    <xf numFmtId="0" fontId="0" fillId="27" borderId="36" xfId="0" applyFill="1" applyBorder="1"/>
    <xf numFmtId="0" fontId="0" fillId="30" borderId="49" xfId="0" applyFill="1" applyBorder="1"/>
    <xf numFmtId="0" fontId="0" fillId="30" borderId="51" xfId="0" applyFill="1" applyBorder="1" applyAlignment="1">
      <alignment horizontal="center" vertical="center"/>
    </xf>
    <xf numFmtId="0" fontId="0" fillId="30" borderId="62" xfId="0" applyFill="1" applyBorder="1" applyAlignment="1">
      <alignment horizontal="center" vertical="center"/>
    </xf>
    <xf numFmtId="0" fontId="0" fillId="30" borderId="0" xfId="0" applyFill="1"/>
    <xf numFmtId="0" fontId="0" fillId="21" borderId="51" xfId="0" applyFill="1" applyBorder="1"/>
    <xf numFmtId="0" fontId="0" fillId="21" borderId="0" xfId="0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0" fillId="21" borderId="37" xfId="0" applyFill="1" applyBorder="1" applyAlignment="1">
      <alignment horizontal="center"/>
    </xf>
    <xf numFmtId="0" fontId="0" fillId="21" borderId="60" xfId="0" applyFill="1" applyBorder="1" applyAlignment="1">
      <alignment horizont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0" fillId="0" borderId="3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E9EE"/>
      <color rgb="FF9148C8"/>
      <color rgb="FF66FF66"/>
      <color rgb="FFFF00FF"/>
      <color rgb="FFFF0101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0.000</c:formatCode>
                <c:ptCount val="12"/>
                <c:pt idx="0">
                  <c:v>5.9290322580645176</c:v>
                </c:pt>
                <c:pt idx="1">
                  <c:v>6.4964285714285719</c:v>
                </c:pt>
                <c:pt idx="2">
                  <c:v>6.6549999999999994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  <c:pt idx="54">
                  <c:v>5.5</c:v>
                </c:pt>
                <c:pt idx="55">
                  <c:v>7.8</c:v>
                </c:pt>
                <c:pt idx="56">
                  <c:v>6</c:v>
                </c:pt>
                <c:pt idx="57">
                  <c:v>6.5</c:v>
                </c:pt>
                <c:pt idx="58">
                  <c:v>7.3</c:v>
                </c:pt>
                <c:pt idx="59">
                  <c:v>6.5</c:v>
                </c:pt>
                <c:pt idx="60">
                  <c:v>6</c:v>
                </c:pt>
                <c:pt idx="61">
                  <c:v>6.8</c:v>
                </c:pt>
                <c:pt idx="62">
                  <c:v>7</c:v>
                </c:pt>
                <c:pt idx="63">
                  <c:v>6.9</c:v>
                </c:pt>
                <c:pt idx="64">
                  <c:v>6.5</c:v>
                </c:pt>
                <c:pt idx="65">
                  <c:v>5</c:v>
                </c:pt>
                <c:pt idx="66">
                  <c:v>8.4</c:v>
                </c:pt>
                <c:pt idx="67">
                  <c:v>5.3</c:v>
                </c:pt>
                <c:pt idx="68">
                  <c:v>5.8</c:v>
                </c:pt>
                <c:pt idx="69">
                  <c:v>5.5</c:v>
                </c:pt>
                <c:pt idx="70">
                  <c:v>5.6</c:v>
                </c:pt>
                <c:pt idx="71">
                  <c:v>8.5</c:v>
                </c:pt>
                <c:pt idx="72">
                  <c:v>7.8</c:v>
                </c:pt>
                <c:pt idx="73">
                  <c:v>10</c:v>
                </c:pt>
                <c:pt idx="74">
                  <c:v>7.5</c:v>
                </c:pt>
                <c:pt idx="75">
                  <c:v>6</c:v>
                </c:pt>
                <c:pt idx="76">
                  <c:v>6</c:v>
                </c:pt>
                <c:pt idx="77">
                  <c:v>8</c:v>
                </c:pt>
                <c:pt idx="78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67.741935483870961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67.741935483870961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2</c:v>
                </c:pt>
                <c:pt idx="1">
                  <c:v>6</c:v>
                </c:pt>
                <c:pt idx="2">
                  <c:v>40</c:v>
                </c:pt>
                <c:pt idx="3">
                  <c:v>30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'HI2025'!$H$5:$H$10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'HI2025'!$AH$14:$AH$19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'HI2025'!$AL$1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'HI2025'!$AM$1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'HI2025'!$A$2:$A$366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'HI2025'!$V$51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'HI2024'!$A$1:$A$366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'HI2024'!$B$1:$B$366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FlightDetails!$B$3:$B$24</c:f>
              <c:numCache>
                <c:formatCode>m/d/yyyy</c:formatCode>
                <c:ptCount val="22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</c:numCache>
            </c:numRef>
          </c:cat>
          <c:val>
            <c:numRef>
              <c:f>FlightDetails!$G$3:$G$24</c:f>
              <c:numCache>
                <c:formatCode>General</c:formatCode>
                <c:ptCount val="22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10194</xdr:colOff>
      <xdr:row>1</xdr:row>
      <xdr:rowOff>30079</xdr:rowOff>
    </xdr:from>
    <xdr:to>
      <xdr:col>30</xdr:col>
      <xdr:colOff>599722</xdr:colOff>
      <xdr:row>15</xdr:row>
      <xdr:rowOff>148166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16</xdr:row>
      <xdr:rowOff>15394</xdr:rowOff>
    </xdr:from>
    <xdr:to>
      <xdr:col>30</xdr:col>
      <xdr:colOff>613401</xdr:colOff>
      <xdr:row>31</xdr:row>
      <xdr:rowOff>76655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5838</xdr:colOff>
      <xdr:row>0</xdr:row>
      <xdr:rowOff>343631</xdr:rowOff>
    </xdr:from>
    <xdr:to>
      <xdr:col>37</xdr:col>
      <xdr:colOff>29194</xdr:colOff>
      <xdr:row>12</xdr:row>
      <xdr:rowOff>43794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64230</xdr:colOff>
      <xdr:row>32</xdr:row>
      <xdr:rowOff>15182</xdr:rowOff>
    </xdr:from>
    <xdr:to>
      <xdr:col>15</xdr:col>
      <xdr:colOff>81747</xdr:colOff>
      <xdr:row>46</xdr:row>
      <xdr:rowOff>152692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638960</xdr:colOff>
      <xdr:row>12</xdr:row>
      <xdr:rowOff>27065</xdr:rowOff>
    </xdr:from>
    <xdr:to>
      <xdr:col>17</xdr:col>
      <xdr:colOff>0</xdr:colOff>
      <xdr:row>29</xdr:row>
      <xdr:rowOff>5897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30</xdr:row>
      <xdr:rowOff>6414</xdr:rowOff>
    </xdr:from>
    <xdr:to>
      <xdr:col>12</xdr:col>
      <xdr:colOff>536502</xdr:colOff>
      <xdr:row>41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C367"/>
  <sheetViews>
    <sheetView zoomScale="76" zoomScaleNormal="100" workbookViewId="0">
      <selection activeCell="M5" sqref="M5"/>
    </sheetView>
  </sheetViews>
  <sheetFormatPr defaultRowHeight="14.35" x14ac:dyDescent="0.5"/>
  <cols>
    <col min="2" max="2" width="10.87890625" bestFit="1" customWidth="1"/>
    <col min="5" max="5" width="12.234375" customWidth="1"/>
    <col min="6" max="6" width="0.41015625" style="58" customWidth="1"/>
    <col min="7" max="7" width="10.703125" style="38" customWidth="1"/>
    <col min="8" max="8" width="8.76171875" style="38" customWidth="1"/>
    <col min="9" max="9" width="3.703125" style="38" customWidth="1"/>
    <col min="10" max="10" width="11.52734375" bestFit="1" customWidth="1"/>
    <col min="12" max="12" width="14.8203125" bestFit="1" customWidth="1"/>
    <col min="14" max="14" width="9.703125" bestFit="1" customWidth="1"/>
    <col min="15" max="15" width="9.29296875" bestFit="1" customWidth="1"/>
    <col min="16" max="16" width="12" bestFit="1" customWidth="1"/>
    <col min="17" max="17" width="9.703125" customWidth="1"/>
    <col min="19" max="19" width="9.05859375" bestFit="1" customWidth="1"/>
    <col min="20" max="20" width="11.46875" bestFit="1" customWidth="1"/>
    <col min="21" max="21" width="7.8203125" bestFit="1" customWidth="1"/>
    <col min="22" max="22" width="9.6445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</cols>
  <sheetData>
    <row r="1" spans="1:55" ht="29" thickBot="1" x14ac:dyDescent="0.55000000000000004">
      <c r="A1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259" t="s">
        <v>175</v>
      </c>
      <c r="K1" s="260"/>
      <c r="L1" s="260"/>
      <c r="AM1" t="s">
        <v>208</v>
      </c>
      <c r="AN1">
        <v>2025</v>
      </c>
      <c r="AO1">
        <v>2024</v>
      </c>
    </row>
    <row r="2" spans="1:55" x14ac:dyDescent="0.5">
      <c r="A2" t="s">
        <v>432</v>
      </c>
      <c r="B2" s="71">
        <v>46023</v>
      </c>
      <c r="C2" s="72">
        <v>6</v>
      </c>
      <c r="D2" s="263">
        <f>AVERAGE(C2:C32)</f>
        <v>5.9290322580645176</v>
      </c>
      <c r="E2" s="266">
        <f>AVERAGE(C2:C366)</f>
        <v>6.3139240506329131</v>
      </c>
      <c r="F2" s="58">
        <v>1</v>
      </c>
      <c r="G2" s="38" t="s">
        <v>194</v>
      </c>
      <c r="I2" s="38">
        <v>0</v>
      </c>
      <c r="J2" s="261"/>
      <c r="K2" s="262"/>
      <c r="L2" s="262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  <c r="AR2" t="str">
        <f>TRIM(MID(SUBSTITUTE($G2, ",", REPT(" ", 100)), (COLUMNS($AJ$2:AR2)-1)*100+1, 100))</f>
        <v/>
      </c>
      <c r="AS2" t="str">
        <f>TRIM(MID(SUBSTITUTE($G2, ",", REPT(" ", 100)), (COLUMNS($AJ$2:AS2)-1)*100+1, 100))</f>
        <v/>
      </c>
      <c r="AT2" t="str">
        <f>TRIM(MID(SUBSTITUTE($G2, ",", REPT(" ", 100)), (COLUMNS($AJ$2:AT2)-1)*100+1, 100))</f>
        <v/>
      </c>
      <c r="AU2" t="str">
        <f>TRIM(MID(SUBSTITUTE($G2, ",", REPT(" ", 100)), (COLUMNS($AJ$2:AU2)-1)*100+1, 100))</f>
        <v/>
      </c>
      <c r="AV2" t="str">
        <f>TRIM(MID(SUBSTITUTE($G2, ",", REPT(" ", 100)), (COLUMNS($AJ$2:AV2)-1)*100+1, 100))</f>
        <v/>
      </c>
      <c r="AW2" t="str">
        <f>TRIM(MID(SUBSTITUTE($G2, ",", REPT(" ", 100)), (COLUMNS($AJ$2:AW2)-1)*100+1, 100))</f>
        <v/>
      </c>
      <c r="AX2" t="str">
        <f>TRIM(MID(SUBSTITUTE($G2, ",", REPT(" ", 100)), (COLUMNS($AJ$2:AX2)-1)*100+1, 100))</f>
        <v/>
      </c>
      <c r="AY2" t="str">
        <f>TRIM(MID(SUBSTITUTE($G2, ",", REPT(" ", 100)), (COLUMNS($AJ$2:AY2)-1)*100+1, 100))</f>
        <v/>
      </c>
      <c r="AZ2" t="str">
        <f>TRIM(MID(SUBSTITUTE($G2, ",", REPT(" ", 100)), (COLUMNS($AJ$2:AZ2)-1)*100+1, 100))</f>
        <v/>
      </c>
      <c r="BA2" t="str">
        <f>TRIM(MID(SUBSTITUTE($G2, ",", REPT(" ", 100)), (COLUMNS($AJ$2:BA2)-1)*100+1, 100))</f>
        <v/>
      </c>
      <c r="BB2" t="str">
        <f>TRIM(MID(SUBSTITUTE($G2, ",", REPT(" ", 100)), (COLUMNS($AJ$2:BB2)-1)*100+1, 100))</f>
        <v/>
      </c>
      <c r="BC2" t="str">
        <f>TRIM(MID(SUBSTITUTE($G2, ",", REPT(" ", 100)), (COLUMNS($AJ$2:BC2)-1)*100+1, 100))</f>
        <v/>
      </c>
    </row>
    <row r="3" spans="1:55" ht="14.7" thickBot="1" x14ac:dyDescent="0.55000000000000004">
      <c r="A3" t="s">
        <v>433</v>
      </c>
      <c r="B3" s="53">
        <v>46024</v>
      </c>
      <c r="C3" s="2">
        <v>4.5</v>
      </c>
      <c r="D3" s="264"/>
      <c r="E3" s="267"/>
      <c r="F3" s="58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  <c r="AR3" t="str">
        <f>TRIM(MID(SUBSTITUTE($G3, ",", REPT(" ", 100)), (COLUMNS($AJ$2:AR3)-1)*100+1, 100))</f>
        <v/>
      </c>
      <c r="AS3" t="str">
        <f>TRIM(MID(SUBSTITUTE($G3, ",", REPT(" ", 100)), (COLUMNS($AJ$2:AS3)-1)*100+1, 100))</f>
        <v/>
      </c>
      <c r="AT3" t="str">
        <f>TRIM(MID(SUBSTITUTE($G3, ",", REPT(" ", 100)), (COLUMNS($AJ$2:AT3)-1)*100+1, 100))</f>
        <v/>
      </c>
      <c r="AU3" t="str">
        <f>TRIM(MID(SUBSTITUTE($G3, ",", REPT(" ", 100)), (COLUMNS($AJ$2:AU3)-1)*100+1, 100))</f>
        <v/>
      </c>
      <c r="AV3" t="str">
        <f>TRIM(MID(SUBSTITUTE($G3, ",", REPT(" ", 100)), (COLUMNS($AJ$2:AV3)-1)*100+1, 100))</f>
        <v/>
      </c>
      <c r="AW3" t="str">
        <f>TRIM(MID(SUBSTITUTE($G3, ",", REPT(" ", 100)), (COLUMNS($AJ$2:AW3)-1)*100+1, 100))</f>
        <v/>
      </c>
      <c r="AX3" t="str">
        <f>TRIM(MID(SUBSTITUTE($G3, ",", REPT(" ", 100)), (COLUMNS($AJ$2:AX3)-1)*100+1, 100))</f>
        <v/>
      </c>
      <c r="AY3" t="str">
        <f>TRIM(MID(SUBSTITUTE($G3, ",", REPT(" ", 100)), (COLUMNS($AJ$2:AY3)-1)*100+1, 100))</f>
        <v/>
      </c>
      <c r="AZ3" t="str">
        <f>TRIM(MID(SUBSTITUTE($G3, ",", REPT(" ", 100)), (COLUMNS($AJ$2:AZ3)-1)*100+1, 100))</f>
        <v/>
      </c>
      <c r="BA3" t="str">
        <f>TRIM(MID(SUBSTITUTE($G3, ",", REPT(" ", 100)), (COLUMNS($AJ$2:BA3)-1)*100+1, 100))</f>
        <v/>
      </c>
      <c r="BB3" t="str">
        <f>TRIM(MID(SUBSTITUTE($G3, ",", REPT(" ", 100)), (COLUMNS($AJ$2:BB3)-1)*100+1, 100))</f>
        <v/>
      </c>
      <c r="BC3" t="str">
        <f>TRIM(MID(SUBSTITUTE($G3, ",", REPT(" ", 100)), (COLUMNS($AJ$2:BC3)-1)*100+1, 100))</f>
        <v/>
      </c>
    </row>
    <row r="4" spans="1:55" ht="14.7" thickBot="1" x14ac:dyDescent="0.55000000000000004">
      <c r="A4" t="s">
        <v>434</v>
      </c>
      <c r="B4" s="71">
        <v>46025</v>
      </c>
      <c r="C4" s="2">
        <v>7.8</v>
      </c>
      <c r="D4" s="264"/>
      <c r="E4" s="267"/>
      <c r="F4" s="58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5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  <c r="AR4" t="str">
        <f>TRIM(MID(SUBSTITUTE($G4, ",", REPT(" ", 100)), (COLUMNS($AJ$2:AR4)-1)*100+1, 100))</f>
        <v/>
      </c>
      <c r="AS4" t="str">
        <f>TRIM(MID(SUBSTITUTE($G4, ",", REPT(" ", 100)), (COLUMNS($AJ$2:AS4)-1)*100+1, 100))</f>
        <v/>
      </c>
      <c r="AT4" t="str">
        <f>TRIM(MID(SUBSTITUTE($G4, ",", REPT(" ", 100)), (COLUMNS($AJ$2:AT4)-1)*100+1, 100))</f>
        <v/>
      </c>
      <c r="AU4" t="str">
        <f>TRIM(MID(SUBSTITUTE($G4, ",", REPT(" ", 100)), (COLUMNS($AJ$2:AU4)-1)*100+1, 100))</f>
        <v/>
      </c>
      <c r="AV4" t="str">
        <f>TRIM(MID(SUBSTITUTE($G4, ",", REPT(" ", 100)), (COLUMNS($AJ$2:AV4)-1)*100+1, 100))</f>
        <v/>
      </c>
      <c r="AW4" t="str">
        <f>TRIM(MID(SUBSTITUTE($G4, ",", REPT(" ", 100)), (COLUMNS($AJ$2:AW4)-1)*100+1, 100))</f>
        <v/>
      </c>
      <c r="AX4" t="str">
        <f>TRIM(MID(SUBSTITUTE($G4, ",", REPT(" ", 100)), (COLUMNS($AJ$2:AX4)-1)*100+1, 100))</f>
        <v/>
      </c>
      <c r="AY4" t="str">
        <f>TRIM(MID(SUBSTITUTE($G4, ",", REPT(" ", 100)), (COLUMNS($AJ$2:AY4)-1)*100+1, 100))</f>
        <v/>
      </c>
      <c r="AZ4" t="str">
        <f>TRIM(MID(SUBSTITUTE($G4, ",", REPT(" ", 100)), (COLUMNS($AJ$2:AZ4)-1)*100+1, 100))</f>
        <v/>
      </c>
      <c r="BA4" t="str">
        <f>TRIM(MID(SUBSTITUTE($G4, ",", REPT(" ", 100)), (COLUMNS($AJ$2:BA4)-1)*100+1, 100))</f>
        <v/>
      </c>
      <c r="BB4" t="str">
        <f>TRIM(MID(SUBSTITUTE($G4, ",", REPT(" ", 100)), (COLUMNS($AJ$2:BB4)-1)*100+1, 100))</f>
        <v/>
      </c>
      <c r="BC4" t="str">
        <f>TRIM(MID(SUBSTITUTE($G4, ",", REPT(" ", 100)), (COLUMNS($AJ$2:BC4)-1)*100+1, 100))</f>
        <v/>
      </c>
    </row>
    <row r="5" spans="1:55" ht="14.7" thickBot="1" x14ac:dyDescent="0.55000000000000004">
      <c r="A5" t="s">
        <v>435</v>
      </c>
      <c r="B5" s="53">
        <v>46026</v>
      </c>
      <c r="C5" s="2">
        <v>5.8</v>
      </c>
      <c r="D5" s="264"/>
      <c r="E5" s="267"/>
      <c r="F5" s="58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2</v>
      </c>
      <c r="N5" s="160" t="s">
        <v>8</v>
      </c>
      <c r="O5" s="191">
        <f>D2</f>
        <v>5.9290322580645176</v>
      </c>
      <c r="P5" s="253">
        <f>AVERAGE(O5:O16)</f>
        <v>6.3601536098310305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242">
        <f>AVERAGE(O5:O8)</f>
        <v>6.3601536098310305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  <c r="AR5" t="str">
        <f>TRIM(MID(SUBSTITUTE($G5, ",", REPT(" ", 100)), (COLUMNS($AJ$2:AR5)-1)*100+1, 100))</f>
        <v/>
      </c>
      <c r="AS5" t="str">
        <f>TRIM(MID(SUBSTITUTE($G5, ",", REPT(" ", 100)), (COLUMNS($AJ$2:AS5)-1)*100+1, 100))</f>
        <v/>
      </c>
      <c r="AT5" t="str">
        <f>TRIM(MID(SUBSTITUTE($G5, ",", REPT(" ", 100)), (COLUMNS($AJ$2:AT5)-1)*100+1, 100))</f>
        <v/>
      </c>
      <c r="AU5" t="str">
        <f>TRIM(MID(SUBSTITUTE($G5, ",", REPT(" ", 100)), (COLUMNS($AJ$2:AU5)-1)*100+1, 100))</f>
        <v/>
      </c>
      <c r="AV5" t="str">
        <f>TRIM(MID(SUBSTITUTE($G5, ",", REPT(" ", 100)), (COLUMNS($AJ$2:AV5)-1)*100+1, 100))</f>
        <v/>
      </c>
      <c r="AW5" t="str">
        <f>TRIM(MID(SUBSTITUTE($G5, ",", REPT(" ", 100)), (COLUMNS($AJ$2:AW5)-1)*100+1, 100))</f>
        <v/>
      </c>
      <c r="AX5" t="str">
        <f>TRIM(MID(SUBSTITUTE($G5, ",", REPT(" ", 100)), (COLUMNS($AJ$2:AX5)-1)*100+1, 100))</f>
        <v/>
      </c>
      <c r="AY5" t="str">
        <f>TRIM(MID(SUBSTITUTE($G5, ",", REPT(" ", 100)), (COLUMNS($AJ$2:AY5)-1)*100+1, 100))</f>
        <v/>
      </c>
      <c r="AZ5" t="str">
        <f>TRIM(MID(SUBSTITUTE($G5, ",", REPT(" ", 100)), (COLUMNS($AJ$2:AZ5)-1)*100+1, 100))</f>
        <v/>
      </c>
      <c r="BA5" t="str">
        <f>TRIM(MID(SUBSTITUTE($G5, ",", REPT(" ", 100)), (COLUMNS($AJ$2:BA5)-1)*100+1, 100))</f>
        <v/>
      </c>
      <c r="BB5" t="str">
        <f>TRIM(MID(SUBSTITUTE($G5, ",", REPT(" ", 100)), (COLUMNS($AJ$2:BB5)-1)*100+1, 100))</f>
        <v/>
      </c>
      <c r="BC5" t="str">
        <f>TRIM(MID(SUBSTITUTE($G5, ",", REPT(" ", 100)), (COLUMNS($AJ$2:BC5)-1)*100+1, 100))</f>
        <v/>
      </c>
    </row>
    <row r="6" spans="1:55" x14ac:dyDescent="0.5">
      <c r="A6" t="s">
        <v>436</v>
      </c>
      <c r="B6" s="71">
        <v>46027</v>
      </c>
      <c r="C6" s="2">
        <v>5.9</v>
      </c>
      <c r="D6" s="264"/>
      <c r="E6" s="267"/>
      <c r="F6" s="58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6</v>
      </c>
      <c r="N6" s="157" t="s">
        <v>9</v>
      </c>
      <c r="O6" s="192">
        <f>D33</f>
        <v>6.4964285714285719</v>
      </c>
      <c r="P6" s="253"/>
      <c r="Q6" s="57">
        <f>COUNTIFS(C33:C60,"&gt;=10")</f>
        <v>1</v>
      </c>
      <c r="R6" s="57">
        <f>COUNTIFS(C33:C60,"&gt;=8", C33:C60,"&lt;10")</f>
        <v>2</v>
      </c>
      <c r="S6" s="57">
        <f>COUNTIFS(C33:C60,"&gt;=6", C33:C60,"&lt;8")</f>
        <v>15</v>
      </c>
      <c r="T6" s="57">
        <f>COUNTIFS(C33:C60,"&gt;=4", C33:C60,"&lt;6")</f>
        <v>10</v>
      </c>
      <c r="U6" s="57">
        <f>COUNTIFS(C33:C60,"&gt;=2", C33:C60,"&lt;4")</f>
        <v>0</v>
      </c>
      <c r="V6" s="57">
        <f>COUNTIFS(C33:C60,"&gt;=0", C33:C60,"&lt;2")</f>
        <v>0</v>
      </c>
      <c r="W6" s="242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  <c r="AR6" t="str">
        <f>TRIM(MID(SUBSTITUTE($G6, ",", REPT(" ", 100)), (COLUMNS($AJ$2:AR6)-1)*100+1, 100))</f>
        <v/>
      </c>
      <c r="AS6" t="str">
        <f>TRIM(MID(SUBSTITUTE($G6, ",", REPT(" ", 100)), (COLUMNS($AJ$2:AS6)-1)*100+1, 100))</f>
        <v/>
      </c>
      <c r="AT6" t="str">
        <f>TRIM(MID(SUBSTITUTE($G6, ",", REPT(" ", 100)), (COLUMNS($AJ$2:AT6)-1)*100+1, 100))</f>
        <v/>
      </c>
      <c r="AU6" t="str">
        <f>TRIM(MID(SUBSTITUTE($G6, ",", REPT(" ", 100)), (COLUMNS($AJ$2:AU6)-1)*100+1, 100))</f>
        <v/>
      </c>
      <c r="AV6" t="str">
        <f>TRIM(MID(SUBSTITUTE($G6, ",", REPT(" ", 100)), (COLUMNS($AJ$2:AV6)-1)*100+1, 100))</f>
        <v/>
      </c>
      <c r="AW6" t="str">
        <f>TRIM(MID(SUBSTITUTE($G6, ",", REPT(" ", 100)), (COLUMNS($AJ$2:AW6)-1)*100+1, 100))</f>
        <v/>
      </c>
      <c r="AX6" t="str">
        <f>TRIM(MID(SUBSTITUTE($G6, ",", REPT(" ", 100)), (COLUMNS($AJ$2:AX6)-1)*100+1, 100))</f>
        <v/>
      </c>
      <c r="AY6" t="str">
        <f>TRIM(MID(SUBSTITUTE($G6, ",", REPT(" ", 100)), (COLUMNS($AJ$2:AY6)-1)*100+1, 100))</f>
        <v/>
      </c>
      <c r="AZ6" t="str">
        <f>TRIM(MID(SUBSTITUTE($G6, ",", REPT(" ", 100)), (COLUMNS($AJ$2:AZ6)-1)*100+1, 100))</f>
        <v/>
      </c>
      <c r="BA6" t="str">
        <f>TRIM(MID(SUBSTITUTE($G6, ",", REPT(" ", 100)), (COLUMNS($AJ$2:BA6)-1)*100+1, 100))</f>
        <v/>
      </c>
      <c r="BB6" t="str">
        <f>TRIM(MID(SUBSTITUTE($G6, ",", REPT(" ", 100)), (COLUMNS($AJ$2:BB6)-1)*100+1, 100))</f>
        <v/>
      </c>
      <c r="BC6" t="str">
        <f>TRIM(MID(SUBSTITUTE($G6, ",", REPT(" ", 100)), (COLUMNS($AJ$2:BC6)-1)*100+1, 100))</f>
        <v/>
      </c>
    </row>
    <row r="7" spans="1:55" ht="14.7" thickBot="1" x14ac:dyDescent="0.55000000000000004">
      <c r="A7" t="s">
        <v>437</v>
      </c>
      <c r="B7" s="53">
        <v>46028</v>
      </c>
      <c r="C7" s="2">
        <v>7.5</v>
      </c>
      <c r="D7" s="264"/>
      <c r="E7" s="267"/>
      <c r="F7" s="58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40</v>
      </c>
      <c r="N7" s="157" t="s">
        <v>10</v>
      </c>
      <c r="O7" s="192">
        <f>D61</f>
        <v>6.6549999999999994</v>
      </c>
      <c r="P7" s="253"/>
      <c r="Q7" s="57">
        <f>COUNTIFS(C61:C91,"&gt;=10")</f>
        <v>1</v>
      </c>
      <c r="R7" s="57">
        <f>COUNTIFS(C61:C91,"&gt;=8", C61:C91,"&lt;10")</f>
        <v>3</v>
      </c>
      <c r="S7" s="57">
        <f>COUNTIFS(C61:C91,"&gt;=6", C61:C91,"&lt;8")</f>
        <v>10</v>
      </c>
      <c r="T7" s="57">
        <f>COUNTIFS(C61:C91,"&gt;=4", C61:C91,"&lt;6")</f>
        <v>6</v>
      </c>
      <c r="U7" s="57">
        <f>COUNTIFS(C61:C91,"&gt;=2", C61:C91,"&lt;4")</f>
        <v>0</v>
      </c>
      <c r="V7" s="57">
        <f>COUNTIFS(C61:C91,"&gt;=0", C61:C91,"&lt;2")</f>
        <v>0</v>
      </c>
      <c r="W7" s="242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  <c r="AR7" t="str">
        <f>TRIM(MID(SUBSTITUTE($G7, ",", REPT(" ", 100)), (COLUMNS($AJ$2:AR7)-1)*100+1, 100))</f>
        <v/>
      </c>
      <c r="AS7" t="str">
        <f>TRIM(MID(SUBSTITUTE($G7, ",", REPT(" ", 100)), (COLUMNS($AJ$2:AS7)-1)*100+1, 100))</f>
        <v/>
      </c>
      <c r="AT7" t="str">
        <f>TRIM(MID(SUBSTITUTE($G7, ",", REPT(" ", 100)), (COLUMNS($AJ$2:AT7)-1)*100+1, 100))</f>
        <v/>
      </c>
      <c r="AU7" t="str">
        <f>TRIM(MID(SUBSTITUTE($G7, ",", REPT(" ", 100)), (COLUMNS($AJ$2:AU7)-1)*100+1, 100))</f>
        <v/>
      </c>
      <c r="AV7" t="str">
        <f>TRIM(MID(SUBSTITUTE($G7, ",", REPT(" ", 100)), (COLUMNS($AJ$2:AV7)-1)*100+1, 100))</f>
        <v/>
      </c>
      <c r="AW7" t="str">
        <f>TRIM(MID(SUBSTITUTE($G7, ",", REPT(" ", 100)), (COLUMNS($AJ$2:AW7)-1)*100+1, 100))</f>
        <v/>
      </c>
      <c r="AX7" t="str">
        <f>TRIM(MID(SUBSTITUTE($G7, ",", REPT(" ", 100)), (COLUMNS($AJ$2:AX7)-1)*100+1, 100))</f>
        <v/>
      </c>
      <c r="AY7" t="str">
        <f>TRIM(MID(SUBSTITUTE($G7, ",", REPT(" ", 100)), (COLUMNS($AJ$2:AY7)-1)*100+1, 100))</f>
        <v/>
      </c>
      <c r="AZ7" t="str">
        <f>TRIM(MID(SUBSTITUTE($G7, ",", REPT(" ", 100)), (COLUMNS($AJ$2:AZ7)-1)*100+1, 100))</f>
        <v/>
      </c>
      <c r="BA7" t="str">
        <f>TRIM(MID(SUBSTITUTE($G7, ",", REPT(" ", 100)), (COLUMNS($AJ$2:BA7)-1)*100+1, 100))</f>
        <v/>
      </c>
      <c r="BB7" t="str">
        <f>TRIM(MID(SUBSTITUTE($G7, ",", REPT(" ", 100)), (COLUMNS($AJ$2:BB7)-1)*100+1, 100))</f>
        <v/>
      </c>
      <c r="BC7" t="str">
        <f>TRIM(MID(SUBSTITUTE($G7, ",", REPT(" ", 100)), (COLUMNS($AJ$2:BC7)-1)*100+1, 100))</f>
        <v/>
      </c>
    </row>
    <row r="8" spans="1:55" x14ac:dyDescent="0.5">
      <c r="A8" t="s">
        <v>438</v>
      </c>
      <c r="B8" s="71">
        <v>46029</v>
      </c>
      <c r="C8" s="2">
        <v>4.8</v>
      </c>
      <c r="D8" s="264"/>
      <c r="E8" s="267"/>
      <c r="F8" s="58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30</v>
      </c>
      <c r="N8" s="157" t="s">
        <v>11</v>
      </c>
      <c r="O8" s="192"/>
      <c r="P8" s="253"/>
      <c r="Q8" s="57">
        <f>COUNTIFS(C92:C121,"&gt;=10")</f>
        <v>0</v>
      </c>
      <c r="R8" s="57">
        <f>COUNTIFS(C92:C121,"&gt;=8", C92:C121,"&lt;10")</f>
        <v>0</v>
      </c>
      <c r="S8" s="57">
        <f>COUNTIFS(C92:C121,"&gt;=6",C92:C121,"&lt;8")</f>
        <v>0</v>
      </c>
      <c r="T8" s="57">
        <f>COUNTIFS(A92:A121,"&gt;=0", A92:A121,"&lt;2")</f>
        <v>0</v>
      </c>
      <c r="U8" s="57">
        <f>COUNTIFS(C92:C121,"&gt;=2", C92:C121,"&lt;4")</f>
        <v>0</v>
      </c>
      <c r="V8" s="57">
        <f>COUNTIFS(C92:C121,"&gt;=0", C92:C121,"&lt;2")</f>
        <v>0</v>
      </c>
      <c r="W8" s="243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  <c r="AR8" t="str">
        <f>TRIM(MID(SUBSTITUTE($G8, ",", REPT(" ", 100)), (COLUMNS($AJ$2:AR8)-1)*100+1, 100))</f>
        <v/>
      </c>
      <c r="AS8" t="str">
        <f>TRIM(MID(SUBSTITUTE($G8, ",", REPT(" ", 100)), (COLUMNS($AJ$2:AS8)-1)*100+1, 100))</f>
        <v/>
      </c>
      <c r="AT8" t="str">
        <f>TRIM(MID(SUBSTITUTE($G8, ",", REPT(" ", 100)), (COLUMNS($AJ$2:AT8)-1)*100+1, 100))</f>
        <v/>
      </c>
      <c r="AU8" t="str">
        <f>TRIM(MID(SUBSTITUTE($G8, ",", REPT(" ", 100)), (COLUMNS($AJ$2:AU8)-1)*100+1, 100))</f>
        <v/>
      </c>
      <c r="AV8" t="str">
        <f>TRIM(MID(SUBSTITUTE($G8, ",", REPT(" ", 100)), (COLUMNS($AJ$2:AV8)-1)*100+1, 100))</f>
        <v/>
      </c>
      <c r="AW8" t="str">
        <f>TRIM(MID(SUBSTITUTE($G8, ",", REPT(" ", 100)), (COLUMNS($AJ$2:AW8)-1)*100+1, 100))</f>
        <v/>
      </c>
      <c r="AX8" t="str">
        <f>TRIM(MID(SUBSTITUTE($G8, ",", REPT(" ", 100)), (COLUMNS($AJ$2:AX8)-1)*100+1, 100))</f>
        <v/>
      </c>
      <c r="AY8" t="str">
        <f>TRIM(MID(SUBSTITUTE($G8, ",", REPT(" ", 100)), (COLUMNS($AJ$2:AY8)-1)*100+1, 100))</f>
        <v/>
      </c>
      <c r="AZ8" t="str">
        <f>TRIM(MID(SUBSTITUTE($G8, ",", REPT(" ", 100)), (COLUMNS($AJ$2:AZ8)-1)*100+1, 100))</f>
        <v/>
      </c>
      <c r="BA8" t="str">
        <f>TRIM(MID(SUBSTITUTE($G8, ",", REPT(" ", 100)), (COLUMNS($AJ$2:BA8)-1)*100+1, 100))</f>
        <v/>
      </c>
      <c r="BB8" t="str">
        <f>TRIM(MID(SUBSTITUTE($G8, ",", REPT(" ", 100)), (COLUMNS($AJ$2:BB8)-1)*100+1, 100))</f>
        <v/>
      </c>
      <c r="BC8" t="str">
        <f>TRIM(MID(SUBSTITUTE($G8, ",", REPT(" ", 100)), (COLUMNS($AJ$2:BC8)-1)*100+1, 100))</f>
        <v/>
      </c>
    </row>
    <row r="9" spans="1:55" ht="14.7" thickBot="1" x14ac:dyDescent="0.55000000000000004">
      <c r="A9" t="s">
        <v>432</v>
      </c>
      <c r="B9" s="53">
        <v>46030</v>
      </c>
      <c r="C9" s="2">
        <v>4.5</v>
      </c>
      <c r="D9" s="264"/>
      <c r="E9" s="267"/>
      <c r="F9" s="58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1</v>
      </c>
      <c r="N9" s="157" t="s">
        <v>12</v>
      </c>
      <c r="O9" s="192"/>
      <c r="P9" s="253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0</v>
      </c>
      <c r="T9" s="57">
        <f>COUNTIFS(A122:A152,"&gt;=0", A122:A152,"&lt;2")</f>
        <v>0</v>
      </c>
      <c r="U9" s="57">
        <f>COUNTIFS(C122:C152,"&gt;=2", C122:C152,"&lt;4")</f>
        <v>0</v>
      </c>
      <c r="V9" s="57">
        <f>COUNTIFS(C122:C152,"&gt;=0", C122:C152,"&lt;2")</f>
        <v>0</v>
      </c>
      <c r="W9" s="244"/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  <c r="AR9" t="str">
        <f>TRIM(MID(SUBSTITUTE($G9, ",", REPT(" ", 100)), (COLUMNS($AJ$2:AR9)-1)*100+1, 100))</f>
        <v/>
      </c>
      <c r="AS9" t="str">
        <f>TRIM(MID(SUBSTITUTE($G9, ",", REPT(" ", 100)), (COLUMNS($AJ$2:AS9)-1)*100+1, 100))</f>
        <v/>
      </c>
      <c r="AT9" t="str">
        <f>TRIM(MID(SUBSTITUTE($G9, ",", REPT(" ", 100)), (COLUMNS($AJ$2:AT9)-1)*100+1, 100))</f>
        <v/>
      </c>
      <c r="AU9" t="str">
        <f>TRIM(MID(SUBSTITUTE($G9, ",", REPT(" ", 100)), (COLUMNS($AJ$2:AU9)-1)*100+1, 100))</f>
        <v/>
      </c>
      <c r="AV9" t="str">
        <f>TRIM(MID(SUBSTITUTE($G9, ",", REPT(" ", 100)), (COLUMNS($AJ$2:AV9)-1)*100+1, 100))</f>
        <v/>
      </c>
      <c r="AW9" t="str">
        <f>TRIM(MID(SUBSTITUTE($G9, ",", REPT(" ", 100)), (COLUMNS($AJ$2:AW9)-1)*100+1, 100))</f>
        <v/>
      </c>
      <c r="AX9" t="str">
        <f>TRIM(MID(SUBSTITUTE($G9, ",", REPT(" ", 100)), (COLUMNS($AJ$2:AX9)-1)*100+1, 100))</f>
        <v/>
      </c>
      <c r="AY9" t="str">
        <f>TRIM(MID(SUBSTITUTE($G9, ",", REPT(" ", 100)), (COLUMNS($AJ$2:AY9)-1)*100+1, 100))</f>
        <v/>
      </c>
      <c r="AZ9" t="str">
        <f>TRIM(MID(SUBSTITUTE($G9, ",", REPT(" ", 100)), (COLUMNS($AJ$2:AZ9)-1)*100+1, 100))</f>
        <v/>
      </c>
      <c r="BA9" t="str">
        <f>TRIM(MID(SUBSTITUTE($G9, ",", REPT(" ", 100)), (COLUMNS($AJ$2:BA9)-1)*100+1, 100))</f>
        <v/>
      </c>
      <c r="BB9" t="str">
        <f>TRIM(MID(SUBSTITUTE($G9, ",", REPT(" ", 100)), (COLUMNS($AJ$2:BB9)-1)*100+1, 100))</f>
        <v/>
      </c>
      <c r="BC9" t="str">
        <f>TRIM(MID(SUBSTITUTE($G9, ",", REPT(" ", 100)), (COLUMNS($AJ$2:BC9)-1)*100+1, 100))</f>
        <v/>
      </c>
    </row>
    <row r="10" spans="1:55" ht="14.7" thickBot="1" x14ac:dyDescent="0.55000000000000004">
      <c r="A10" t="s">
        <v>433</v>
      </c>
      <c r="B10" s="71">
        <v>46031</v>
      </c>
      <c r="C10" s="2">
        <v>6.5</v>
      </c>
      <c r="D10" s="264"/>
      <c r="E10" s="267"/>
      <c r="F10" s="58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0</v>
      </c>
      <c r="N10" s="157" t="s">
        <v>13</v>
      </c>
      <c r="O10" s="192"/>
      <c r="P10" s="253"/>
      <c r="Q10" s="57">
        <f>COUNTIFS(C153:C182,"&gt;=10")</f>
        <v>0</v>
      </c>
      <c r="R10" s="57">
        <f>COUNTIFS(C153:C182,"&gt;=8", C153:C182,"&lt;10")</f>
        <v>0</v>
      </c>
      <c r="S10" s="57">
        <f>COUNTIFS(C153:C182,"&gt;=6",C153:C182,"&lt;8")</f>
        <v>0</v>
      </c>
      <c r="T10" s="57">
        <f>COUNTIFS(A153:A182,"&gt;=0", A153:A182,"&lt;2")</f>
        <v>0</v>
      </c>
      <c r="U10" s="57">
        <f>COUNTIFS(C153:C182,"&gt;=2", C153:C182,"&lt;4")</f>
        <v>0</v>
      </c>
      <c r="V10" s="57">
        <f>COUNTIFS(C153:C182,"&gt;=0", C153:C182,"&lt;2")</f>
        <v>0</v>
      </c>
      <c r="W10" s="242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  <c r="AR10" t="str">
        <f>TRIM(MID(SUBSTITUTE($G10, ",", REPT(" ", 100)), (COLUMNS($AJ$2:AR10)-1)*100+1, 100))</f>
        <v/>
      </c>
      <c r="AS10" t="str">
        <f>TRIM(MID(SUBSTITUTE($G10, ",", REPT(" ", 100)), (COLUMNS($AJ$2:AS10)-1)*100+1, 100))</f>
        <v/>
      </c>
      <c r="AT10" t="str">
        <f>TRIM(MID(SUBSTITUTE($G10, ",", REPT(" ", 100)), (COLUMNS($AJ$2:AT10)-1)*100+1, 100))</f>
        <v/>
      </c>
      <c r="AU10" t="str">
        <f>TRIM(MID(SUBSTITUTE($G10, ",", REPT(" ", 100)), (COLUMNS($AJ$2:AU10)-1)*100+1, 100))</f>
        <v/>
      </c>
      <c r="AV10" t="str">
        <f>TRIM(MID(SUBSTITUTE($G10, ",", REPT(" ", 100)), (COLUMNS($AJ$2:AV10)-1)*100+1, 100))</f>
        <v/>
      </c>
      <c r="AW10" t="str">
        <f>TRIM(MID(SUBSTITUTE($G10, ",", REPT(" ", 100)), (COLUMNS($AJ$2:AW10)-1)*100+1, 100))</f>
        <v/>
      </c>
      <c r="AX10" t="str">
        <f>TRIM(MID(SUBSTITUTE($G10, ",", REPT(" ", 100)), (COLUMNS($AJ$2:AX10)-1)*100+1, 100))</f>
        <v/>
      </c>
      <c r="AY10" t="str">
        <f>TRIM(MID(SUBSTITUTE($G10, ",", REPT(" ", 100)), (COLUMNS($AJ$2:AY10)-1)*100+1, 100))</f>
        <v/>
      </c>
      <c r="AZ10" t="str">
        <f>TRIM(MID(SUBSTITUTE($G10, ",", REPT(" ", 100)), (COLUMNS($AJ$2:AZ10)-1)*100+1, 100))</f>
        <v/>
      </c>
      <c r="BA10" t="str">
        <f>TRIM(MID(SUBSTITUTE($G10, ",", REPT(" ", 100)), (COLUMNS($AJ$2:BA10)-1)*100+1, 100))</f>
        <v/>
      </c>
      <c r="BB10" t="str">
        <f>TRIM(MID(SUBSTITUTE($G10, ",", REPT(" ", 100)), (COLUMNS($AJ$2:BB10)-1)*100+1, 100))</f>
        <v/>
      </c>
      <c r="BC10" t="str">
        <f>TRIM(MID(SUBSTITUTE($G10, ",", REPT(" ", 100)), (COLUMNS($AJ$2:BC10)-1)*100+1, 100))</f>
        <v/>
      </c>
    </row>
    <row r="11" spans="1:55" ht="14.7" thickBot="1" x14ac:dyDescent="0.55000000000000004">
      <c r="A11" t="s">
        <v>434</v>
      </c>
      <c r="B11" s="53">
        <v>46032</v>
      </c>
      <c r="C11" s="2">
        <v>5.0999999999999996</v>
      </c>
      <c r="D11" s="264"/>
      <c r="E11" s="267"/>
      <c r="F11" s="58">
        <v>1</v>
      </c>
      <c r="G11" s="69" t="s">
        <v>194</v>
      </c>
      <c r="I11" s="38">
        <v>1</v>
      </c>
      <c r="J11" s="245" t="s">
        <v>6</v>
      </c>
      <c r="K11" s="246"/>
      <c r="L11" s="17">
        <f>SUM(L5:L10)</f>
        <v>79</v>
      </c>
      <c r="N11" s="157" t="s">
        <v>14</v>
      </c>
      <c r="O11" s="192"/>
      <c r="P11" s="253"/>
      <c r="Q11" s="57">
        <f>COUNTIFS(C183:C213,"&gt;=10")</f>
        <v>0</v>
      </c>
      <c r="R11" s="57">
        <f>COUNTIFS(C183:C213,"&gt;=8", C183:C213,"&lt;10")</f>
        <v>0</v>
      </c>
      <c r="S11" s="57">
        <f>COUNTIFS(C183:C213,"&gt;=6",C183:C213,"&lt;8")</f>
        <v>0</v>
      </c>
      <c r="T11" s="57">
        <f>COUNTIFS(A183:A213,"&gt;=0", A183:A213,"&lt;2")</f>
        <v>0</v>
      </c>
      <c r="U11" s="57">
        <f>COUNTIFS(C183:C213,"&gt;=2", C183:C213,"&lt;4")</f>
        <v>0</v>
      </c>
      <c r="V11" s="57">
        <f>COUNTIFS(C183:C213,"&gt;=0", C183:C213,"&lt;2")</f>
        <v>0</v>
      </c>
      <c r="W11" s="242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  <c r="AR11" t="str">
        <f>TRIM(MID(SUBSTITUTE($G11, ",", REPT(" ", 100)), (COLUMNS($AJ$2:AR11)-1)*100+1, 100))</f>
        <v/>
      </c>
      <c r="AS11" t="str">
        <f>TRIM(MID(SUBSTITUTE($G11, ",", REPT(" ", 100)), (COLUMNS($AJ$2:AS11)-1)*100+1, 100))</f>
        <v/>
      </c>
      <c r="AT11" t="str">
        <f>TRIM(MID(SUBSTITUTE($G11, ",", REPT(" ", 100)), (COLUMNS($AJ$2:AT11)-1)*100+1, 100))</f>
        <v/>
      </c>
      <c r="AU11" t="str">
        <f>TRIM(MID(SUBSTITUTE($G11, ",", REPT(" ", 100)), (COLUMNS($AJ$2:AU11)-1)*100+1, 100))</f>
        <v/>
      </c>
      <c r="AV11" t="str">
        <f>TRIM(MID(SUBSTITUTE($G11, ",", REPT(" ", 100)), (COLUMNS($AJ$2:AV11)-1)*100+1, 100))</f>
        <v/>
      </c>
      <c r="AW11" t="str">
        <f>TRIM(MID(SUBSTITUTE($G11, ",", REPT(" ", 100)), (COLUMNS($AJ$2:AW11)-1)*100+1, 100))</f>
        <v/>
      </c>
      <c r="AX11" t="str">
        <f>TRIM(MID(SUBSTITUTE($G11, ",", REPT(" ", 100)), (COLUMNS($AJ$2:AX11)-1)*100+1, 100))</f>
        <v/>
      </c>
      <c r="AY11" t="str">
        <f>TRIM(MID(SUBSTITUTE($G11, ",", REPT(" ", 100)), (COLUMNS($AJ$2:AY11)-1)*100+1, 100))</f>
        <v/>
      </c>
      <c r="AZ11" t="str">
        <f>TRIM(MID(SUBSTITUTE($G11, ",", REPT(" ", 100)), (COLUMNS($AJ$2:AZ11)-1)*100+1, 100))</f>
        <v/>
      </c>
      <c r="BA11" t="str">
        <f>TRIM(MID(SUBSTITUTE($G11, ",", REPT(" ", 100)), (COLUMNS($AJ$2:BA11)-1)*100+1, 100))</f>
        <v/>
      </c>
      <c r="BB11" t="str">
        <f>TRIM(MID(SUBSTITUTE($G11, ",", REPT(" ", 100)), (COLUMNS($AJ$2:BB11)-1)*100+1, 100))</f>
        <v/>
      </c>
      <c r="BC11" t="str">
        <f>TRIM(MID(SUBSTITUTE($G11, ",", REPT(" ", 100)), (COLUMNS($AJ$2:BC11)-1)*100+1, 100))</f>
        <v/>
      </c>
    </row>
    <row r="12" spans="1:55" ht="14.7" thickBot="1" x14ac:dyDescent="0.55000000000000004">
      <c r="A12" t="s">
        <v>435</v>
      </c>
      <c r="B12" s="71">
        <v>46033</v>
      </c>
      <c r="C12" s="2">
        <v>6</v>
      </c>
      <c r="D12" s="264"/>
      <c r="E12" s="267"/>
      <c r="F12" s="58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192"/>
      <c r="P12" s="253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0</v>
      </c>
      <c r="T12" s="57">
        <f>COUNTIFS(A214:A244,"&gt;=0", A214:A244,"&lt;2")</f>
        <v>0</v>
      </c>
      <c r="U12" s="57">
        <f>COUNTIFS(C214:C244,"&gt;=2", C214:C244,"&lt;4")</f>
        <v>0</v>
      </c>
      <c r="V12" s="57">
        <f>COUNTIFS(C214:C244,"&gt;=0", C214:C244,"&lt;2")</f>
        <v>0</v>
      </c>
      <c r="W12" s="243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  <c r="AR12" t="str">
        <f>TRIM(MID(SUBSTITUTE($G12, ",", REPT(" ", 100)), (COLUMNS($AJ$2:AR12)-1)*100+1, 100))</f>
        <v/>
      </c>
      <c r="AS12" t="str">
        <f>TRIM(MID(SUBSTITUTE($G12, ",", REPT(" ", 100)), (COLUMNS($AJ$2:AS12)-1)*100+1, 100))</f>
        <v/>
      </c>
      <c r="AT12" t="str">
        <f>TRIM(MID(SUBSTITUTE($G12, ",", REPT(" ", 100)), (COLUMNS($AJ$2:AT12)-1)*100+1, 100))</f>
        <v/>
      </c>
      <c r="AU12" t="str">
        <f>TRIM(MID(SUBSTITUTE($G12, ",", REPT(" ", 100)), (COLUMNS($AJ$2:AU12)-1)*100+1, 100))</f>
        <v/>
      </c>
      <c r="AV12" t="str">
        <f>TRIM(MID(SUBSTITUTE($G12, ",", REPT(" ", 100)), (COLUMNS($AJ$2:AV12)-1)*100+1, 100))</f>
        <v/>
      </c>
      <c r="AW12" t="str">
        <f>TRIM(MID(SUBSTITUTE($G12, ",", REPT(" ", 100)), (COLUMNS($AJ$2:AW12)-1)*100+1, 100))</f>
        <v/>
      </c>
      <c r="AX12" t="str">
        <f>TRIM(MID(SUBSTITUTE($G12, ",", REPT(" ", 100)), (COLUMNS($AJ$2:AX12)-1)*100+1, 100))</f>
        <v/>
      </c>
      <c r="AY12" t="str">
        <f>TRIM(MID(SUBSTITUTE($G12, ",", REPT(" ", 100)), (COLUMNS($AJ$2:AY12)-1)*100+1, 100))</f>
        <v/>
      </c>
      <c r="AZ12" t="str">
        <f>TRIM(MID(SUBSTITUTE($G12, ",", REPT(" ", 100)), (COLUMNS($AJ$2:AZ12)-1)*100+1, 100))</f>
        <v/>
      </c>
      <c r="BA12" t="str">
        <f>TRIM(MID(SUBSTITUTE($G12, ",", REPT(" ", 100)), (COLUMNS($AJ$2:BA12)-1)*100+1, 100))</f>
        <v/>
      </c>
      <c r="BB12" t="str">
        <f>TRIM(MID(SUBSTITUTE($G12, ",", REPT(" ", 100)), (COLUMNS($AJ$2:BB12)-1)*100+1, 100))</f>
        <v/>
      </c>
      <c r="BC12" t="str">
        <f>TRIM(MID(SUBSTITUTE($G12, ",", REPT(" ", 100)), (COLUMNS($AJ$2:BC12)-1)*100+1, 100))</f>
        <v/>
      </c>
    </row>
    <row r="13" spans="1:55" ht="14.7" thickBot="1" x14ac:dyDescent="0.55000000000000004">
      <c r="A13" t="s">
        <v>436</v>
      </c>
      <c r="B13" s="53">
        <v>46034</v>
      </c>
      <c r="C13" s="2">
        <v>3.9</v>
      </c>
      <c r="D13" s="264"/>
      <c r="E13" s="267"/>
      <c r="F13" s="58">
        <v>1</v>
      </c>
      <c r="G13" s="69" t="s">
        <v>176</v>
      </c>
      <c r="H13" s="38" t="s">
        <v>446</v>
      </c>
      <c r="I13" s="38">
        <v>0</v>
      </c>
      <c r="J13" s="247" t="s">
        <v>174</v>
      </c>
      <c r="K13" s="248"/>
      <c r="L13" s="251">
        <f>L11/3.65</f>
        <v>21.643835616438356</v>
      </c>
      <c r="N13" s="157" t="s">
        <v>16</v>
      </c>
      <c r="O13" s="192"/>
      <c r="P13" s="253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244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  <c r="AR13" t="str">
        <f>TRIM(MID(SUBSTITUTE($G13, ",", REPT(" ", 100)), (COLUMNS($AJ$2:AR13)-1)*100+1, 100))</f>
        <v/>
      </c>
      <c r="AS13" t="str">
        <f>TRIM(MID(SUBSTITUTE($G13, ",", REPT(" ", 100)), (COLUMNS($AJ$2:AS13)-1)*100+1, 100))</f>
        <v/>
      </c>
      <c r="AT13" t="str">
        <f>TRIM(MID(SUBSTITUTE($G13, ",", REPT(" ", 100)), (COLUMNS($AJ$2:AT13)-1)*100+1, 100))</f>
        <v/>
      </c>
      <c r="AU13" t="str">
        <f>TRIM(MID(SUBSTITUTE($G13, ",", REPT(" ", 100)), (COLUMNS($AJ$2:AU13)-1)*100+1, 100))</f>
        <v/>
      </c>
      <c r="AV13" t="str">
        <f>TRIM(MID(SUBSTITUTE($G13, ",", REPT(" ", 100)), (COLUMNS($AJ$2:AV13)-1)*100+1, 100))</f>
        <v/>
      </c>
      <c r="AW13" t="str">
        <f>TRIM(MID(SUBSTITUTE($G13, ",", REPT(" ", 100)), (COLUMNS($AJ$2:AW13)-1)*100+1, 100))</f>
        <v/>
      </c>
      <c r="AX13" t="str">
        <f>TRIM(MID(SUBSTITUTE($G13, ",", REPT(" ", 100)), (COLUMNS($AJ$2:AX13)-1)*100+1, 100))</f>
        <v/>
      </c>
      <c r="AY13" t="str">
        <f>TRIM(MID(SUBSTITUTE($G13, ",", REPT(" ", 100)), (COLUMNS($AJ$2:AY13)-1)*100+1, 100))</f>
        <v/>
      </c>
      <c r="AZ13" t="str">
        <f>TRIM(MID(SUBSTITUTE($G13, ",", REPT(" ", 100)), (COLUMNS($AJ$2:AZ13)-1)*100+1, 100))</f>
        <v/>
      </c>
      <c r="BA13" t="str">
        <f>TRIM(MID(SUBSTITUTE($G13, ",", REPT(" ", 100)), (COLUMNS($AJ$2:BA13)-1)*100+1, 100))</f>
        <v/>
      </c>
      <c r="BB13" t="str">
        <f>TRIM(MID(SUBSTITUTE($G13, ",", REPT(" ", 100)), (COLUMNS($AJ$2:BB13)-1)*100+1, 100))</f>
        <v/>
      </c>
      <c r="BC13" t="str">
        <f>TRIM(MID(SUBSTITUTE($G13, ",", REPT(" ", 100)), (COLUMNS($AJ$2:BC13)-1)*100+1, 100))</f>
        <v/>
      </c>
    </row>
    <row r="14" spans="1:55" ht="14.7" thickBot="1" x14ac:dyDescent="0.55000000000000004">
      <c r="A14" t="s">
        <v>437</v>
      </c>
      <c r="B14" s="71">
        <v>46035</v>
      </c>
      <c r="C14" s="2">
        <v>4.4000000000000004</v>
      </c>
      <c r="D14" s="264"/>
      <c r="E14" s="267"/>
      <c r="F14" s="58">
        <v>0</v>
      </c>
      <c r="G14" s="69" t="s">
        <v>176</v>
      </c>
      <c r="H14" s="38" t="s">
        <v>113</v>
      </c>
      <c r="I14" s="38">
        <v>0</v>
      </c>
      <c r="J14" s="249"/>
      <c r="K14" s="250"/>
      <c r="L14" s="252"/>
      <c r="N14" s="157" t="s">
        <v>17</v>
      </c>
      <c r="O14" s="192"/>
      <c r="P14" s="253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242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1">L5</f>
        <v>2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  <c r="AR14" t="str">
        <f>TRIM(MID(SUBSTITUTE($G14, ",", REPT(" ", 100)), (COLUMNS($AJ$2:AR14)-1)*100+1, 100))</f>
        <v/>
      </c>
      <c r="AS14" t="str">
        <f>TRIM(MID(SUBSTITUTE($G14, ",", REPT(" ", 100)), (COLUMNS($AJ$2:AS14)-1)*100+1, 100))</f>
        <v/>
      </c>
      <c r="AT14" t="str">
        <f>TRIM(MID(SUBSTITUTE($G14, ",", REPT(" ", 100)), (COLUMNS($AJ$2:AT14)-1)*100+1, 100))</f>
        <v/>
      </c>
      <c r="AU14" t="str">
        <f>TRIM(MID(SUBSTITUTE($G14, ",", REPT(" ", 100)), (COLUMNS($AJ$2:AU14)-1)*100+1, 100))</f>
        <v/>
      </c>
      <c r="AV14" t="str">
        <f>TRIM(MID(SUBSTITUTE($G14, ",", REPT(" ", 100)), (COLUMNS($AJ$2:AV14)-1)*100+1, 100))</f>
        <v/>
      </c>
      <c r="AW14" t="str">
        <f>TRIM(MID(SUBSTITUTE($G14, ",", REPT(" ", 100)), (COLUMNS($AJ$2:AW14)-1)*100+1, 100))</f>
        <v/>
      </c>
      <c r="AX14" t="str">
        <f>TRIM(MID(SUBSTITUTE($G14, ",", REPT(" ", 100)), (COLUMNS($AJ$2:AX14)-1)*100+1, 100))</f>
        <v/>
      </c>
      <c r="AY14" t="str">
        <f>TRIM(MID(SUBSTITUTE($G14, ",", REPT(" ", 100)), (COLUMNS($AJ$2:AY14)-1)*100+1, 100))</f>
        <v/>
      </c>
      <c r="AZ14" t="str">
        <f>TRIM(MID(SUBSTITUTE($G14, ",", REPT(" ", 100)), (COLUMNS($AJ$2:AZ14)-1)*100+1, 100))</f>
        <v/>
      </c>
      <c r="BA14" t="str">
        <f>TRIM(MID(SUBSTITUTE($G14, ",", REPT(" ", 100)), (COLUMNS($AJ$2:BA14)-1)*100+1, 100))</f>
        <v/>
      </c>
      <c r="BB14" t="str">
        <f>TRIM(MID(SUBSTITUTE($G14, ",", REPT(" ", 100)), (COLUMNS($AJ$2:BB14)-1)*100+1, 100))</f>
        <v/>
      </c>
      <c r="BC14" t="str">
        <f>TRIM(MID(SUBSTITUTE($G14, ",", REPT(" ", 100)), (COLUMNS($AJ$2:BC14)-1)*100+1, 100))</f>
        <v/>
      </c>
    </row>
    <row r="15" spans="1:55" ht="14.7" thickBot="1" x14ac:dyDescent="0.55000000000000004">
      <c r="A15" t="s">
        <v>438</v>
      </c>
      <c r="B15" s="53">
        <v>46036</v>
      </c>
      <c r="C15" s="2">
        <v>5.3</v>
      </c>
      <c r="D15" s="264"/>
      <c r="E15" s="267"/>
      <c r="F15" s="58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192"/>
      <c r="P15" s="253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242"/>
      <c r="AF15" s="31" t="s">
        <v>9</v>
      </c>
      <c r="AG15" s="66">
        <f>AVERAGE(F33:F60)*100</f>
        <v>71.428571428571431</v>
      </c>
      <c r="AI15" t="str">
        <f>TRIM(MID(SUBSTITUTE($G36, ",", REPT(" ", 100)), (COLUMNS($AJ$2:AN36)-1)*100+1, 100))</f>
        <v/>
      </c>
      <c r="AJ15" s="7" t="s">
        <v>1</v>
      </c>
      <c r="AK15" s="9">
        <f t="shared" si="1"/>
        <v>6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  <c r="AR15" t="str">
        <f>TRIM(MID(SUBSTITUTE($G15, ",", REPT(" ", 100)), (COLUMNS($AJ$2:AR15)-1)*100+1, 100))</f>
        <v/>
      </c>
      <c r="AS15" t="str">
        <f>TRIM(MID(SUBSTITUTE($G15, ",", REPT(" ", 100)), (COLUMNS($AJ$2:AS15)-1)*100+1, 100))</f>
        <v/>
      </c>
      <c r="AT15" t="str">
        <f>TRIM(MID(SUBSTITUTE($G15, ",", REPT(" ", 100)), (COLUMNS($AJ$2:AT15)-1)*100+1, 100))</f>
        <v/>
      </c>
      <c r="AU15" t="str">
        <f>TRIM(MID(SUBSTITUTE($G15, ",", REPT(" ", 100)), (COLUMNS($AJ$2:AU15)-1)*100+1, 100))</f>
        <v/>
      </c>
      <c r="AV15" t="str">
        <f>TRIM(MID(SUBSTITUTE($G15, ",", REPT(" ", 100)), (COLUMNS($AJ$2:AV15)-1)*100+1, 100))</f>
        <v/>
      </c>
      <c r="AW15" t="str">
        <f>TRIM(MID(SUBSTITUTE($G15, ",", REPT(" ", 100)), (COLUMNS($AJ$2:AW15)-1)*100+1, 100))</f>
        <v/>
      </c>
      <c r="AX15" t="str">
        <f>TRIM(MID(SUBSTITUTE($G15, ",", REPT(" ", 100)), (COLUMNS($AJ$2:AX15)-1)*100+1, 100))</f>
        <v/>
      </c>
      <c r="AY15" t="str">
        <f>TRIM(MID(SUBSTITUTE($G15, ",", REPT(" ", 100)), (COLUMNS($AJ$2:AY15)-1)*100+1, 100))</f>
        <v/>
      </c>
      <c r="AZ15" t="str">
        <f>TRIM(MID(SUBSTITUTE($G15, ",", REPT(" ", 100)), (COLUMNS($AJ$2:AZ15)-1)*100+1, 100))</f>
        <v/>
      </c>
      <c r="BA15" t="str">
        <f>TRIM(MID(SUBSTITUTE($G15, ",", REPT(" ", 100)), (COLUMNS($AJ$2:BA15)-1)*100+1, 100))</f>
        <v/>
      </c>
      <c r="BB15" t="str">
        <f>TRIM(MID(SUBSTITUTE($G15, ",", REPT(" ", 100)), (COLUMNS($AJ$2:BB15)-1)*100+1, 100))</f>
        <v/>
      </c>
      <c r="BC15" t="str">
        <f>TRIM(MID(SUBSTITUTE($G15, ",", REPT(" ", 100)), (COLUMNS($AJ$2:BC15)-1)*100+1, 100))</f>
        <v/>
      </c>
    </row>
    <row r="16" spans="1:55" x14ac:dyDescent="0.5">
      <c r="A16" t="s">
        <v>432</v>
      </c>
      <c r="B16" s="71">
        <v>46037</v>
      </c>
      <c r="C16" s="2">
        <v>5.4</v>
      </c>
      <c r="D16" s="264"/>
      <c r="E16" s="267"/>
      <c r="F16" s="58">
        <v>0</v>
      </c>
      <c r="G16" s="69" t="s">
        <v>176</v>
      </c>
      <c r="I16" s="38">
        <v>0</v>
      </c>
      <c r="N16" s="157" t="s">
        <v>19</v>
      </c>
      <c r="O16" s="192"/>
      <c r="P16" s="254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243"/>
      <c r="AF16" s="31" t="s">
        <v>10</v>
      </c>
      <c r="AG16" s="31">
        <f>AVERAGE(F61:F91)*100</f>
        <v>67.741935483870961</v>
      </c>
      <c r="AI16" t="str">
        <f>TRIM(MID(SUBSTITUTE($G37, ",", REPT(" ", 100)), (COLUMNS($AJ$2:AN37)-1)*100+1, 100))</f>
        <v/>
      </c>
      <c r="AJ16" s="11" t="s">
        <v>2</v>
      </c>
      <c r="AK16" s="9">
        <f t="shared" si="1"/>
        <v>40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  <c r="AR16" t="str">
        <f>TRIM(MID(SUBSTITUTE($G16, ",", REPT(" ", 100)), (COLUMNS($AJ$2:AR16)-1)*100+1, 100))</f>
        <v/>
      </c>
      <c r="AS16" t="str">
        <f>TRIM(MID(SUBSTITUTE($G16, ",", REPT(" ", 100)), (COLUMNS($AJ$2:AS16)-1)*100+1, 100))</f>
        <v/>
      </c>
      <c r="AT16" t="str">
        <f>TRIM(MID(SUBSTITUTE($G16, ",", REPT(" ", 100)), (COLUMNS($AJ$2:AT16)-1)*100+1, 100))</f>
        <v/>
      </c>
      <c r="AU16" t="str">
        <f>TRIM(MID(SUBSTITUTE($G16, ",", REPT(" ", 100)), (COLUMNS($AJ$2:AU16)-1)*100+1, 100))</f>
        <v/>
      </c>
      <c r="AV16" t="str">
        <f>TRIM(MID(SUBSTITUTE($G16, ",", REPT(" ", 100)), (COLUMNS($AJ$2:AV16)-1)*100+1, 100))</f>
        <v/>
      </c>
      <c r="AW16" t="str">
        <f>TRIM(MID(SUBSTITUTE($G16, ",", REPT(" ", 100)), (COLUMNS($AJ$2:AW16)-1)*100+1, 100))</f>
        <v/>
      </c>
      <c r="AX16" t="str">
        <f>TRIM(MID(SUBSTITUTE($G16, ",", REPT(" ", 100)), (COLUMNS($AJ$2:AX16)-1)*100+1, 100))</f>
        <v/>
      </c>
      <c r="AY16" t="str">
        <f>TRIM(MID(SUBSTITUTE($G16, ",", REPT(" ", 100)), (COLUMNS($AJ$2:AY16)-1)*100+1, 100))</f>
        <v/>
      </c>
      <c r="AZ16" t="str">
        <f>TRIM(MID(SUBSTITUTE($G16, ",", REPT(" ", 100)), (COLUMNS($AJ$2:AZ16)-1)*100+1, 100))</f>
        <v/>
      </c>
      <c r="BA16" t="str">
        <f>TRIM(MID(SUBSTITUTE($G16, ",", REPT(" ", 100)), (COLUMNS($AJ$2:BA16)-1)*100+1, 100))</f>
        <v/>
      </c>
      <c r="BB16" t="str">
        <f>TRIM(MID(SUBSTITUTE($G16, ",", REPT(" ", 100)), (COLUMNS($AJ$2:BB16)-1)*100+1, 100))</f>
        <v/>
      </c>
      <c r="BC16" t="str">
        <f>TRIM(MID(SUBSTITUTE($G16, ",", REPT(" ", 100)), (COLUMNS($AJ$2:BC16)-1)*100+1, 100))</f>
        <v/>
      </c>
    </row>
    <row r="17" spans="1:55" ht="14.7" thickBot="1" x14ac:dyDescent="0.55000000000000004">
      <c r="A17" t="s">
        <v>433</v>
      </c>
      <c r="B17" s="53">
        <v>46038</v>
      </c>
      <c r="C17" s="2">
        <v>6</v>
      </c>
      <c r="D17" s="264"/>
      <c r="E17" s="267"/>
      <c r="F17" s="58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/>
      <c r="AI17" t="str">
        <f>TRIM(MID(SUBSTITUTE($G38, ",", REPT(" ", 100)), (COLUMNS($AJ$2:AN38)-1)*100+1, 100))</f>
        <v/>
      </c>
      <c r="AJ17" s="12" t="s">
        <v>3</v>
      </c>
      <c r="AK17" s="9">
        <f t="shared" si="1"/>
        <v>30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  <c r="AR17" t="str">
        <f>TRIM(MID(SUBSTITUTE($G17, ",", REPT(" ", 100)), (COLUMNS($AJ$2:AR17)-1)*100+1, 100))</f>
        <v/>
      </c>
      <c r="AS17" t="str">
        <f>TRIM(MID(SUBSTITUTE($G17, ",", REPT(" ", 100)), (COLUMNS($AJ$2:AS17)-1)*100+1, 100))</f>
        <v/>
      </c>
      <c r="AT17" t="str">
        <f>TRIM(MID(SUBSTITUTE($G17, ",", REPT(" ", 100)), (COLUMNS($AJ$2:AT17)-1)*100+1, 100))</f>
        <v/>
      </c>
      <c r="AU17" t="str">
        <f>TRIM(MID(SUBSTITUTE($G17, ",", REPT(" ", 100)), (COLUMNS($AJ$2:AU17)-1)*100+1, 100))</f>
        <v/>
      </c>
      <c r="AV17" t="str">
        <f>TRIM(MID(SUBSTITUTE($G17, ",", REPT(" ", 100)), (COLUMNS($AJ$2:AV17)-1)*100+1, 100))</f>
        <v/>
      </c>
      <c r="AW17" t="str">
        <f>TRIM(MID(SUBSTITUTE($G17, ",", REPT(" ", 100)), (COLUMNS($AJ$2:AW17)-1)*100+1, 100))</f>
        <v/>
      </c>
      <c r="AX17" t="str">
        <f>TRIM(MID(SUBSTITUTE($G17, ",", REPT(" ", 100)), (COLUMNS($AJ$2:AX17)-1)*100+1, 100))</f>
        <v/>
      </c>
      <c r="AY17" t="str">
        <f>TRIM(MID(SUBSTITUTE($G17, ",", REPT(" ", 100)), (COLUMNS($AJ$2:AY17)-1)*100+1, 100))</f>
        <v/>
      </c>
      <c r="AZ17" t="str">
        <f>TRIM(MID(SUBSTITUTE($G17, ",", REPT(" ", 100)), (COLUMNS($AJ$2:AZ17)-1)*100+1, 100))</f>
        <v/>
      </c>
      <c r="BA17" t="str">
        <f>TRIM(MID(SUBSTITUTE($G17, ",", REPT(" ", 100)), (COLUMNS($AJ$2:BA17)-1)*100+1, 100))</f>
        <v/>
      </c>
      <c r="BB17" t="str">
        <f>TRIM(MID(SUBSTITUTE($G17, ",", REPT(" ", 100)), (COLUMNS($AJ$2:BB17)-1)*100+1, 100))</f>
        <v/>
      </c>
      <c r="BC17" t="str">
        <f>TRIM(MID(SUBSTITUTE($G17, ",", REPT(" ", 100)), (COLUMNS($AJ$2:BC17)-1)*100+1, 100))</f>
        <v/>
      </c>
    </row>
    <row r="18" spans="1:55" x14ac:dyDescent="0.5">
      <c r="A18" t="s">
        <v>434</v>
      </c>
      <c r="B18" s="71">
        <v>46039</v>
      </c>
      <c r="C18" s="2">
        <v>6.9</v>
      </c>
      <c r="D18" s="264"/>
      <c r="E18" s="267"/>
      <c r="F18" s="58">
        <v>0</v>
      </c>
      <c r="G18" s="69" t="s">
        <v>176</v>
      </c>
      <c r="I18" s="38">
        <v>0.6</v>
      </c>
      <c r="AF18" s="31" t="s">
        <v>12</v>
      </c>
      <c r="AG18" s="31"/>
      <c r="AI18" t="str">
        <f>TRIM(MID(SUBSTITUTE($G39, ",", REPT(" ", 100)), (COLUMNS($AJ$2:AN39)-1)*100+1, 100))</f>
        <v/>
      </c>
      <c r="AJ18" s="13" t="s">
        <v>4</v>
      </c>
      <c r="AK18" s="9">
        <f t="shared" si="1"/>
        <v>1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  <c r="AR18" t="str">
        <f>TRIM(MID(SUBSTITUTE($G18, ",", REPT(" ", 100)), (COLUMNS($AJ$2:AR18)-1)*100+1, 100))</f>
        <v/>
      </c>
      <c r="AS18" t="str">
        <f>TRIM(MID(SUBSTITUTE($G18, ",", REPT(" ", 100)), (COLUMNS($AJ$2:AS18)-1)*100+1, 100))</f>
        <v/>
      </c>
      <c r="AT18" t="str">
        <f>TRIM(MID(SUBSTITUTE($G18, ",", REPT(" ", 100)), (COLUMNS($AJ$2:AT18)-1)*100+1, 100))</f>
        <v/>
      </c>
      <c r="AU18" t="str">
        <f>TRIM(MID(SUBSTITUTE($G18, ",", REPT(" ", 100)), (COLUMNS($AJ$2:AU18)-1)*100+1, 100))</f>
        <v/>
      </c>
      <c r="AV18" t="str">
        <f>TRIM(MID(SUBSTITUTE($G18, ",", REPT(" ", 100)), (COLUMNS($AJ$2:AV18)-1)*100+1, 100))</f>
        <v/>
      </c>
      <c r="AW18" t="str">
        <f>TRIM(MID(SUBSTITUTE($G18, ",", REPT(" ", 100)), (COLUMNS($AJ$2:AW18)-1)*100+1, 100))</f>
        <v/>
      </c>
      <c r="AX18" t="str">
        <f>TRIM(MID(SUBSTITUTE($G18, ",", REPT(" ", 100)), (COLUMNS($AJ$2:AX18)-1)*100+1, 100))</f>
        <v/>
      </c>
      <c r="AY18" t="str">
        <f>TRIM(MID(SUBSTITUTE($G18, ",", REPT(" ", 100)), (COLUMNS($AJ$2:AY18)-1)*100+1, 100))</f>
        <v/>
      </c>
      <c r="AZ18" t="str">
        <f>TRIM(MID(SUBSTITUTE($G18, ",", REPT(" ", 100)), (COLUMNS($AJ$2:AZ18)-1)*100+1, 100))</f>
        <v/>
      </c>
      <c r="BA18" t="str">
        <f>TRIM(MID(SUBSTITUTE($G18, ",", REPT(" ", 100)), (COLUMNS($AJ$2:BA18)-1)*100+1, 100))</f>
        <v/>
      </c>
      <c r="BB18" t="str">
        <f>TRIM(MID(SUBSTITUTE($G18, ",", REPT(" ", 100)), (COLUMNS($AJ$2:BB18)-1)*100+1, 100))</f>
        <v/>
      </c>
      <c r="BC18" t="str">
        <f>TRIM(MID(SUBSTITUTE($G18, ",", REPT(" ", 100)), (COLUMNS($AJ$2:BC18)-1)*100+1, 100))</f>
        <v/>
      </c>
    </row>
    <row r="19" spans="1:55" ht="14.7" thickBot="1" x14ac:dyDescent="0.55000000000000004">
      <c r="A19" t="s">
        <v>435</v>
      </c>
      <c r="B19" s="53">
        <v>46040</v>
      </c>
      <c r="C19" s="2">
        <v>7.6</v>
      </c>
      <c r="D19" s="264"/>
      <c r="E19" s="267"/>
      <c r="F19" s="58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/>
      <c r="AI19" t="str">
        <f>TRIM(MID(SUBSTITUTE($G40, ",", REPT(" ", 100)), (COLUMNS($AJ$2:AN40)-1)*100+1, 100))</f>
        <v/>
      </c>
      <c r="AJ19" s="14" t="s">
        <v>5</v>
      </c>
      <c r="AK19" s="16">
        <f t="shared" si="1"/>
        <v>0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  <c r="AR19" t="str">
        <f>TRIM(MID(SUBSTITUTE($G19, ",", REPT(" ", 100)), (COLUMNS($AJ$2:AR19)-1)*100+1, 100))</f>
        <v/>
      </c>
      <c r="AS19" t="str">
        <f>TRIM(MID(SUBSTITUTE($G19, ",", REPT(" ", 100)), (COLUMNS($AJ$2:AS19)-1)*100+1, 100))</f>
        <v/>
      </c>
      <c r="AT19" t="str">
        <f>TRIM(MID(SUBSTITUTE($G19, ",", REPT(" ", 100)), (COLUMNS($AJ$2:AT19)-1)*100+1, 100))</f>
        <v/>
      </c>
      <c r="AU19" t="str">
        <f>TRIM(MID(SUBSTITUTE($G19, ",", REPT(" ", 100)), (COLUMNS($AJ$2:AU19)-1)*100+1, 100))</f>
        <v/>
      </c>
      <c r="AV19" t="str">
        <f>TRIM(MID(SUBSTITUTE($G19, ",", REPT(" ", 100)), (COLUMNS($AJ$2:AV19)-1)*100+1, 100))</f>
        <v/>
      </c>
      <c r="AW19" t="str">
        <f>TRIM(MID(SUBSTITUTE($G19, ",", REPT(" ", 100)), (COLUMNS($AJ$2:AW19)-1)*100+1, 100))</f>
        <v/>
      </c>
      <c r="AX19" t="str">
        <f>TRIM(MID(SUBSTITUTE($G19, ",", REPT(" ", 100)), (COLUMNS($AJ$2:AX19)-1)*100+1, 100))</f>
        <v/>
      </c>
      <c r="AY19" t="str">
        <f>TRIM(MID(SUBSTITUTE($G19, ",", REPT(" ", 100)), (COLUMNS($AJ$2:AY19)-1)*100+1, 100))</f>
        <v/>
      </c>
      <c r="AZ19" t="str">
        <f>TRIM(MID(SUBSTITUTE($G19, ",", REPT(" ", 100)), (COLUMNS($AJ$2:AZ19)-1)*100+1, 100))</f>
        <v/>
      </c>
      <c r="BA19" t="str">
        <f>TRIM(MID(SUBSTITUTE($G19, ",", REPT(" ", 100)), (COLUMNS($AJ$2:BA19)-1)*100+1, 100))</f>
        <v/>
      </c>
      <c r="BB19" t="str">
        <f>TRIM(MID(SUBSTITUTE($G19, ",", REPT(" ", 100)), (COLUMNS($AJ$2:BB19)-1)*100+1, 100))</f>
        <v/>
      </c>
      <c r="BC19" t="str">
        <f>TRIM(MID(SUBSTITUTE($G19, ",", REPT(" ", 100)), (COLUMNS($AJ$2:BC19)-1)*100+1, 100))</f>
        <v/>
      </c>
    </row>
    <row r="20" spans="1:55" x14ac:dyDescent="0.5">
      <c r="A20" t="s">
        <v>436</v>
      </c>
      <c r="B20" s="71">
        <v>46041</v>
      </c>
      <c r="C20" s="2">
        <v>6.5</v>
      </c>
      <c r="D20" s="264"/>
      <c r="E20" s="267"/>
      <c r="F20" s="58">
        <v>1</v>
      </c>
      <c r="G20" s="69" t="s">
        <v>176</v>
      </c>
      <c r="I20" s="38">
        <v>0</v>
      </c>
      <c r="AF20" s="31" t="s">
        <v>14</v>
      </c>
      <c r="AG20" s="31"/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  <c r="AR20" t="str">
        <f>TRIM(MID(SUBSTITUTE($G20, ",", REPT(" ", 100)), (COLUMNS($AJ$2:AR20)-1)*100+1, 100))</f>
        <v/>
      </c>
      <c r="AS20" t="str">
        <f>TRIM(MID(SUBSTITUTE($G20, ",", REPT(" ", 100)), (COLUMNS($AJ$2:AS20)-1)*100+1, 100))</f>
        <v/>
      </c>
      <c r="AT20" t="str">
        <f>TRIM(MID(SUBSTITUTE($G20, ",", REPT(" ", 100)), (COLUMNS($AJ$2:AT20)-1)*100+1, 100))</f>
        <v/>
      </c>
      <c r="AU20" t="str">
        <f>TRIM(MID(SUBSTITUTE($G20, ",", REPT(" ", 100)), (COLUMNS($AJ$2:AU20)-1)*100+1, 100))</f>
        <v/>
      </c>
      <c r="AV20" t="str">
        <f>TRIM(MID(SUBSTITUTE($G20, ",", REPT(" ", 100)), (COLUMNS($AJ$2:AV20)-1)*100+1, 100))</f>
        <v/>
      </c>
      <c r="AW20" t="str">
        <f>TRIM(MID(SUBSTITUTE($G20, ",", REPT(" ", 100)), (COLUMNS($AJ$2:AW20)-1)*100+1, 100))</f>
        <v/>
      </c>
      <c r="AX20" t="str">
        <f>TRIM(MID(SUBSTITUTE($G20, ",", REPT(" ", 100)), (COLUMNS($AJ$2:AX20)-1)*100+1, 100))</f>
        <v/>
      </c>
      <c r="AY20" t="str">
        <f>TRIM(MID(SUBSTITUTE($G20, ",", REPT(" ", 100)), (COLUMNS($AJ$2:AY20)-1)*100+1, 100))</f>
        <v/>
      </c>
      <c r="AZ20" t="str">
        <f>TRIM(MID(SUBSTITUTE($G20, ",", REPT(" ", 100)), (COLUMNS($AJ$2:AZ20)-1)*100+1, 100))</f>
        <v/>
      </c>
      <c r="BA20" t="str">
        <f>TRIM(MID(SUBSTITUTE($G20, ",", REPT(" ", 100)), (COLUMNS($AJ$2:BA20)-1)*100+1, 100))</f>
        <v/>
      </c>
      <c r="BB20" t="str">
        <f>TRIM(MID(SUBSTITUTE($G20, ",", REPT(" ", 100)), (COLUMNS($AJ$2:BB20)-1)*100+1, 100))</f>
        <v/>
      </c>
      <c r="BC20" t="str">
        <f>TRIM(MID(SUBSTITUTE($G20, ",", REPT(" ", 100)), (COLUMNS($AJ$2:BC20)-1)*100+1, 100))</f>
        <v/>
      </c>
    </row>
    <row r="21" spans="1:55" ht="14.7" thickBot="1" x14ac:dyDescent="0.55000000000000004">
      <c r="A21" t="s">
        <v>437</v>
      </c>
      <c r="B21" s="53">
        <v>46042</v>
      </c>
      <c r="C21" s="2">
        <v>6</v>
      </c>
      <c r="D21" s="264"/>
      <c r="E21" s="267"/>
      <c r="F21" s="58">
        <v>0</v>
      </c>
      <c r="G21" s="69" t="s">
        <v>176</v>
      </c>
      <c r="I21" s="38">
        <v>0</v>
      </c>
      <c r="AF21" s="31" t="s">
        <v>15</v>
      </c>
      <c r="AG21" s="31"/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  <c r="AR21" t="str">
        <f>TRIM(MID(SUBSTITUTE($G21, ",", REPT(" ", 100)), (COLUMNS($AJ$2:AR21)-1)*100+1, 100))</f>
        <v/>
      </c>
      <c r="AS21" t="str">
        <f>TRIM(MID(SUBSTITUTE($G21, ",", REPT(" ", 100)), (COLUMNS($AJ$2:AS21)-1)*100+1, 100))</f>
        <v/>
      </c>
      <c r="AT21" t="str">
        <f>TRIM(MID(SUBSTITUTE($G21, ",", REPT(" ", 100)), (COLUMNS($AJ$2:AT21)-1)*100+1, 100))</f>
        <v/>
      </c>
      <c r="AU21" t="str">
        <f>TRIM(MID(SUBSTITUTE($G21, ",", REPT(" ", 100)), (COLUMNS($AJ$2:AU21)-1)*100+1, 100))</f>
        <v/>
      </c>
      <c r="AV21" t="str">
        <f>TRIM(MID(SUBSTITUTE($G21, ",", REPT(" ", 100)), (COLUMNS($AJ$2:AV21)-1)*100+1, 100))</f>
        <v/>
      </c>
      <c r="AW21" t="str">
        <f>TRIM(MID(SUBSTITUTE($G21, ",", REPT(" ", 100)), (COLUMNS($AJ$2:AW21)-1)*100+1, 100))</f>
        <v/>
      </c>
      <c r="AX21" t="str">
        <f>TRIM(MID(SUBSTITUTE($G21, ",", REPT(" ", 100)), (COLUMNS($AJ$2:AX21)-1)*100+1, 100))</f>
        <v/>
      </c>
      <c r="AY21" t="str">
        <f>TRIM(MID(SUBSTITUTE($G21, ",", REPT(" ", 100)), (COLUMNS($AJ$2:AY21)-1)*100+1, 100))</f>
        <v/>
      </c>
      <c r="AZ21" t="str">
        <f>TRIM(MID(SUBSTITUTE($G21, ",", REPT(" ", 100)), (COLUMNS($AJ$2:AZ21)-1)*100+1, 100))</f>
        <v/>
      </c>
      <c r="BA21" t="str">
        <f>TRIM(MID(SUBSTITUTE($G21, ",", REPT(" ", 100)), (COLUMNS($AJ$2:BA21)-1)*100+1, 100))</f>
        <v/>
      </c>
      <c r="BB21" t="str">
        <f>TRIM(MID(SUBSTITUTE($G21, ",", REPT(" ", 100)), (COLUMNS($AJ$2:BB21)-1)*100+1, 100))</f>
        <v/>
      </c>
      <c r="BC21" t="str">
        <f>TRIM(MID(SUBSTITUTE($G21, ",", REPT(" ", 100)), (COLUMNS($AJ$2:BC21)-1)*100+1, 100))</f>
        <v/>
      </c>
    </row>
    <row r="22" spans="1:55" x14ac:dyDescent="0.5">
      <c r="A22" t="s">
        <v>438</v>
      </c>
      <c r="B22" s="71">
        <v>46043</v>
      </c>
      <c r="C22" s="2">
        <v>6.7</v>
      </c>
      <c r="D22" s="264"/>
      <c r="E22" s="267"/>
      <c r="F22" s="58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  <c r="AR22" t="str">
        <f>TRIM(MID(SUBSTITUTE($G22, ",", REPT(" ", 100)), (COLUMNS($AJ$2:AR22)-1)*100+1, 100))</f>
        <v/>
      </c>
      <c r="AS22" t="str">
        <f>TRIM(MID(SUBSTITUTE($G22, ",", REPT(" ", 100)), (COLUMNS($AJ$2:AS22)-1)*100+1, 100))</f>
        <v/>
      </c>
      <c r="AT22" t="str">
        <f>TRIM(MID(SUBSTITUTE($G22, ",", REPT(" ", 100)), (COLUMNS($AJ$2:AT22)-1)*100+1, 100))</f>
        <v/>
      </c>
      <c r="AU22" t="str">
        <f>TRIM(MID(SUBSTITUTE($G22, ",", REPT(" ", 100)), (COLUMNS($AJ$2:AU22)-1)*100+1, 100))</f>
        <v/>
      </c>
      <c r="AV22" t="str">
        <f>TRIM(MID(SUBSTITUTE($G22, ",", REPT(" ", 100)), (COLUMNS($AJ$2:AV22)-1)*100+1, 100))</f>
        <v/>
      </c>
      <c r="AW22" t="str">
        <f>TRIM(MID(SUBSTITUTE($G22, ",", REPT(" ", 100)), (COLUMNS($AJ$2:AW22)-1)*100+1, 100))</f>
        <v/>
      </c>
      <c r="AX22" t="str">
        <f>TRIM(MID(SUBSTITUTE($G22, ",", REPT(" ", 100)), (COLUMNS($AJ$2:AX22)-1)*100+1, 100))</f>
        <v/>
      </c>
      <c r="AY22" t="str">
        <f>TRIM(MID(SUBSTITUTE($G22, ",", REPT(" ", 100)), (COLUMNS($AJ$2:AY22)-1)*100+1, 100))</f>
        <v/>
      </c>
      <c r="AZ22" t="str">
        <f>TRIM(MID(SUBSTITUTE($G22, ",", REPT(" ", 100)), (COLUMNS($AJ$2:AZ22)-1)*100+1, 100))</f>
        <v/>
      </c>
      <c r="BA22" t="str">
        <f>TRIM(MID(SUBSTITUTE($G22, ",", REPT(" ", 100)), (COLUMNS($AJ$2:BA22)-1)*100+1, 100))</f>
        <v/>
      </c>
      <c r="BB22" t="str">
        <f>TRIM(MID(SUBSTITUTE($G22, ",", REPT(" ", 100)), (COLUMNS($AJ$2:BB22)-1)*100+1, 100))</f>
        <v/>
      </c>
      <c r="BC22" t="str">
        <f>TRIM(MID(SUBSTITUTE($G22, ",", REPT(" ", 100)), (COLUMNS($AJ$2:BC22)-1)*100+1, 100))</f>
        <v/>
      </c>
    </row>
    <row r="23" spans="1:55" ht="14.7" thickBot="1" x14ac:dyDescent="0.55000000000000004">
      <c r="A23" t="s">
        <v>432</v>
      </c>
      <c r="B23" s="53">
        <v>46044</v>
      </c>
      <c r="C23" s="2">
        <v>5.8</v>
      </c>
      <c r="D23" s="264"/>
      <c r="E23" s="267"/>
      <c r="F23" s="58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  <c r="AR23" t="str">
        <f>TRIM(MID(SUBSTITUTE($G23, ",", REPT(" ", 100)), (COLUMNS($AJ$2:AR23)-1)*100+1, 100))</f>
        <v/>
      </c>
      <c r="AS23" t="str">
        <f>TRIM(MID(SUBSTITUTE($G23, ",", REPT(" ", 100)), (COLUMNS($AJ$2:AS23)-1)*100+1, 100))</f>
        <v/>
      </c>
      <c r="AT23" t="str">
        <f>TRIM(MID(SUBSTITUTE($G23, ",", REPT(" ", 100)), (COLUMNS($AJ$2:AT23)-1)*100+1, 100))</f>
        <v/>
      </c>
      <c r="AU23" t="str">
        <f>TRIM(MID(SUBSTITUTE($G23, ",", REPT(" ", 100)), (COLUMNS($AJ$2:AU23)-1)*100+1, 100))</f>
        <v/>
      </c>
      <c r="AV23" t="str">
        <f>TRIM(MID(SUBSTITUTE($G23, ",", REPT(" ", 100)), (COLUMNS($AJ$2:AV23)-1)*100+1, 100))</f>
        <v/>
      </c>
      <c r="AW23" t="str">
        <f>TRIM(MID(SUBSTITUTE($G23, ",", REPT(" ", 100)), (COLUMNS($AJ$2:AW23)-1)*100+1, 100))</f>
        <v/>
      </c>
      <c r="AX23" t="str">
        <f>TRIM(MID(SUBSTITUTE($G23, ",", REPT(" ", 100)), (COLUMNS($AJ$2:AX23)-1)*100+1, 100))</f>
        <v/>
      </c>
      <c r="AY23" t="str">
        <f>TRIM(MID(SUBSTITUTE($G23, ",", REPT(" ", 100)), (COLUMNS($AJ$2:AY23)-1)*100+1, 100))</f>
        <v/>
      </c>
      <c r="AZ23" t="str">
        <f>TRIM(MID(SUBSTITUTE($G23, ",", REPT(" ", 100)), (COLUMNS($AJ$2:AZ23)-1)*100+1, 100))</f>
        <v/>
      </c>
      <c r="BA23" t="str">
        <f>TRIM(MID(SUBSTITUTE($G23, ",", REPT(" ", 100)), (COLUMNS($AJ$2:BA23)-1)*100+1, 100))</f>
        <v/>
      </c>
      <c r="BB23" t="str">
        <f>TRIM(MID(SUBSTITUTE($G23, ",", REPT(" ", 100)), (COLUMNS($AJ$2:BB23)-1)*100+1, 100))</f>
        <v/>
      </c>
      <c r="BC23" t="str">
        <f>TRIM(MID(SUBSTITUTE($G23, ",", REPT(" ", 100)), (COLUMNS($AJ$2:BC23)-1)*100+1, 100))</f>
        <v/>
      </c>
    </row>
    <row r="24" spans="1:55" x14ac:dyDescent="0.5">
      <c r="A24" t="s">
        <v>433</v>
      </c>
      <c r="B24" s="71">
        <v>46045</v>
      </c>
      <c r="C24" s="2">
        <v>7</v>
      </c>
      <c r="D24" s="264"/>
      <c r="E24" s="267"/>
      <c r="F24" s="58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63.04347826086957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  <c r="AR24" t="str">
        <f>TRIM(MID(SUBSTITUTE($G24, ",", REPT(" ", 100)), (COLUMNS($AJ$2:AR24)-1)*100+1, 100))</f>
        <v/>
      </c>
      <c r="AT24" t="str">
        <f>TRIM(MID(SUBSTITUTE($G24, ",", REPT(" ", 100)), (COLUMNS($AJ$2:AT24)-1)*100+1, 100))</f>
        <v/>
      </c>
      <c r="AU24" t="str">
        <f>TRIM(MID(SUBSTITUTE($G24, ",", REPT(" ", 100)), (COLUMNS($AJ$2:AU24)-1)*100+1, 100))</f>
        <v/>
      </c>
      <c r="AV24" t="str">
        <f>TRIM(MID(SUBSTITUTE($G24, ",", REPT(" ", 100)), (COLUMNS($AJ$2:AV24)-1)*100+1, 100))</f>
        <v/>
      </c>
      <c r="AW24" t="str">
        <f>TRIM(MID(SUBSTITUTE($G24, ",", REPT(" ", 100)), (COLUMNS($AJ$2:AW24)-1)*100+1, 100))</f>
        <v/>
      </c>
      <c r="AX24" t="str">
        <f>TRIM(MID(SUBSTITUTE($G24, ",", REPT(" ", 100)), (COLUMNS($AJ$2:AX24)-1)*100+1, 100))</f>
        <v/>
      </c>
      <c r="AY24" t="str">
        <f>TRIM(MID(SUBSTITUTE($G24, ",", REPT(" ", 100)), (COLUMNS($AJ$2:AY24)-1)*100+1, 100))</f>
        <v/>
      </c>
      <c r="AZ24" t="str">
        <f>TRIM(MID(SUBSTITUTE($G24, ",", REPT(" ", 100)), (COLUMNS($AJ$2:AZ24)-1)*100+1, 100))</f>
        <v/>
      </c>
      <c r="BA24" t="str">
        <f>TRIM(MID(SUBSTITUTE($G24, ",", REPT(" ", 100)), (COLUMNS($AJ$2:BA24)-1)*100+1, 100))</f>
        <v/>
      </c>
      <c r="BB24" t="str">
        <f>TRIM(MID(SUBSTITUTE($G24, ",", REPT(" ", 100)), (COLUMNS($AJ$2:BB24)-1)*100+1, 100))</f>
        <v/>
      </c>
      <c r="BC24" t="str">
        <f>TRIM(MID(SUBSTITUTE($G24, ",", REPT(" ", 100)), (COLUMNS($AJ$2:BC24)-1)*100+1, 100))</f>
        <v/>
      </c>
    </row>
    <row r="25" spans="1:55" ht="14.7" thickBot="1" x14ac:dyDescent="0.55000000000000004">
      <c r="A25" t="s">
        <v>434</v>
      </c>
      <c r="B25" s="53">
        <v>46046</v>
      </c>
      <c r="C25" s="2">
        <v>7</v>
      </c>
      <c r="D25" s="264"/>
      <c r="E25" s="267"/>
      <c r="F25" s="58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  <c r="AR25" t="str">
        <f>TRIM(MID(SUBSTITUTE($G25, ",", REPT(" ", 100)), (COLUMNS($AJ$2:AR25)-1)*100+1, 100))</f>
        <v/>
      </c>
      <c r="AS25" t="str">
        <f>TRIM(MID(SUBSTITUTE($G25, ",", REPT(" ", 100)), (COLUMNS($AJ$2:AS25)-1)*100+1, 100))</f>
        <v/>
      </c>
      <c r="AT25" t="str">
        <f>TRIM(MID(SUBSTITUTE($G25, ",", REPT(" ", 100)), (COLUMNS($AJ$2:AT25)-1)*100+1, 100))</f>
        <v/>
      </c>
      <c r="AU25" t="str">
        <f>TRIM(MID(SUBSTITUTE($G25, ",", REPT(" ", 100)), (COLUMNS($AJ$2:AU25)-1)*100+1, 100))</f>
        <v/>
      </c>
      <c r="AV25" t="str">
        <f>TRIM(MID(SUBSTITUTE($G25, ",", REPT(" ", 100)), (COLUMNS($AJ$2:AV25)-1)*100+1, 100))</f>
        <v/>
      </c>
      <c r="AW25" t="str">
        <f>TRIM(MID(SUBSTITUTE($G25, ",", REPT(" ", 100)), (COLUMNS($AJ$2:AW25)-1)*100+1, 100))</f>
        <v/>
      </c>
      <c r="AX25" t="str">
        <f>TRIM(MID(SUBSTITUTE($G25, ",", REPT(" ", 100)), (COLUMNS($AJ$2:AX25)-1)*100+1, 100))</f>
        <v/>
      </c>
      <c r="AY25" t="str">
        <f>TRIM(MID(SUBSTITUTE($G25, ",", REPT(" ", 100)), (COLUMNS($AJ$2:AY25)-1)*100+1, 100))</f>
        <v/>
      </c>
      <c r="AZ25" t="str">
        <f>TRIM(MID(SUBSTITUTE($G25, ",", REPT(" ", 100)), (COLUMNS($AJ$2:AZ25)-1)*100+1, 100))</f>
        <v/>
      </c>
      <c r="BA25" t="str">
        <f>TRIM(MID(SUBSTITUTE($G25, ",", REPT(" ", 100)), (COLUMNS($AJ$2:BA25)-1)*100+1, 100))</f>
        <v/>
      </c>
      <c r="BB25" t="str">
        <f>TRIM(MID(SUBSTITUTE($G25, ",", REPT(" ", 100)), (COLUMNS($AJ$2:BB25)-1)*100+1, 100))</f>
        <v/>
      </c>
      <c r="BC25" t="str">
        <f>TRIM(MID(SUBSTITUTE($G25, ",", REPT(" ", 100)), (COLUMNS($AJ$2:BC25)-1)*100+1, 100))</f>
        <v/>
      </c>
    </row>
    <row r="26" spans="1:55" x14ac:dyDescent="0.5">
      <c r="A26" t="s">
        <v>435</v>
      </c>
      <c r="B26" s="71">
        <v>46047</v>
      </c>
      <c r="C26" s="2">
        <v>6</v>
      </c>
      <c r="D26" s="264"/>
      <c r="E26" s="267"/>
      <c r="F26" s="58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  <c r="AR26" t="str">
        <f>TRIM(MID(SUBSTITUTE($G26, ",", REPT(" ", 100)), (COLUMNS($AJ$2:AR26)-1)*100+1, 100))</f>
        <v/>
      </c>
      <c r="AS26" t="str">
        <f>TRIM(MID(SUBSTITUTE($G26, ",", REPT(" ", 100)), (COLUMNS($AJ$2:AS26)-1)*100+1, 100))</f>
        <v/>
      </c>
      <c r="AT26" t="str">
        <f>TRIM(MID(SUBSTITUTE($G26, ",", REPT(" ", 100)), (COLUMNS($AJ$2:AT26)-1)*100+1, 100))</f>
        <v/>
      </c>
      <c r="AU26" t="str">
        <f>TRIM(MID(SUBSTITUTE($G26, ",", REPT(" ", 100)), (COLUMNS($AJ$2:AU26)-1)*100+1, 100))</f>
        <v/>
      </c>
      <c r="AV26" t="str">
        <f>TRIM(MID(SUBSTITUTE($G26, ",", REPT(" ", 100)), (COLUMNS($AJ$2:AV26)-1)*100+1, 100))</f>
        <v/>
      </c>
      <c r="AW26" t="str">
        <f>TRIM(MID(SUBSTITUTE($G26, ",", REPT(" ", 100)), (COLUMNS($AJ$2:AW26)-1)*100+1, 100))</f>
        <v/>
      </c>
      <c r="AX26" t="str">
        <f>TRIM(MID(SUBSTITUTE($G26, ",", REPT(" ", 100)), (COLUMNS($AJ$2:AX26)-1)*100+1, 100))</f>
        <v/>
      </c>
      <c r="AY26" t="str">
        <f>TRIM(MID(SUBSTITUTE($G26, ",", REPT(" ", 100)), (COLUMNS($AJ$2:AY26)-1)*100+1, 100))</f>
        <v/>
      </c>
      <c r="AZ26" t="str">
        <f>TRIM(MID(SUBSTITUTE($G26, ",", REPT(" ", 100)), (COLUMNS($AJ$2:AZ26)-1)*100+1, 100))</f>
        <v/>
      </c>
      <c r="BA26" t="str">
        <f>TRIM(MID(SUBSTITUTE($G26, ",", REPT(" ", 100)), (COLUMNS($AJ$2:BA26)-1)*100+1, 100))</f>
        <v/>
      </c>
      <c r="BB26" t="str">
        <f>TRIM(MID(SUBSTITUTE($G26, ",", REPT(" ", 100)), (COLUMNS($AJ$2:BB26)-1)*100+1, 100))</f>
        <v/>
      </c>
      <c r="BC26" t="str">
        <f>TRIM(MID(SUBSTITUTE($G26, ",", REPT(" ", 100)), (COLUMNS($AJ$2:BC26)-1)*100+1, 100))</f>
        <v/>
      </c>
    </row>
    <row r="27" spans="1:55" ht="14.7" thickBot="1" x14ac:dyDescent="0.55000000000000004">
      <c r="A27" t="s">
        <v>436</v>
      </c>
      <c r="B27" s="53">
        <v>46048</v>
      </c>
      <c r="C27" s="2">
        <v>5.0999999999999996</v>
      </c>
      <c r="D27" s="264"/>
      <c r="E27" s="267"/>
      <c r="F27" s="58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  <c r="AR27" t="str">
        <f>TRIM(MID(SUBSTITUTE($G27, ",", REPT(" ", 100)), (COLUMNS($AJ$2:AR27)-1)*100+1, 100))</f>
        <v/>
      </c>
      <c r="AS27" t="str">
        <f>TRIM(MID(SUBSTITUTE($G27, ",", REPT(" ", 100)), (COLUMNS($AJ$2:AS27)-1)*100+1, 100))</f>
        <v/>
      </c>
      <c r="AT27" t="str">
        <f>TRIM(MID(SUBSTITUTE($G27, ",", REPT(" ", 100)), (COLUMNS($AJ$2:AT27)-1)*100+1, 100))</f>
        <v/>
      </c>
      <c r="AU27" t="str">
        <f>TRIM(MID(SUBSTITUTE($G27, ",", REPT(" ", 100)), (COLUMNS($AJ$2:AU27)-1)*100+1, 100))</f>
        <v/>
      </c>
      <c r="AV27" t="str">
        <f>TRIM(MID(SUBSTITUTE($G27, ",", REPT(" ", 100)), (COLUMNS($AJ$2:AV27)-1)*100+1, 100))</f>
        <v/>
      </c>
      <c r="AW27" t="str">
        <f>TRIM(MID(SUBSTITUTE($G27, ",", REPT(" ", 100)), (COLUMNS($AJ$2:AW27)-1)*100+1, 100))</f>
        <v/>
      </c>
      <c r="AX27" t="str">
        <f>TRIM(MID(SUBSTITUTE($G27, ",", REPT(" ", 100)), (COLUMNS($AJ$2:AX27)-1)*100+1, 100))</f>
        <v/>
      </c>
      <c r="AY27" t="str">
        <f>TRIM(MID(SUBSTITUTE($G27, ",", REPT(" ", 100)), (COLUMNS($AJ$2:AY27)-1)*100+1, 100))</f>
        <v/>
      </c>
      <c r="AZ27" t="str">
        <f>TRIM(MID(SUBSTITUTE($G27, ",", REPT(" ", 100)), (COLUMNS($AJ$2:AZ27)-1)*100+1, 100))</f>
        <v/>
      </c>
      <c r="BA27" t="str">
        <f>TRIM(MID(SUBSTITUTE($G27, ",", REPT(" ", 100)), (COLUMNS($AJ$2:BA27)-1)*100+1, 100))</f>
        <v/>
      </c>
      <c r="BB27" t="str">
        <f>TRIM(MID(SUBSTITUTE($G27, ",", REPT(" ", 100)), (COLUMNS($AJ$2:BB27)-1)*100+1, 100))</f>
        <v/>
      </c>
      <c r="BC27" t="str">
        <f>TRIM(MID(SUBSTITUTE($G27, ",", REPT(" ", 100)), (COLUMNS($AJ$2:BC27)-1)*100+1, 100))</f>
        <v/>
      </c>
    </row>
    <row r="28" spans="1:55" x14ac:dyDescent="0.5">
      <c r="A28" t="s">
        <v>437</v>
      </c>
      <c r="B28" s="71">
        <v>46049</v>
      </c>
      <c r="C28" s="2">
        <v>5.3</v>
      </c>
      <c r="D28" s="264"/>
      <c r="E28" s="267"/>
      <c r="F28" s="58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  <c r="AR28" t="str">
        <f>TRIM(MID(SUBSTITUTE($G28, ",", REPT(" ", 100)), (COLUMNS($AJ$2:AR28)-1)*100+1, 100))</f>
        <v/>
      </c>
      <c r="AS28" t="str">
        <f>TRIM(MID(SUBSTITUTE($G28, ",", REPT(" ", 100)), (COLUMNS($AJ$2:AS28)-1)*100+1, 100))</f>
        <v/>
      </c>
      <c r="AT28" t="str">
        <f>TRIM(MID(SUBSTITUTE($G28, ",", REPT(" ", 100)), (COLUMNS($AJ$2:AT28)-1)*100+1, 100))</f>
        <v/>
      </c>
      <c r="AU28" t="str">
        <f>TRIM(MID(SUBSTITUTE($G28, ",", REPT(" ", 100)), (COLUMNS($AJ$2:AU28)-1)*100+1, 100))</f>
        <v/>
      </c>
      <c r="AV28" t="str">
        <f>TRIM(MID(SUBSTITUTE($G28, ",", REPT(" ", 100)), (COLUMNS($AJ$2:AV28)-1)*100+1, 100))</f>
        <v/>
      </c>
      <c r="AW28" t="str">
        <f>TRIM(MID(SUBSTITUTE($G28, ",", REPT(" ", 100)), (COLUMNS($AJ$2:AW28)-1)*100+1, 100))</f>
        <v/>
      </c>
      <c r="AX28" t="str">
        <f>TRIM(MID(SUBSTITUTE($G28, ",", REPT(" ", 100)), (COLUMNS($AJ$2:AX28)-1)*100+1, 100))</f>
        <v/>
      </c>
      <c r="AY28" t="str">
        <f>TRIM(MID(SUBSTITUTE($G28, ",", REPT(" ", 100)), (COLUMNS($AJ$2:AY28)-1)*100+1, 100))</f>
        <v/>
      </c>
      <c r="AZ28" t="str">
        <f>TRIM(MID(SUBSTITUTE($G28, ",", REPT(" ", 100)), (COLUMNS($AJ$2:AZ28)-1)*100+1, 100))</f>
        <v/>
      </c>
      <c r="BA28" t="str">
        <f>TRIM(MID(SUBSTITUTE($G28, ",", REPT(" ", 100)), (COLUMNS($AJ$2:BA28)-1)*100+1, 100))</f>
        <v/>
      </c>
      <c r="BB28" t="str">
        <f>TRIM(MID(SUBSTITUTE($G28, ",", REPT(" ", 100)), (COLUMNS($AJ$2:BB28)-1)*100+1, 100))</f>
        <v/>
      </c>
      <c r="BC28" t="str">
        <f>TRIM(MID(SUBSTITUTE($G28, ",", REPT(" ", 100)), (COLUMNS($AJ$2:BC28)-1)*100+1, 100))</f>
        <v/>
      </c>
    </row>
    <row r="29" spans="1:55" ht="14.7" thickBot="1" x14ac:dyDescent="0.55000000000000004">
      <c r="A29" t="s">
        <v>438</v>
      </c>
      <c r="B29" s="53">
        <v>46050</v>
      </c>
      <c r="C29" s="2">
        <v>5</v>
      </c>
      <c r="D29" s="264"/>
      <c r="E29" s="267"/>
      <c r="F29" s="58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  <c r="AR29" t="str">
        <f>TRIM(MID(SUBSTITUTE($G29, ",", REPT(" ", 100)), (COLUMNS($AJ$2:AR29)-1)*100+1, 100))</f>
        <v/>
      </c>
      <c r="AS29" t="str">
        <f>TRIM(MID(SUBSTITUTE($G29, ",", REPT(" ", 100)), (COLUMNS($AJ$2:AS29)-1)*100+1, 100))</f>
        <v/>
      </c>
      <c r="AT29" t="str">
        <f>TRIM(MID(SUBSTITUTE($G29, ",", REPT(" ", 100)), (COLUMNS($AJ$2:AT29)-1)*100+1, 100))</f>
        <v/>
      </c>
      <c r="AU29" t="str">
        <f>TRIM(MID(SUBSTITUTE($G29, ",", REPT(" ", 100)), (COLUMNS($AJ$2:AU29)-1)*100+1, 100))</f>
        <v/>
      </c>
      <c r="AV29" t="str">
        <f>TRIM(MID(SUBSTITUTE($G29, ",", REPT(" ", 100)), (COLUMNS($AJ$2:AV29)-1)*100+1, 100))</f>
        <v/>
      </c>
      <c r="AW29" t="str">
        <f>TRIM(MID(SUBSTITUTE($G29, ",", REPT(" ", 100)), (COLUMNS($AJ$2:AW29)-1)*100+1, 100))</f>
        <v/>
      </c>
      <c r="AX29" t="str">
        <f>TRIM(MID(SUBSTITUTE($G29, ",", REPT(" ", 100)), (COLUMNS($AJ$2:AX29)-1)*100+1, 100))</f>
        <v/>
      </c>
      <c r="AY29" t="str">
        <f>TRIM(MID(SUBSTITUTE($G29, ",", REPT(" ", 100)), (COLUMNS($AJ$2:AY29)-1)*100+1, 100))</f>
        <v/>
      </c>
      <c r="AZ29" t="str">
        <f>TRIM(MID(SUBSTITUTE($G29, ",", REPT(" ", 100)), (COLUMNS($AJ$2:AZ29)-1)*100+1, 100))</f>
        <v/>
      </c>
      <c r="BA29" t="str">
        <f>TRIM(MID(SUBSTITUTE($G29, ",", REPT(" ", 100)), (COLUMNS($AJ$2:BA29)-1)*100+1, 100))</f>
        <v/>
      </c>
      <c r="BB29" t="str">
        <f>TRIM(MID(SUBSTITUTE($G29, ",", REPT(" ", 100)), (COLUMNS($AJ$2:BB29)-1)*100+1, 100))</f>
        <v/>
      </c>
      <c r="BC29" t="str">
        <f>TRIM(MID(SUBSTITUTE($G29, ",", REPT(" ", 100)), (COLUMNS($AJ$2:BC29)-1)*100+1, 100))</f>
        <v/>
      </c>
    </row>
    <row r="30" spans="1:55" x14ac:dyDescent="0.5">
      <c r="A30" t="s">
        <v>432</v>
      </c>
      <c r="B30" s="71">
        <v>46051</v>
      </c>
      <c r="C30" s="2">
        <v>8</v>
      </c>
      <c r="D30" s="264"/>
      <c r="E30" s="267"/>
      <c r="F30" s="58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  <c r="AR30" t="str">
        <f>TRIM(MID(SUBSTITUTE($G30, ",", REPT(" ", 100)), (COLUMNS($AJ$2:AR30)-1)*100+1, 100))</f>
        <v/>
      </c>
      <c r="AS30" t="str">
        <f>TRIM(MID(SUBSTITUTE($G30, ",", REPT(" ", 100)), (COLUMNS($AJ$2:AS30)-1)*100+1, 100))</f>
        <v/>
      </c>
      <c r="AT30" t="str">
        <f>TRIM(MID(SUBSTITUTE($G30, ",", REPT(" ", 100)), (COLUMNS($AJ$2:AT30)-1)*100+1, 100))</f>
        <v/>
      </c>
      <c r="AU30" t="str">
        <f>TRIM(MID(SUBSTITUTE($G30, ",", REPT(" ", 100)), (COLUMNS($AJ$2:AU30)-1)*100+1, 100))</f>
        <v/>
      </c>
      <c r="AV30" t="str">
        <f>TRIM(MID(SUBSTITUTE($G30, ",", REPT(" ", 100)), (COLUMNS($AJ$2:AV30)-1)*100+1, 100))</f>
        <v/>
      </c>
      <c r="AW30" t="str">
        <f>TRIM(MID(SUBSTITUTE($G30, ",", REPT(" ", 100)), (COLUMNS($AJ$2:AW30)-1)*100+1, 100))</f>
        <v/>
      </c>
      <c r="AX30" t="str">
        <f>TRIM(MID(SUBSTITUTE($G30, ",", REPT(" ", 100)), (COLUMNS($AJ$2:AX30)-1)*100+1, 100))</f>
        <v/>
      </c>
      <c r="AY30" t="str">
        <f>TRIM(MID(SUBSTITUTE($G30, ",", REPT(" ", 100)), (COLUMNS($AJ$2:AY30)-1)*100+1, 100))</f>
        <v/>
      </c>
      <c r="AZ30" t="str">
        <f>TRIM(MID(SUBSTITUTE($G30, ",", REPT(" ", 100)), (COLUMNS($AJ$2:AZ30)-1)*100+1, 100))</f>
        <v/>
      </c>
      <c r="BA30" t="str">
        <f>TRIM(MID(SUBSTITUTE($G30, ",", REPT(" ", 100)), (COLUMNS($AJ$2:BA30)-1)*100+1, 100))</f>
        <v/>
      </c>
      <c r="BB30" t="str">
        <f>TRIM(MID(SUBSTITUTE($G30, ",", REPT(" ", 100)), (COLUMNS($AJ$2:BB30)-1)*100+1, 100))</f>
        <v/>
      </c>
      <c r="BC30" t="str">
        <f>TRIM(MID(SUBSTITUTE($G30, ",", REPT(" ", 100)), (COLUMNS($AJ$2:BC30)-1)*100+1, 100))</f>
        <v/>
      </c>
    </row>
    <row r="31" spans="1:55" ht="14.7" thickBot="1" x14ac:dyDescent="0.55000000000000004">
      <c r="A31" t="s">
        <v>433</v>
      </c>
      <c r="B31" s="53">
        <v>46052</v>
      </c>
      <c r="C31" s="2">
        <v>7</v>
      </c>
      <c r="D31" s="264"/>
      <c r="E31" s="267"/>
      <c r="F31" s="58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  <c r="AR31" t="str">
        <f>TRIM(MID(SUBSTITUTE($G31, ",", REPT(" ", 100)), (COLUMNS($AJ$2:AR31)-1)*100+1, 100))</f>
        <v/>
      </c>
      <c r="AS31" t="str">
        <f>TRIM(MID(SUBSTITUTE($G31, ",", REPT(" ", 100)), (COLUMNS($AJ$2:AS31)-1)*100+1, 100))</f>
        <v/>
      </c>
      <c r="AT31" t="str">
        <f>TRIM(MID(SUBSTITUTE($G31, ",", REPT(" ", 100)), (COLUMNS($AJ$2:AT31)-1)*100+1, 100))</f>
        <v/>
      </c>
      <c r="AU31" t="str">
        <f>TRIM(MID(SUBSTITUTE($G31, ",", REPT(" ", 100)), (COLUMNS($AJ$2:AU31)-1)*100+1, 100))</f>
        <v/>
      </c>
      <c r="AV31" t="str">
        <f>TRIM(MID(SUBSTITUTE($G31, ",", REPT(" ", 100)), (COLUMNS($AJ$2:AV31)-1)*100+1, 100))</f>
        <v/>
      </c>
      <c r="AW31" t="str">
        <f>TRIM(MID(SUBSTITUTE($G31, ",", REPT(" ", 100)), (COLUMNS($AJ$2:AW31)-1)*100+1, 100))</f>
        <v/>
      </c>
      <c r="AX31" t="str">
        <f>TRIM(MID(SUBSTITUTE($G31, ",", REPT(" ", 100)), (COLUMNS($AJ$2:AX31)-1)*100+1, 100))</f>
        <v/>
      </c>
      <c r="AY31" t="str">
        <f>TRIM(MID(SUBSTITUTE($G31, ",", REPT(" ", 100)), (COLUMNS($AJ$2:AY31)-1)*100+1, 100))</f>
        <v/>
      </c>
      <c r="AZ31" t="str">
        <f>TRIM(MID(SUBSTITUTE($G31, ",", REPT(" ", 100)), (COLUMNS($AJ$2:AZ31)-1)*100+1, 100))</f>
        <v/>
      </c>
      <c r="BA31" t="str">
        <f>TRIM(MID(SUBSTITUTE($G31, ",", REPT(" ", 100)), (COLUMNS($AJ$2:BA31)-1)*100+1, 100))</f>
        <v/>
      </c>
      <c r="BB31" t="str">
        <f>TRIM(MID(SUBSTITUTE($G31, ",", REPT(" ", 100)), (COLUMNS($AJ$2:BB31)-1)*100+1, 100))</f>
        <v/>
      </c>
      <c r="BC31" t="str">
        <f>TRIM(MID(SUBSTITUTE($G31, ",", REPT(" ", 100)), (COLUMNS($AJ$2:BC31)-1)*100+1, 100))</f>
        <v/>
      </c>
    </row>
    <row r="32" spans="1:55" ht="14.7" thickBot="1" x14ac:dyDescent="0.55000000000000004">
      <c r="A32" t="s">
        <v>434</v>
      </c>
      <c r="B32" s="71">
        <v>46053</v>
      </c>
      <c r="C32" s="55">
        <v>4.5</v>
      </c>
      <c r="D32" s="265"/>
      <c r="E32" s="267"/>
      <c r="F32" s="58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  <c r="AR32" t="str">
        <f>TRIM(MID(SUBSTITUTE($G32, ",", REPT(" ", 100)), (COLUMNS($AJ$2:AR32)-1)*100+1, 100))</f>
        <v/>
      </c>
      <c r="AS32" t="str">
        <f>TRIM(MID(SUBSTITUTE($G32, ",", REPT(" ", 100)), (COLUMNS($AJ$2:AS32)-1)*100+1, 100))</f>
        <v/>
      </c>
      <c r="AT32" t="str">
        <f>TRIM(MID(SUBSTITUTE($G32, ",", REPT(" ", 100)), (COLUMNS($AJ$2:AT32)-1)*100+1, 100))</f>
        <v/>
      </c>
      <c r="AU32" t="str">
        <f>TRIM(MID(SUBSTITUTE($G32, ",", REPT(" ", 100)), (COLUMNS($AJ$2:AU32)-1)*100+1, 100))</f>
        <v/>
      </c>
      <c r="AV32" t="str">
        <f>TRIM(MID(SUBSTITUTE($G32, ",", REPT(" ", 100)), (COLUMNS($AJ$2:AV32)-1)*100+1, 100))</f>
        <v/>
      </c>
      <c r="AW32" t="str">
        <f>TRIM(MID(SUBSTITUTE($G32, ",", REPT(" ", 100)), (COLUMNS($AJ$2:AW32)-1)*100+1, 100))</f>
        <v/>
      </c>
      <c r="AX32" t="str">
        <f>TRIM(MID(SUBSTITUTE($G32, ",", REPT(" ", 100)), (COLUMNS($AJ$2:AX32)-1)*100+1, 100))</f>
        <v/>
      </c>
      <c r="AY32" t="str">
        <f>TRIM(MID(SUBSTITUTE($G32, ",", REPT(" ", 100)), (COLUMNS($AJ$2:AY32)-1)*100+1, 100))</f>
        <v/>
      </c>
      <c r="AZ32" t="str">
        <f>TRIM(MID(SUBSTITUTE($G32, ",", REPT(" ", 100)), (COLUMNS($AJ$2:AZ32)-1)*100+1, 100))</f>
        <v/>
      </c>
      <c r="BA32" t="str">
        <f>TRIM(MID(SUBSTITUTE($G32, ",", REPT(" ", 100)), (COLUMNS($AJ$2:BA32)-1)*100+1, 100))</f>
        <v/>
      </c>
      <c r="BB32" t="str">
        <f>TRIM(MID(SUBSTITUTE($G32, ",", REPT(" ", 100)), (COLUMNS($AJ$2:BB32)-1)*100+1, 100))</f>
        <v/>
      </c>
      <c r="BC32" t="str">
        <f>TRIM(MID(SUBSTITUTE($G32, ",", REPT(" ", 100)), (COLUMNS($AJ$2:BC32)-1)*100+1, 100))</f>
        <v/>
      </c>
    </row>
    <row r="33" spans="1:55" ht="14.7" thickBot="1" x14ac:dyDescent="0.55000000000000004">
      <c r="A33" t="s">
        <v>435</v>
      </c>
      <c r="B33" s="53">
        <v>46054</v>
      </c>
      <c r="C33" s="48">
        <v>5</v>
      </c>
      <c r="D33" s="270">
        <f>AVERAGE(C33:C60)</f>
        <v>6.4964285714285719</v>
      </c>
      <c r="E33" s="268"/>
      <c r="F33" s="58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tr">
        <f>TRIM(MID(SUBSTITUTE($G33, ",", REPT(" ", 100)), (COLUMNS($AJ$2:AT33)-1)*100+1, 100))</f>
        <v/>
      </c>
      <c r="AU33" t="str">
        <f>TRIM(MID(SUBSTITUTE($G33, ",", REPT(" ", 100)), (COLUMNS($AJ$2:AU33)-1)*100+1, 100))</f>
        <v/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t="str">
        <f>TRIM(MID(SUBSTITUTE($G33, ",", REPT(" ", 100)), (COLUMNS($AJ$2:AY33)-1)*100+1, 100))</f>
        <v/>
      </c>
      <c r="AZ33" t="str">
        <f>TRIM(MID(SUBSTITUTE($G33, ",", REPT(" ", 100)), (COLUMNS($AJ$2:AZ33)-1)*100+1, 100))</f>
        <v/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</row>
    <row r="34" spans="1:55" x14ac:dyDescent="0.5">
      <c r="A34" t="s">
        <v>436</v>
      </c>
      <c r="B34" s="71">
        <v>46055</v>
      </c>
      <c r="C34" s="2">
        <v>5.4</v>
      </c>
      <c r="D34" s="241"/>
      <c r="E34" s="268"/>
      <c r="F34" s="58">
        <v>0</v>
      </c>
      <c r="G34" s="69" t="s">
        <v>176</v>
      </c>
      <c r="I34" s="38">
        <v>0</v>
      </c>
      <c r="M34" s="38"/>
      <c r="Q34" s="255" t="s">
        <v>479</v>
      </c>
      <c r="R34" s="256">
        <f>SUM(I2:I366)/3.65</f>
        <v>2.1178082191780825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tr">
        <f>TRIM(MID(SUBSTITUTE($G34, ",", REPT(" ", 100)), (COLUMNS($AJ$2:AT34)-1)*100+1, 100))</f>
        <v/>
      </c>
      <c r="AU34" t="str">
        <f>TRIM(MID(SUBSTITUTE($G34, ",", REPT(" ", 100)), (COLUMNS($AJ$2:AU34)-1)*100+1, 100))</f>
        <v/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t="str">
        <f>TRIM(MID(SUBSTITUTE($G34, ",", REPT(" ", 100)), (COLUMNS($AJ$2:AY34)-1)*100+1, 100))</f>
        <v/>
      </c>
      <c r="AZ34" t="str">
        <f>TRIM(MID(SUBSTITUTE($G34, ",", REPT(" ", 100)), (COLUMNS($AJ$2:AZ34)-1)*100+1, 100))</f>
        <v/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</row>
    <row r="35" spans="1:55" ht="14.7" thickBot="1" x14ac:dyDescent="0.55000000000000004">
      <c r="A35" t="s">
        <v>437</v>
      </c>
      <c r="B35" s="53">
        <v>46056</v>
      </c>
      <c r="C35" s="2">
        <v>6</v>
      </c>
      <c r="D35" s="241"/>
      <c r="E35" s="268"/>
      <c r="F35" s="58">
        <v>1</v>
      </c>
      <c r="G35" s="69" t="s">
        <v>176</v>
      </c>
      <c r="I35" s="38">
        <v>0</v>
      </c>
      <c r="M35" s="38"/>
      <c r="Q35" s="255"/>
      <c r="R35" s="256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tr">
        <f>TRIM(MID(SUBSTITUTE($G35, ",", REPT(" ", 100)), (COLUMNS($AJ$2:AT35)-1)*100+1, 100))</f>
        <v/>
      </c>
      <c r="AU35" t="str">
        <f>TRIM(MID(SUBSTITUTE($G35, ",", REPT(" ", 100)), (COLUMNS($AJ$2:AU35)-1)*100+1, 100))</f>
        <v/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t="str">
        <f>TRIM(MID(SUBSTITUTE($G35, ",", REPT(" ", 100)), (COLUMNS($AJ$2:AY35)-1)*100+1, 100))</f>
        <v/>
      </c>
      <c r="AZ35" t="str">
        <f>TRIM(MID(SUBSTITUTE($G35, ",", REPT(" ", 100)), (COLUMNS($AJ$2:AZ35)-1)*100+1, 100))</f>
        <v/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</row>
    <row r="36" spans="1:55" x14ac:dyDescent="0.5">
      <c r="A36" t="s">
        <v>438</v>
      </c>
      <c r="B36" s="71">
        <v>46057</v>
      </c>
      <c r="C36" s="2">
        <v>7.4</v>
      </c>
      <c r="D36" s="241"/>
      <c r="E36" s="268"/>
      <c r="F36" s="58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 t="str">
        <f>TRIM(MID(SUBSTITUTE($G36, ",", REPT(" ", 100)), (COLUMNS($AJ$2:AZ36)-1)*100+1, 100))</f>
        <v/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</row>
    <row r="37" spans="1:55" ht="14.7" thickBot="1" x14ac:dyDescent="0.55000000000000004">
      <c r="A37" t="s">
        <v>432</v>
      </c>
      <c r="B37" s="53">
        <v>46058</v>
      </c>
      <c r="C37" s="2">
        <v>6</v>
      </c>
      <c r="D37" s="241"/>
      <c r="E37" s="268"/>
      <c r="F37" s="58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</row>
    <row r="38" spans="1:55" x14ac:dyDescent="0.5">
      <c r="A38" t="s">
        <v>433</v>
      </c>
      <c r="B38" s="71">
        <v>46059</v>
      </c>
      <c r="C38" s="2">
        <v>10</v>
      </c>
      <c r="D38" s="241"/>
      <c r="E38" s="268"/>
      <c r="F38" s="58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</row>
    <row r="39" spans="1:55" ht="14.7" thickBot="1" x14ac:dyDescent="0.55000000000000004">
      <c r="A39" t="s">
        <v>434</v>
      </c>
      <c r="B39" s="53">
        <v>46060</v>
      </c>
      <c r="C39" s="2">
        <v>8</v>
      </c>
      <c r="D39" s="241"/>
      <c r="E39" s="268"/>
      <c r="F39" s="58">
        <v>1</v>
      </c>
      <c r="G39" s="69" t="s">
        <v>469</v>
      </c>
      <c r="I39" s="38">
        <v>0</v>
      </c>
      <c r="M39" s="38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</row>
    <row r="40" spans="1:55" x14ac:dyDescent="0.5">
      <c r="A40" t="s">
        <v>435</v>
      </c>
      <c r="B40" s="71">
        <v>46061</v>
      </c>
      <c r="C40" s="2">
        <v>6</v>
      </c>
      <c r="D40" s="241"/>
      <c r="E40" s="268"/>
      <c r="F40" s="58">
        <v>1</v>
      </c>
      <c r="G40" s="69" t="s">
        <v>342</v>
      </c>
      <c r="I40" s="38">
        <v>0</v>
      </c>
      <c r="M40" s="38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</row>
    <row r="41" spans="1:55" ht="14.7" thickBot="1" x14ac:dyDescent="0.55000000000000004">
      <c r="A41" t="s">
        <v>436</v>
      </c>
      <c r="B41" s="53">
        <v>46062</v>
      </c>
      <c r="C41" s="2">
        <v>5.3</v>
      </c>
      <c r="D41" s="241"/>
      <c r="E41" s="268"/>
      <c r="F41" s="58">
        <v>0</v>
      </c>
      <c r="G41" s="69" t="s">
        <v>176</v>
      </c>
      <c r="I41" s="38">
        <v>0.5</v>
      </c>
      <c r="M41" s="38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</row>
    <row r="42" spans="1:55" x14ac:dyDescent="0.5">
      <c r="A42" t="s">
        <v>437</v>
      </c>
      <c r="B42" s="71">
        <v>46063</v>
      </c>
      <c r="C42" s="2">
        <v>5.6</v>
      </c>
      <c r="D42" s="241"/>
      <c r="E42" s="268"/>
      <c r="F42" s="58">
        <v>1</v>
      </c>
      <c r="G42" s="69" t="s">
        <v>176</v>
      </c>
      <c r="I42" s="38">
        <v>0.4</v>
      </c>
      <c r="M42" s="3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</row>
    <row r="43" spans="1:55" ht="14.7" thickBot="1" x14ac:dyDescent="0.55000000000000004">
      <c r="A43" t="s">
        <v>438</v>
      </c>
      <c r="B43" s="53">
        <v>46064</v>
      </c>
      <c r="C43" s="2">
        <v>6.5</v>
      </c>
      <c r="D43" s="241"/>
      <c r="E43" s="268"/>
      <c r="F43" s="58">
        <v>0</v>
      </c>
      <c r="G43" s="69" t="s">
        <v>176</v>
      </c>
      <c r="I43" s="38">
        <v>0.4</v>
      </c>
      <c r="M43" s="3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</row>
    <row r="44" spans="1:55" x14ac:dyDescent="0.5">
      <c r="A44" t="s">
        <v>432</v>
      </c>
      <c r="B44" s="71">
        <v>46065</v>
      </c>
      <c r="C44" s="2">
        <v>5</v>
      </c>
      <c r="D44" s="241"/>
      <c r="E44" s="268"/>
      <c r="F44" s="58">
        <v>1</v>
      </c>
      <c r="G44" s="69" t="s">
        <v>176</v>
      </c>
      <c r="I44" s="38">
        <v>0.33</v>
      </c>
      <c r="M44" s="38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</row>
    <row r="45" spans="1:55" ht="14.7" thickBot="1" x14ac:dyDescent="0.55000000000000004">
      <c r="A45" t="s">
        <v>433</v>
      </c>
      <c r="B45" s="53">
        <v>46066</v>
      </c>
      <c r="C45" s="2">
        <v>5.2</v>
      </c>
      <c r="D45" s="241"/>
      <c r="E45" s="268"/>
      <c r="F45" s="58">
        <v>1</v>
      </c>
      <c r="G45" s="69" t="s">
        <v>176</v>
      </c>
      <c r="I45" s="38">
        <v>0</v>
      </c>
      <c r="M45" s="3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</row>
    <row r="46" spans="1:55" ht="14.7" thickBot="1" x14ac:dyDescent="0.55000000000000004">
      <c r="A46" t="s">
        <v>434</v>
      </c>
      <c r="B46" s="71">
        <v>46067</v>
      </c>
      <c r="C46" s="2">
        <v>5.5</v>
      </c>
      <c r="D46" s="241"/>
      <c r="E46" s="268"/>
      <c r="F46" s="58">
        <v>0</v>
      </c>
      <c r="G46" s="69" t="s">
        <v>176</v>
      </c>
      <c r="I46" s="38">
        <v>0</v>
      </c>
      <c r="M46" s="38"/>
      <c r="S46" s="200"/>
      <c r="T46" s="201"/>
      <c r="U46" s="221"/>
      <c r="V46" s="235"/>
      <c r="W46" s="235"/>
      <c r="X46" s="221"/>
      <c r="Y46" s="200"/>
      <c r="Z46" s="201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</row>
    <row r="47" spans="1:55" ht="14.7" thickBot="1" x14ac:dyDescent="0.55000000000000004">
      <c r="A47" t="s">
        <v>435</v>
      </c>
      <c r="B47" s="53">
        <v>46068</v>
      </c>
      <c r="C47" s="2">
        <v>5.8</v>
      </c>
      <c r="D47" s="241"/>
      <c r="E47" s="268"/>
      <c r="F47" s="58">
        <v>1</v>
      </c>
      <c r="G47" s="69" t="s">
        <v>176</v>
      </c>
      <c r="I47" s="38">
        <v>0</v>
      </c>
      <c r="M47" s="38"/>
      <c r="S47" s="202"/>
      <c r="T47" s="203"/>
      <c r="U47" s="222"/>
      <c r="V47" s="193"/>
      <c r="W47" s="194"/>
      <c r="X47" s="222"/>
      <c r="Y47" s="202"/>
      <c r="Z47" s="203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</row>
    <row r="48" spans="1:55" ht="14.7" thickBot="1" x14ac:dyDescent="0.55000000000000004">
      <c r="A48" t="s">
        <v>436</v>
      </c>
      <c r="B48" s="71">
        <v>46069</v>
      </c>
      <c r="C48" s="2">
        <v>4</v>
      </c>
      <c r="D48" s="241"/>
      <c r="E48" s="268"/>
      <c r="F48" s="58">
        <v>1</v>
      </c>
      <c r="G48" s="69" t="s">
        <v>176</v>
      </c>
      <c r="I48" s="38">
        <v>0</v>
      </c>
      <c r="M48" s="38"/>
      <c r="S48" s="204"/>
      <c r="T48" s="205"/>
      <c r="U48" s="222"/>
      <c r="V48" s="239"/>
      <c r="W48" s="239"/>
      <c r="X48" s="222"/>
      <c r="Y48" s="204"/>
      <c r="Z48" s="205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</row>
    <row r="49" spans="1:55" ht="14.7" thickBot="1" x14ac:dyDescent="0.55000000000000004">
      <c r="A49" t="s">
        <v>437</v>
      </c>
      <c r="B49" s="53">
        <v>46070</v>
      </c>
      <c r="C49" s="2">
        <v>7</v>
      </c>
      <c r="D49" s="241"/>
      <c r="E49" s="268"/>
      <c r="F49" s="58">
        <v>1</v>
      </c>
      <c r="G49" s="69" t="s">
        <v>176</v>
      </c>
      <c r="I49" s="38">
        <v>0</v>
      </c>
      <c r="M49" s="38"/>
      <c r="S49" s="226"/>
      <c r="T49" s="222"/>
      <c r="U49" s="222"/>
      <c r="V49" s="238"/>
      <c r="W49" s="238"/>
      <c r="X49" s="222"/>
      <c r="Y49" s="222"/>
      <c r="Z49" s="22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</row>
    <row r="50" spans="1:55" ht="14.7" thickBot="1" x14ac:dyDescent="0.55000000000000004">
      <c r="A50" t="s">
        <v>438</v>
      </c>
      <c r="B50" s="71">
        <v>46071</v>
      </c>
      <c r="C50" s="2">
        <v>6.8</v>
      </c>
      <c r="D50" s="241"/>
      <c r="E50" s="268"/>
      <c r="F50" s="58">
        <v>0</v>
      </c>
      <c r="G50" s="69" t="s">
        <v>176</v>
      </c>
      <c r="I50" s="38">
        <v>0</v>
      </c>
      <c r="M50" s="38"/>
      <c r="S50" s="198"/>
      <c r="T50" s="232"/>
      <c r="U50" s="209"/>
      <c r="V50" s="210"/>
      <c r="W50" s="211"/>
      <c r="X50" s="212"/>
      <c r="Y50" s="232"/>
      <c r="Z50" s="19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</row>
    <row r="51" spans="1:55" ht="14.7" thickBot="1" x14ac:dyDescent="0.55000000000000004">
      <c r="A51" t="s">
        <v>432</v>
      </c>
      <c r="B51" s="53">
        <v>46072</v>
      </c>
      <c r="C51" s="2">
        <v>7.5</v>
      </c>
      <c r="D51" s="241"/>
      <c r="E51" s="268"/>
      <c r="F51" s="58">
        <v>1</v>
      </c>
      <c r="G51" s="69" t="s">
        <v>176</v>
      </c>
      <c r="H51" s="38" t="s">
        <v>502</v>
      </c>
      <c r="I51" s="38">
        <v>0</v>
      </c>
      <c r="S51" s="199"/>
      <c r="T51" s="232"/>
      <c r="U51" s="213"/>
      <c r="V51" s="215"/>
      <c r="W51" s="216"/>
      <c r="X51" s="214"/>
      <c r="Y51" s="232"/>
      <c r="Z51" s="199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</row>
    <row r="52" spans="1:55" ht="14.7" thickBot="1" x14ac:dyDescent="0.55000000000000004">
      <c r="A52" t="s">
        <v>433</v>
      </c>
      <c r="B52" s="71">
        <v>46073</v>
      </c>
      <c r="C52" s="2">
        <v>7.2</v>
      </c>
      <c r="D52" s="241"/>
      <c r="E52" s="268"/>
      <c r="F52" s="58">
        <v>1</v>
      </c>
      <c r="G52" s="69" t="s">
        <v>176</v>
      </c>
      <c r="I52" s="38">
        <v>0</v>
      </c>
      <c r="S52" s="226"/>
      <c r="T52" s="222"/>
      <c r="U52" s="227"/>
      <c r="V52" s="222"/>
      <c r="W52" s="222"/>
      <c r="X52" s="222"/>
      <c r="Y52" s="222"/>
      <c r="Z52" s="228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</row>
    <row r="53" spans="1:55" ht="14.7" thickBot="1" x14ac:dyDescent="0.55000000000000004">
      <c r="A53" t="s">
        <v>434</v>
      </c>
      <c r="B53" s="53">
        <v>46074</v>
      </c>
      <c r="C53" s="2">
        <v>7</v>
      </c>
      <c r="D53" s="241"/>
      <c r="E53" s="268"/>
      <c r="F53" s="58">
        <v>1</v>
      </c>
      <c r="G53" s="69" t="s">
        <v>176</v>
      </c>
      <c r="I53" s="38">
        <v>0</v>
      </c>
      <c r="S53" s="234"/>
      <c r="T53" s="232"/>
      <c r="U53" s="217"/>
      <c r="V53" s="230"/>
      <c r="W53" s="231"/>
      <c r="X53" s="219"/>
      <c r="Y53" s="232"/>
      <c r="Z53" s="233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</row>
    <row r="54" spans="1:55" ht="14.7" thickBot="1" x14ac:dyDescent="0.55000000000000004">
      <c r="A54" t="s">
        <v>435</v>
      </c>
      <c r="B54" s="71">
        <v>46075</v>
      </c>
      <c r="C54" s="2">
        <v>7.6</v>
      </c>
      <c r="D54" s="241"/>
      <c r="E54" s="268"/>
      <c r="F54" s="58">
        <v>0</v>
      </c>
      <c r="G54" s="38" t="s">
        <v>478</v>
      </c>
      <c r="I54" s="38">
        <v>0</v>
      </c>
      <c r="S54" s="234"/>
      <c r="T54" s="197"/>
      <c r="U54" s="218"/>
      <c r="V54" s="257"/>
      <c r="W54" s="258"/>
      <c r="X54" s="220"/>
      <c r="Y54" s="197"/>
      <c r="Z54" s="233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</row>
    <row r="55" spans="1:55" ht="14.7" thickBot="1" x14ac:dyDescent="0.55000000000000004">
      <c r="A55" t="s">
        <v>436</v>
      </c>
      <c r="B55" s="53">
        <v>46076</v>
      </c>
      <c r="C55" s="2">
        <v>9</v>
      </c>
      <c r="D55" s="241"/>
      <c r="E55" s="268"/>
      <c r="F55" s="58">
        <v>1</v>
      </c>
      <c r="G55" s="38" t="s">
        <v>463</v>
      </c>
      <c r="I55" s="38">
        <v>0</v>
      </c>
      <c r="S55" s="234"/>
      <c r="T55" s="232"/>
      <c r="U55" s="217"/>
      <c r="V55" s="230"/>
      <c r="W55" s="231"/>
      <c r="X55" s="219"/>
      <c r="Y55" s="232"/>
      <c r="Z55" s="233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</row>
    <row r="56" spans="1:55" ht="14.7" thickBot="1" x14ac:dyDescent="0.55000000000000004">
      <c r="A56" t="s">
        <v>437</v>
      </c>
      <c r="B56" s="71">
        <v>46077</v>
      </c>
      <c r="C56" s="2">
        <v>5.5</v>
      </c>
      <c r="D56" s="241"/>
      <c r="E56" s="268"/>
      <c r="F56" s="58">
        <v>0</v>
      </c>
      <c r="G56" s="38" t="s">
        <v>463</v>
      </c>
      <c r="I56" s="38">
        <v>0</v>
      </c>
      <c r="S56" s="226"/>
      <c r="T56" s="222"/>
      <c r="U56" s="227"/>
      <c r="V56" s="222"/>
      <c r="W56" s="222"/>
      <c r="X56" s="222"/>
      <c r="Y56" s="222"/>
      <c r="Z56" s="228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</row>
    <row r="57" spans="1:55" ht="14.7" thickBot="1" x14ac:dyDescent="0.55000000000000004">
      <c r="A57" t="s">
        <v>438</v>
      </c>
      <c r="B57" s="53">
        <v>46078</v>
      </c>
      <c r="C57" s="2">
        <v>7.8</v>
      </c>
      <c r="D57" s="241"/>
      <c r="E57" s="268"/>
      <c r="F57" s="58">
        <v>1</v>
      </c>
      <c r="G57" s="38" t="s">
        <v>463</v>
      </c>
      <c r="I57" s="38">
        <v>0</v>
      </c>
      <c r="S57" s="198"/>
      <c r="T57" s="232"/>
      <c r="U57" s="209"/>
      <c r="V57" s="210"/>
      <c r="W57" s="211"/>
      <c r="X57" s="212"/>
      <c r="Y57" s="232"/>
      <c r="Z57" s="198"/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</row>
    <row r="58" spans="1:55" ht="14.7" thickBot="1" x14ac:dyDescent="0.55000000000000004">
      <c r="A58" t="s">
        <v>432</v>
      </c>
      <c r="B58" s="71">
        <v>46079</v>
      </c>
      <c r="C58" s="2">
        <v>6</v>
      </c>
      <c r="D58" s="241"/>
      <c r="E58" s="268"/>
      <c r="F58" s="58">
        <v>0</v>
      </c>
      <c r="G58" s="38" t="s">
        <v>463</v>
      </c>
      <c r="I58" s="38">
        <v>0</v>
      </c>
      <c r="O58" s="38"/>
      <c r="S58" s="199"/>
      <c r="T58" s="232"/>
      <c r="U58" s="213"/>
      <c r="V58" s="214"/>
      <c r="W58" s="213"/>
      <c r="X58" s="214"/>
      <c r="Y58" s="232"/>
      <c r="Z58" s="199"/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</row>
    <row r="59" spans="1:55" ht="14.7" thickBot="1" x14ac:dyDescent="0.55000000000000004">
      <c r="A59" t="s">
        <v>433</v>
      </c>
      <c r="B59" s="53">
        <v>46080</v>
      </c>
      <c r="C59" s="2">
        <v>6.5</v>
      </c>
      <c r="D59" s="241"/>
      <c r="E59" s="268"/>
      <c r="F59" s="58">
        <v>1</v>
      </c>
      <c r="G59" s="38" t="s">
        <v>463</v>
      </c>
      <c r="I59" s="38">
        <v>0</v>
      </c>
      <c r="O59" s="38"/>
      <c r="S59" s="226"/>
      <c r="T59" s="222"/>
      <c r="U59" s="222"/>
      <c r="V59" s="237"/>
      <c r="W59" s="237"/>
      <c r="X59" s="223"/>
      <c r="Y59" s="229"/>
      <c r="Z59" s="228"/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</row>
    <row r="60" spans="1:55" ht="14.7" thickBot="1" x14ac:dyDescent="0.55000000000000004">
      <c r="A60" t="s">
        <v>434</v>
      </c>
      <c r="B60" s="71">
        <v>46081</v>
      </c>
      <c r="C60" s="2">
        <v>7.3</v>
      </c>
      <c r="D60" s="241"/>
      <c r="E60" s="268"/>
      <c r="F60" s="58">
        <v>1</v>
      </c>
      <c r="G60" s="38" t="s">
        <v>463</v>
      </c>
      <c r="I60" s="38">
        <v>0</v>
      </c>
      <c r="O60" s="38"/>
      <c r="S60" s="200"/>
      <c r="T60" s="201"/>
      <c r="U60" s="222"/>
      <c r="V60" s="240"/>
      <c r="W60" s="240"/>
      <c r="X60" s="223"/>
      <c r="Y60" s="206"/>
      <c r="Z60" s="201"/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</row>
    <row r="61" spans="1:55" ht="14.7" thickBot="1" x14ac:dyDescent="0.55000000000000004">
      <c r="A61" t="s">
        <v>435</v>
      </c>
      <c r="B61" s="53">
        <v>46082</v>
      </c>
      <c r="C61" s="2">
        <v>6.5</v>
      </c>
      <c r="D61" s="241">
        <f>AVERAGE(C61:C91)</f>
        <v>6.6549999999999994</v>
      </c>
      <c r="E61" s="268"/>
      <c r="F61" s="58">
        <v>0</v>
      </c>
      <c r="G61" s="38" t="s">
        <v>463</v>
      </c>
      <c r="I61" s="38">
        <v>0</v>
      </c>
      <c r="S61" s="202"/>
      <c r="T61" s="203"/>
      <c r="U61" s="222"/>
      <c r="V61" s="195"/>
      <c r="W61" s="196"/>
      <c r="X61" s="223"/>
      <c r="Y61" s="207"/>
      <c r="Z61" s="203"/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</row>
    <row r="62" spans="1:55" ht="14.7" thickBot="1" x14ac:dyDescent="0.55000000000000004">
      <c r="A62" t="s">
        <v>436</v>
      </c>
      <c r="B62" s="71">
        <v>46083</v>
      </c>
      <c r="C62" s="2">
        <v>6</v>
      </c>
      <c r="D62" s="241"/>
      <c r="E62" s="268"/>
      <c r="F62" s="58">
        <v>1</v>
      </c>
      <c r="G62" s="38" t="s">
        <v>463</v>
      </c>
      <c r="I62" s="38">
        <v>0.3</v>
      </c>
      <c r="S62" s="204"/>
      <c r="T62" s="205"/>
      <c r="U62" s="225"/>
      <c r="V62" s="236"/>
      <c r="W62" s="236"/>
      <c r="X62" s="224"/>
      <c r="Y62" s="208"/>
      <c r="Z62" s="205"/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</row>
    <row r="63" spans="1:55" ht="14.7" thickBot="1" x14ac:dyDescent="0.55000000000000004">
      <c r="A63" t="s">
        <v>437</v>
      </c>
      <c r="B63" s="53">
        <v>46084</v>
      </c>
      <c r="C63" s="2">
        <v>6.8</v>
      </c>
      <c r="D63" s="241"/>
      <c r="E63" s="268"/>
      <c r="F63" s="58">
        <v>0</v>
      </c>
      <c r="G63" s="38" t="s">
        <v>463</v>
      </c>
      <c r="I63" s="38">
        <v>0.2</v>
      </c>
      <c r="M63" s="38"/>
      <c r="V63" s="38"/>
      <c r="W63" s="38"/>
      <c r="X63" s="176"/>
      <c r="Y63" s="101"/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</row>
    <row r="64" spans="1:55" x14ac:dyDescent="0.5">
      <c r="A64" t="s">
        <v>438</v>
      </c>
      <c r="B64" s="71">
        <v>46085</v>
      </c>
      <c r="C64" s="2">
        <v>7</v>
      </c>
      <c r="D64" s="241"/>
      <c r="E64" s="268"/>
      <c r="F64" s="58">
        <v>1</v>
      </c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</row>
    <row r="65" spans="1:55" ht="14.7" thickBot="1" x14ac:dyDescent="0.55000000000000004">
      <c r="A65" t="s">
        <v>432</v>
      </c>
      <c r="B65" s="53">
        <v>46086</v>
      </c>
      <c r="C65" s="2">
        <v>6.9</v>
      </c>
      <c r="D65" s="241"/>
      <c r="E65" s="268"/>
      <c r="F65" s="58">
        <v>0</v>
      </c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</row>
    <row r="66" spans="1:55" x14ac:dyDescent="0.5">
      <c r="A66" t="s">
        <v>433</v>
      </c>
      <c r="B66" s="71">
        <v>46087</v>
      </c>
      <c r="C66" s="2">
        <v>6.5</v>
      </c>
      <c r="D66" s="241"/>
      <c r="E66" s="268"/>
      <c r="F66" s="58">
        <v>0</v>
      </c>
      <c r="G66" s="38" t="s">
        <v>463</v>
      </c>
      <c r="I66" s="38">
        <v>0.1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</row>
    <row r="67" spans="1:55" ht="14.7" thickBot="1" x14ac:dyDescent="0.55000000000000004">
      <c r="A67" t="s">
        <v>434</v>
      </c>
      <c r="B67" s="53">
        <v>46088</v>
      </c>
      <c r="C67" s="2">
        <v>5</v>
      </c>
      <c r="D67" s="241"/>
      <c r="E67" s="268"/>
      <c r="F67" s="58">
        <v>1</v>
      </c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</row>
    <row r="68" spans="1:55" x14ac:dyDescent="0.5">
      <c r="A68" t="s">
        <v>435</v>
      </c>
      <c r="B68" s="71">
        <v>46089</v>
      </c>
      <c r="C68" s="2">
        <v>8.4</v>
      </c>
      <c r="D68" s="241"/>
      <c r="E68" s="268"/>
      <c r="F68" s="58">
        <v>1</v>
      </c>
      <c r="G68" s="38" t="s">
        <v>463</v>
      </c>
      <c r="H68" s="38" t="s">
        <v>507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</row>
    <row r="69" spans="1:55" ht="14.7" thickBot="1" x14ac:dyDescent="0.55000000000000004">
      <c r="A69" t="s">
        <v>436</v>
      </c>
      <c r="B69" s="53">
        <v>46090</v>
      </c>
      <c r="C69" s="2">
        <v>5.3</v>
      </c>
      <c r="D69" s="241"/>
      <c r="E69" s="268"/>
      <c r="F69" s="58">
        <v>0</v>
      </c>
      <c r="G69" s="38" t="s">
        <v>463</v>
      </c>
      <c r="H69" s="38" t="s">
        <v>508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</row>
    <row r="70" spans="1:55" x14ac:dyDescent="0.5">
      <c r="A70" t="s">
        <v>437</v>
      </c>
      <c r="B70" s="71">
        <v>46091</v>
      </c>
      <c r="C70" s="2">
        <v>5.8</v>
      </c>
      <c r="D70" s="241"/>
      <c r="E70" s="268"/>
      <c r="F70" s="58">
        <v>0</v>
      </c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</row>
    <row r="71" spans="1:55" ht="14.7" thickBot="1" x14ac:dyDescent="0.55000000000000004">
      <c r="A71" t="s">
        <v>438</v>
      </c>
      <c r="B71" s="53">
        <v>46092</v>
      </c>
      <c r="C71" s="2">
        <v>5.5</v>
      </c>
      <c r="D71" s="241"/>
      <c r="E71" s="268"/>
      <c r="F71" s="58">
        <v>0</v>
      </c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</row>
    <row r="72" spans="1:55" x14ac:dyDescent="0.5">
      <c r="A72" t="s">
        <v>432</v>
      </c>
      <c r="B72" s="71">
        <v>46093</v>
      </c>
      <c r="C72" s="2">
        <v>5.6</v>
      </c>
      <c r="D72" s="241"/>
      <c r="E72" s="268"/>
      <c r="F72" s="58">
        <v>1</v>
      </c>
      <c r="G72" s="38" t="s">
        <v>520</v>
      </c>
      <c r="H72" s="38" t="s">
        <v>519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</row>
    <row r="73" spans="1:55" ht="14.7" thickBot="1" x14ac:dyDescent="0.55000000000000004">
      <c r="A73" t="s">
        <v>433</v>
      </c>
      <c r="B73" s="53">
        <v>46094</v>
      </c>
      <c r="C73" s="2">
        <v>8.5</v>
      </c>
      <c r="D73" s="241"/>
      <c r="E73" s="268"/>
      <c r="F73" s="58">
        <v>1</v>
      </c>
      <c r="G73" s="38" t="s">
        <v>176</v>
      </c>
      <c r="H73" s="38" t="s">
        <v>519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</row>
    <row r="74" spans="1:55" x14ac:dyDescent="0.5">
      <c r="A74" t="s">
        <v>434</v>
      </c>
      <c r="B74" s="71">
        <v>46095</v>
      </c>
      <c r="C74" s="2">
        <v>7.8</v>
      </c>
      <c r="D74" s="241"/>
      <c r="E74" s="268"/>
      <c r="F74" s="58">
        <v>1</v>
      </c>
      <c r="G74" s="38" t="s">
        <v>176</v>
      </c>
      <c r="H74" s="38" t="s">
        <v>519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</row>
    <row r="75" spans="1:55" ht="14.7" thickBot="1" x14ac:dyDescent="0.55000000000000004">
      <c r="A75" t="s">
        <v>435</v>
      </c>
      <c r="B75" s="53">
        <v>46096</v>
      </c>
      <c r="C75" s="2">
        <v>10</v>
      </c>
      <c r="D75" s="241"/>
      <c r="E75" s="268"/>
      <c r="F75" s="58">
        <v>1</v>
      </c>
      <c r="G75" s="38" t="s">
        <v>176</v>
      </c>
      <c r="H75" s="38" t="s">
        <v>519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</row>
    <row r="76" spans="1:55" x14ac:dyDescent="0.5">
      <c r="A76" t="s">
        <v>436</v>
      </c>
      <c r="B76" s="71">
        <v>46097</v>
      </c>
      <c r="C76" s="2">
        <v>7.5</v>
      </c>
      <c r="D76" s="241"/>
      <c r="E76" s="268"/>
      <c r="F76" s="58">
        <v>0</v>
      </c>
      <c r="G76" s="38" t="s">
        <v>176</v>
      </c>
      <c r="H76" s="38" t="s">
        <v>519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</row>
    <row r="77" spans="1:55" ht="14.7" thickBot="1" x14ac:dyDescent="0.55000000000000004">
      <c r="A77" t="s">
        <v>437</v>
      </c>
      <c r="B77" s="53">
        <v>46098</v>
      </c>
      <c r="C77" s="2">
        <v>6</v>
      </c>
      <c r="D77" s="241"/>
      <c r="E77" s="268"/>
      <c r="F77" s="58">
        <v>1</v>
      </c>
      <c r="G77" s="38" t="s">
        <v>176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</row>
    <row r="78" spans="1:55" x14ac:dyDescent="0.5">
      <c r="A78" t="s">
        <v>438</v>
      </c>
      <c r="B78" s="71">
        <v>46099</v>
      </c>
      <c r="C78" s="2">
        <v>6</v>
      </c>
      <c r="D78" s="241"/>
      <c r="E78" s="268"/>
      <c r="F78" s="58">
        <v>0</v>
      </c>
      <c r="G78" s="38" t="s">
        <v>176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</row>
    <row r="79" spans="1:55" ht="14.7" thickBot="1" x14ac:dyDescent="0.55000000000000004">
      <c r="A79" t="s">
        <v>432</v>
      </c>
      <c r="B79" s="53">
        <v>46100</v>
      </c>
      <c r="C79" s="2">
        <v>8</v>
      </c>
      <c r="D79" s="241"/>
      <c r="E79" s="268"/>
      <c r="F79" s="58">
        <v>1</v>
      </c>
      <c r="G79" s="38" t="s">
        <v>176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</row>
    <row r="80" spans="1:55" x14ac:dyDescent="0.5">
      <c r="A80" t="s">
        <v>433</v>
      </c>
      <c r="B80" s="71">
        <v>46101</v>
      </c>
      <c r="C80" s="2">
        <v>4</v>
      </c>
      <c r="D80" s="241"/>
      <c r="E80" s="268"/>
      <c r="F80" s="58">
        <v>0</v>
      </c>
      <c r="G80" s="38" t="s">
        <v>521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</row>
    <row r="81" spans="1:55" ht="14.7" thickBot="1" x14ac:dyDescent="0.55000000000000004">
      <c r="A81" t="s">
        <v>434</v>
      </c>
      <c r="B81" s="53">
        <v>46102</v>
      </c>
      <c r="C81" s="2"/>
      <c r="D81" s="241"/>
      <c r="E81" s="268"/>
      <c r="F81" s="58">
        <v>1</v>
      </c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</row>
    <row r="82" spans="1:55" x14ac:dyDescent="0.5">
      <c r="A82" t="s">
        <v>435</v>
      </c>
      <c r="B82" s="71">
        <v>46103</v>
      </c>
      <c r="C82" s="2"/>
      <c r="D82" s="241"/>
      <c r="E82" s="268"/>
      <c r="F82" s="58">
        <v>1</v>
      </c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</row>
    <row r="83" spans="1:55" ht="14.7" thickBot="1" x14ac:dyDescent="0.55000000000000004">
      <c r="A83" t="s">
        <v>436</v>
      </c>
      <c r="B83" s="53">
        <v>46104</v>
      </c>
      <c r="C83" s="2"/>
      <c r="D83" s="241"/>
      <c r="E83" s="268"/>
      <c r="F83" s="58">
        <v>1</v>
      </c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</row>
    <row r="84" spans="1:55" x14ac:dyDescent="0.5">
      <c r="A84" t="s">
        <v>437</v>
      </c>
      <c r="B84" s="71">
        <v>46105</v>
      </c>
      <c r="C84" s="2"/>
      <c r="D84" s="241"/>
      <c r="E84" s="268"/>
      <c r="F84" s="58">
        <v>1</v>
      </c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</row>
    <row r="85" spans="1:55" ht="14.7" thickBot="1" x14ac:dyDescent="0.55000000000000004">
      <c r="A85" t="s">
        <v>438</v>
      </c>
      <c r="B85" s="53">
        <v>46106</v>
      </c>
      <c r="C85" s="2"/>
      <c r="D85" s="241"/>
      <c r="E85" s="268"/>
      <c r="F85" s="58">
        <v>1</v>
      </c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</row>
    <row r="86" spans="1:55" x14ac:dyDescent="0.5">
      <c r="A86" t="s">
        <v>432</v>
      </c>
      <c r="B86" s="71">
        <v>46107</v>
      </c>
      <c r="C86" s="2"/>
      <c r="D86" s="241"/>
      <c r="E86" s="268"/>
      <c r="F86" s="58">
        <v>1</v>
      </c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</row>
    <row r="87" spans="1:55" ht="14.7" thickBot="1" x14ac:dyDescent="0.55000000000000004">
      <c r="A87" t="s">
        <v>433</v>
      </c>
      <c r="B87" s="53">
        <v>46108</v>
      </c>
      <c r="C87" s="2"/>
      <c r="D87" s="241"/>
      <c r="E87" s="268"/>
      <c r="F87" s="58">
        <v>1</v>
      </c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</row>
    <row r="88" spans="1:55" x14ac:dyDescent="0.5">
      <c r="A88" t="s">
        <v>434</v>
      </c>
      <c r="B88" s="71">
        <v>46109</v>
      </c>
      <c r="C88" s="2"/>
      <c r="D88" s="241"/>
      <c r="E88" s="268"/>
      <c r="F88" s="58">
        <v>1</v>
      </c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</row>
    <row r="89" spans="1:55" ht="14.7" thickBot="1" x14ac:dyDescent="0.55000000000000004">
      <c r="A89" t="s">
        <v>435</v>
      </c>
      <c r="B89" s="53">
        <v>46110</v>
      </c>
      <c r="C89" s="2"/>
      <c r="D89" s="241"/>
      <c r="E89" s="268"/>
      <c r="F89" s="58">
        <v>1</v>
      </c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</row>
    <row r="90" spans="1:55" x14ac:dyDescent="0.5">
      <c r="A90" t="s">
        <v>436</v>
      </c>
      <c r="B90" s="71">
        <v>46111</v>
      </c>
      <c r="C90" s="2"/>
      <c r="D90" s="241"/>
      <c r="E90" s="268"/>
      <c r="F90" s="58">
        <v>1</v>
      </c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</row>
    <row r="91" spans="1:55" ht="14.7" thickBot="1" x14ac:dyDescent="0.55000000000000004">
      <c r="A91" t="s">
        <v>437</v>
      </c>
      <c r="B91" s="53">
        <v>46112</v>
      </c>
      <c r="C91" s="2"/>
      <c r="D91" s="241"/>
      <c r="E91" s="268"/>
      <c r="F91" s="58">
        <v>1</v>
      </c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</row>
    <row r="92" spans="1:55" x14ac:dyDescent="0.5">
      <c r="A92" t="s">
        <v>438</v>
      </c>
      <c r="B92" s="71">
        <v>46113</v>
      </c>
      <c r="C92" s="2"/>
      <c r="D92" s="241"/>
      <c r="E92" s="268"/>
      <c r="F92" s="58">
        <v>1</v>
      </c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</row>
    <row r="93" spans="1:55" ht="14.7" thickBot="1" x14ac:dyDescent="0.55000000000000004">
      <c r="A93" t="s">
        <v>432</v>
      </c>
      <c r="B93" s="53">
        <v>46114</v>
      </c>
      <c r="C93" s="2"/>
      <c r="D93" s="241"/>
      <c r="E93" s="268"/>
      <c r="F93" s="58">
        <v>1</v>
      </c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</row>
    <row r="94" spans="1:55" x14ac:dyDescent="0.5">
      <c r="A94" t="s">
        <v>433</v>
      </c>
      <c r="B94" s="71">
        <v>46115</v>
      </c>
      <c r="C94" s="2"/>
      <c r="D94" s="241"/>
      <c r="E94" s="268"/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</row>
    <row r="95" spans="1:55" ht="14.7" thickBot="1" x14ac:dyDescent="0.55000000000000004">
      <c r="A95" t="s">
        <v>434</v>
      </c>
      <c r="B95" s="53">
        <v>46116</v>
      </c>
      <c r="C95" s="2"/>
      <c r="D95" s="241"/>
      <c r="E95" s="268"/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</row>
    <row r="96" spans="1:55" x14ac:dyDescent="0.5">
      <c r="A96" t="s">
        <v>435</v>
      </c>
      <c r="B96" s="71">
        <v>46117</v>
      </c>
      <c r="C96" s="2"/>
      <c r="D96" s="241"/>
      <c r="E96" s="268"/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</row>
    <row r="97" spans="1:55" ht="14.7" thickBot="1" x14ac:dyDescent="0.55000000000000004">
      <c r="A97" t="s">
        <v>436</v>
      </c>
      <c r="B97" s="53">
        <v>46118</v>
      </c>
      <c r="C97" s="2"/>
      <c r="D97" s="241"/>
      <c r="E97" s="268"/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</row>
    <row r="98" spans="1:55" x14ac:dyDescent="0.5">
      <c r="A98" t="s">
        <v>437</v>
      </c>
      <c r="B98" s="71">
        <v>46119</v>
      </c>
      <c r="C98" s="2"/>
      <c r="D98" s="241"/>
      <c r="E98" s="268"/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</row>
    <row r="99" spans="1:55" ht="14.7" thickBot="1" x14ac:dyDescent="0.55000000000000004">
      <c r="A99" t="s">
        <v>438</v>
      </c>
      <c r="B99" s="53">
        <v>46120</v>
      </c>
      <c r="C99" s="2"/>
      <c r="D99" s="241"/>
      <c r="E99" s="268"/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</row>
    <row r="100" spans="1:55" x14ac:dyDescent="0.5">
      <c r="A100" t="s">
        <v>432</v>
      </c>
      <c r="B100" s="71">
        <v>46121</v>
      </c>
      <c r="C100" s="2"/>
      <c r="D100" s="241"/>
      <c r="E100" s="268"/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</row>
    <row r="101" spans="1:55" ht="14.7" thickBot="1" x14ac:dyDescent="0.55000000000000004">
      <c r="A101" t="s">
        <v>433</v>
      </c>
      <c r="B101" s="53">
        <v>46122</v>
      </c>
      <c r="C101" s="2"/>
      <c r="D101" s="241"/>
      <c r="E101" s="268"/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</row>
    <row r="102" spans="1:55" x14ac:dyDescent="0.5">
      <c r="A102" t="s">
        <v>434</v>
      </c>
      <c r="B102" s="71">
        <v>46123</v>
      </c>
      <c r="C102" s="2"/>
      <c r="D102" s="241"/>
      <c r="E102" s="268"/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</row>
    <row r="103" spans="1:55" ht="14.7" thickBot="1" x14ac:dyDescent="0.55000000000000004">
      <c r="A103" t="s">
        <v>435</v>
      </c>
      <c r="B103" s="53">
        <v>46124</v>
      </c>
      <c r="C103" s="2"/>
      <c r="D103" s="241"/>
      <c r="E103" s="268"/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</row>
    <row r="104" spans="1:55" x14ac:dyDescent="0.5">
      <c r="A104" t="s">
        <v>436</v>
      </c>
      <c r="B104" s="71">
        <v>46125</v>
      </c>
      <c r="C104" s="2"/>
      <c r="D104" s="241"/>
      <c r="E104" s="268"/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</row>
    <row r="105" spans="1:55" ht="14.7" thickBot="1" x14ac:dyDescent="0.55000000000000004">
      <c r="A105" t="s">
        <v>437</v>
      </c>
      <c r="B105" s="53">
        <v>46126</v>
      </c>
      <c r="C105" s="2"/>
      <c r="D105" s="241"/>
      <c r="E105" s="268"/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</row>
    <row r="106" spans="1:55" x14ac:dyDescent="0.5">
      <c r="A106" t="s">
        <v>438</v>
      </c>
      <c r="B106" s="71">
        <v>46127</v>
      </c>
      <c r="C106" s="2"/>
      <c r="D106" s="241"/>
      <c r="E106" s="268"/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</row>
    <row r="107" spans="1:55" ht="14.7" thickBot="1" x14ac:dyDescent="0.55000000000000004">
      <c r="A107" t="s">
        <v>432</v>
      </c>
      <c r="B107" s="53">
        <v>46128</v>
      </c>
      <c r="C107" s="2"/>
      <c r="D107" s="241"/>
      <c r="E107" s="268"/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</row>
    <row r="108" spans="1:55" x14ac:dyDescent="0.5">
      <c r="A108" t="s">
        <v>433</v>
      </c>
      <c r="B108" s="71">
        <v>46129</v>
      </c>
      <c r="C108" s="2"/>
      <c r="D108" s="241"/>
      <c r="E108" s="268"/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</row>
    <row r="109" spans="1:55" ht="14.7" thickBot="1" x14ac:dyDescent="0.55000000000000004">
      <c r="A109" t="s">
        <v>434</v>
      </c>
      <c r="B109" s="53">
        <v>46130</v>
      </c>
      <c r="C109" s="2"/>
      <c r="D109" s="241"/>
      <c r="E109" s="268"/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</row>
    <row r="110" spans="1:55" x14ac:dyDescent="0.5">
      <c r="A110" t="s">
        <v>435</v>
      </c>
      <c r="B110" s="71">
        <v>46131</v>
      </c>
      <c r="C110" s="2"/>
      <c r="D110" s="241"/>
      <c r="E110" s="268"/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</row>
    <row r="111" spans="1:55" ht="14.7" thickBot="1" x14ac:dyDescent="0.55000000000000004">
      <c r="A111" t="s">
        <v>436</v>
      </c>
      <c r="B111" s="53">
        <v>46132</v>
      </c>
      <c r="C111" s="2"/>
      <c r="D111" s="241"/>
      <c r="E111" s="268"/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</row>
    <row r="112" spans="1:55" x14ac:dyDescent="0.5">
      <c r="A112" t="s">
        <v>437</v>
      </c>
      <c r="B112" s="71">
        <v>46133</v>
      </c>
      <c r="C112" s="2"/>
      <c r="D112" s="241"/>
      <c r="E112" s="268"/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</row>
    <row r="113" spans="1:55" ht="14.7" thickBot="1" x14ac:dyDescent="0.55000000000000004">
      <c r="A113" t="s">
        <v>438</v>
      </c>
      <c r="B113" s="53">
        <v>46134</v>
      </c>
      <c r="C113" s="2"/>
      <c r="D113" s="241"/>
      <c r="E113" s="268"/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</row>
    <row r="114" spans="1:55" x14ac:dyDescent="0.5">
      <c r="A114" t="s">
        <v>432</v>
      </c>
      <c r="B114" s="71">
        <v>46135</v>
      </c>
      <c r="C114" s="2"/>
      <c r="D114" s="241"/>
      <c r="E114" s="268"/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</row>
    <row r="115" spans="1:55" ht="14.7" thickBot="1" x14ac:dyDescent="0.55000000000000004">
      <c r="A115" t="s">
        <v>433</v>
      </c>
      <c r="B115" s="53">
        <v>46136</v>
      </c>
      <c r="C115" s="2"/>
      <c r="D115" s="241"/>
      <c r="E115" s="268"/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</row>
    <row r="116" spans="1:55" x14ac:dyDescent="0.5">
      <c r="A116" t="s">
        <v>434</v>
      </c>
      <c r="B116" s="71">
        <v>46137</v>
      </c>
      <c r="C116" s="2"/>
      <c r="D116" s="241"/>
      <c r="E116" s="268"/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</row>
    <row r="117" spans="1:55" ht="14.7" thickBot="1" x14ac:dyDescent="0.55000000000000004">
      <c r="A117" t="s">
        <v>435</v>
      </c>
      <c r="B117" s="53">
        <v>46138</v>
      </c>
      <c r="C117" s="2"/>
      <c r="D117" s="241"/>
      <c r="E117" s="268"/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</row>
    <row r="118" spans="1:55" x14ac:dyDescent="0.5">
      <c r="A118" t="s">
        <v>436</v>
      </c>
      <c r="B118" s="71">
        <v>46139</v>
      </c>
      <c r="C118" s="2"/>
      <c r="D118" s="241"/>
      <c r="E118" s="268"/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</row>
    <row r="119" spans="1:55" ht="14.7" thickBot="1" x14ac:dyDescent="0.55000000000000004">
      <c r="A119" t="s">
        <v>437</v>
      </c>
      <c r="B119" s="53">
        <v>46140</v>
      </c>
      <c r="C119" s="2"/>
      <c r="D119" s="241"/>
      <c r="E119" s="268"/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</row>
    <row r="120" spans="1:55" x14ac:dyDescent="0.5">
      <c r="A120" t="s">
        <v>438</v>
      </c>
      <c r="B120" s="71">
        <v>46141</v>
      </c>
      <c r="C120" s="2"/>
      <c r="D120" s="241"/>
      <c r="E120" s="268"/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</row>
    <row r="121" spans="1:55" ht="14.7" thickBot="1" x14ac:dyDescent="0.55000000000000004">
      <c r="A121" t="s">
        <v>432</v>
      </c>
      <c r="B121" s="53">
        <v>46142</v>
      </c>
      <c r="C121" s="2"/>
      <c r="D121" s="241"/>
      <c r="E121" s="268"/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</row>
    <row r="122" spans="1:55" x14ac:dyDescent="0.5">
      <c r="A122" t="s">
        <v>433</v>
      </c>
      <c r="B122" s="71">
        <v>46143</v>
      </c>
      <c r="C122" s="2"/>
      <c r="D122" s="241"/>
      <c r="E122" s="268"/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</row>
    <row r="123" spans="1:55" ht="14.7" thickBot="1" x14ac:dyDescent="0.55000000000000004">
      <c r="A123" t="s">
        <v>434</v>
      </c>
      <c r="B123" s="53">
        <v>46144</v>
      </c>
      <c r="C123" s="2"/>
      <c r="D123" s="241"/>
      <c r="E123" s="268"/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</row>
    <row r="124" spans="1:55" x14ac:dyDescent="0.5">
      <c r="A124" t="s">
        <v>435</v>
      </c>
      <c r="B124" s="71">
        <v>46145</v>
      </c>
      <c r="C124" s="2"/>
      <c r="D124" s="241"/>
      <c r="E124" s="268"/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</row>
    <row r="125" spans="1:55" ht="14.7" thickBot="1" x14ac:dyDescent="0.55000000000000004">
      <c r="A125" t="s">
        <v>436</v>
      </c>
      <c r="B125" s="53">
        <v>46146</v>
      </c>
      <c r="C125" s="2"/>
      <c r="D125" s="241"/>
      <c r="E125" s="268"/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</row>
    <row r="126" spans="1:55" x14ac:dyDescent="0.5">
      <c r="A126" t="s">
        <v>437</v>
      </c>
      <c r="B126" s="71">
        <v>46147</v>
      </c>
      <c r="C126" s="2"/>
      <c r="D126" s="241"/>
      <c r="E126" s="268"/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</row>
    <row r="127" spans="1:55" ht="14.7" thickBot="1" x14ac:dyDescent="0.55000000000000004">
      <c r="A127" t="s">
        <v>438</v>
      </c>
      <c r="B127" s="53">
        <v>46148</v>
      </c>
      <c r="C127" s="2"/>
      <c r="D127" s="241"/>
      <c r="E127" s="268"/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</row>
    <row r="128" spans="1:55" x14ac:dyDescent="0.5">
      <c r="A128" t="s">
        <v>432</v>
      </c>
      <c r="B128" s="71">
        <v>46149</v>
      </c>
      <c r="C128" s="2"/>
      <c r="D128" s="241"/>
      <c r="E128" s="268"/>
      <c r="I128" s="38">
        <v>0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</row>
    <row r="129" spans="1:55" ht="14.7" thickBot="1" x14ac:dyDescent="0.55000000000000004">
      <c r="A129" t="s">
        <v>433</v>
      </c>
      <c r="B129" s="53">
        <v>46150</v>
      </c>
      <c r="C129" s="2"/>
      <c r="D129" s="241"/>
      <c r="E129" s="268"/>
      <c r="I129" s="38">
        <v>0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</row>
    <row r="130" spans="1:55" x14ac:dyDescent="0.5">
      <c r="A130" t="s">
        <v>434</v>
      </c>
      <c r="B130" s="71">
        <v>46151</v>
      </c>
      <c r="C130" s="2"/>
      <c r="D130" s="241"/>
      <c r="E130" s="268"/>
      <c r="I130" s="38">
        <v>0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</row>
    <row r="131" spans="1:55" ht="14.7" thickBot="1" x14ac:dyDescent="0.55000000000000004">
      <c r="A131" t="s">
        <v>435</v>
      </c>
      <c r="B131" s="53">
        <v>46152</v>
      </c>
      <c r="C131" s="2"/>
      <c r="D131" s="241"/>
      <c r="E131" s="268"/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</row>
    <row r="132" spans="1:55" x14ac:dyDescent="0.5">
      <c r="A132" t="s">
        <v>436</v>
      </c>
      <c r="B132" s="71">
        <v>46153</v>
      </c>
      <c r="C132" s="2"/>
      <c r="D132" s="241"/>
      <c r="E132" s="268"/>
      <c r="I132" s="38">
        <v>0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</row>
    <row r="133" spans="1:55" ht="14.7" thickBot="1" x14ac:dyDescent="0.55000000000000004">
      <c r="A133" t="s">
        <v>437</v>
      </c>
      <c r="B133" s="53">
        <v>46154</v>
      </c>
      <c r="C133" s="2"/>
      <c r="D133" s="241"/>
      <c r="E133" s="268"/>
      <c r="I133" s="38">
        <v>0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</row>
    <row r="134" spans="1:55" x14ac:dyDescent="0.5">
      <c r="A134" t="s">
        <v>438</v>
      </c>
      <c r="B134" s="71">
        <v>46155</v>
      </c>
      <c r="C134" s="2"/>
      <c r="D134" s="241"/>
      <c r="E134" s="268"/>
      <c r="I134" s="38">
        <v>0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</row>
    <row r="135" spans="1:55" ht="14.7" thickBot="1" x14ac:dyDescent="0.55000000000000004">
      <c r="A135" t="s">
        <v>432</v>
      </c>
      <c r="B135" s="53">
        <v>46156</v>
      </c>
      <c r="C135" s="2"/>
      <c r="D135" s="241"/>
      <c r="E135" s="268"/>
      <c r="I135" s="38">
        <v>0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</row>
    <row r="136" spans="1:55" x14ac:dyDescent="0.5">
      <c r="A136" t="s">
        <v>433</v>
      </c>
      <c r="B136" s="71">
        <v>46157</v>
      </c>
      <c r="C136" s="2"/>
      <c r="D136" s="241"/>
      <c r="E136" s="268"/>
      <c r="I136" s="38">
        <v>0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</row>
    <row r="137" spans="1:55" ht="14.7" thickBot="1" x14ac:dyDescent="0.55000000000000004">
      <c r="A137" t="s">
        <v>434</v>
      </c>
      <c r="B137" s="53">
        <v>46158</v>
      </c>
      <c r="C137" s="2"/>
      <c r="D137" s="241"/>
      <c r="E137" s="268"/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</row>
    <row r="138" spans="1:55" x14ac:dyDescent="0.5">
      <c r="A138" t="s">
        <v>435</v>
      </c>
      <c r="B138" s="71">
        <v>46159</v>
      </c>
      <c r="C138" s="2"/>
      <c r="D138" s="241"/>
      <c r="E138" s="268"/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t="str">
        <f>TRIM(MID(SUBSTITUTE($G138, ",", REPT(" ", 100)), (COLUMNS($AJ$2:AZ138)-1)*100+1, 100))</f>
        <v/>
      </c>
      <c r="BA138" t="str">
        <f>TRIM(MID(SUBSTITUTE($G138, ",", REPT(" ", 100)), (COLUMNS($AJ$2:BA138)-1)*100+1, 100))</f>
        <v/>
      </c>
      <c r="BB138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</row>
    <row r="139" spans="1:55" ht="14.7" thickBot="1" x14ac:dyDescent="0.55000000000000004">
      <c r="A139" t="s">
        <v>436</v>
      </c>
      <c r="B139" s="53">
        <v>46160</v>
      </c>
      <c r="C139" s="2"/>
      <c r="D139" s="241"/>
      <c r="E139" s="268"/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t="str">
        <f>TRIM(MID(SUBSTITUTE($G139, ",", REPT(" ", 100)), (COLUMNS($AJ$2:AZ139)-1)*100+1, 100))</f>
        <v/>
      </c>
      <c r="BA139" t="str">
        <f>TRIM(MID(SUBSTITUTE($G139, ",", REPT(" ", 100)), (COLUMNS($AJ$2:BA139)-1)*100+1, 100))</f>
        <v/>
      </c>
      <c r="BB139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</row>
    <row r="140" spans="1:55" x14ac:dyDescent="0.5">
      <c r="A140" t="s">
        <v>437</v>
      </c>
      <c r="B140" s="71">
        <v>46161</v>
      </c>
      <c r="C140" s="2"/>
      <c r="D140" s="241"/>
      <c r="E140" s="268"/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</row>
    <row r="141" spans="1:55" ht="14.7" thickBot="1" x14ac:dyDescent="0.55000000000000004">
      <c r="A141" t="s">
        <v>438</v>
      </c>
      <c r="B141" s="53">
        <v>46162</v>
      </c>
      <c r="C141" s="2"/>
      <c r="D141" s="241"/>
      <c r="E141" s="268"/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</row>
    <row r="142" spans="1:55" x14ac:dyDescent="0.5">
      <c r="A142" t="s">
        <v>432</v>
      </c>
      <c r="B142" s="71">
        <v>46163</v>
      </c>
      <c r="C142" s="2"/>
      <c r="D142" s="241"/>
      <c r="E142" s="268"/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t="str">
        <f>TRIM(MID(SUBSTITUTE($G142, ",", REPT(" ", 100)), (COLUMNS($AJ$2:AZ142)-1)*100+1, 100))</f>
        <v/>
      </c>
      <c r="BA142" t="str">
        <f>TRIM(MID(SUBSTITUTE($G142, ",", REPT(" ", 100)), (COLUMNS($AJ$2:BA142)-1)*100+1, 100))</f>
        <v/>
      </c>
      <c r="BB142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</row>
    <row r="143" spans="1:55" ht="14.7" thickBot="1" x14ac:dyDescent="0.55000000000000004">
      <c r="A143" t="s">
        <v>433</v>
      </c>
      <c r="B143" s="53">
        <v>46164</v>
      </c>
      <c r="C143" s="2"/>
      <c r="D143" s="241"/>
      <c r="E143" s="268"/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t="str">
        <f>TRIM(MID(SUBSTITUTE($G143, ",", REPT(" ", 100)), (COLUMNS($AJ$2:AZ143)-1)*100+1, 100))</f>
        <v/>
      </c>
      <c r="BA143" t="str">
        <f>TRIM(MID(SUBSTITUTE($G143, ",", REPT(" ", 100)), (COLUMNS($AJ$2:BA143)-1)*100+1, 100))</f>
        <v/>
      </c>
      <c r="BB143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</row>
    <row r="144" spans="1:55" x14ac:dyDescent="0.5">
      <c r="A144" t="s">
        <v>434</v>
      </c>
      <c r="B144" s="71">
        <v>46165</v>
      </c>
      <c r="C144" s="2"/>
      <c r="D144" s="241"/>
      <c r="E144" s="268"/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</row>
    <row r="145" spans="1:55" ht="14.7" thickBot="1" x14ac:dyDescent="0.55000000000000004">
      <c r="A145" t="s">
        <v>435</v>
      </c>
      <c r="B145" s="53">
        <v>46166</v>
      </c>
      <c r="C145" s="2"/>
      <c r="D145" s="241"/>
      <c r="E145" s="268"/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</row>
    <row r="146" spans="1:55" x14ac:dyDescent="0.5">
      <c r="A146" t="s">
        <v>436</v>
      </c>
      <c r="B146" s="71">
        <v>46167</v>
      </c>
      <c r="C146" s="2"/>
      <c r="D146" s="241"/>
      <c r="E146" s="268"/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</row>
    <row r="147" spans="1:55" ht="14.7" thickBot="1" x14ac:dyDescent="0.55000000000000004">
      <c r="A147" t="s">
        <v>437</v>
      </c>
      <c r="B147" s="53">
        <v>46168</v>
      </c>
      <c r="C147" s="2"/>
      <c r="D147" s="241"/>
      <c r="E147" s="268"/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</row>
    <row r="148" spans="1:55" x14ac:dyDescent="0.5">
      <c r="A148" t="s">
        <v>438</v>
      </c>
      <c r="B148" s="71">
        <v>46169</v>
      </c>
      <c r="C148" s="2"/>
      <c r="D148" s="241"/>
      <c r="E148" s="268"/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</row>
    <row r="149" spans="1:55" ht="14.7" thickBot="1" x14ac:dyDescent="0.55000000000000004">
      <c r="A149" t="s">
        <v>432</v>
      </c>
      <c r="B149" s="53">
        <v>46170</v>
      </c>
      <c r="C149" s="2"/>
      <c r="D149" s="241"/>
      <c r="E149" s="268"/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</row>
    <row r="150" spans="1:55" x14ac:dyDescent="0.5">
      <c r="A150" t="s">
        <v>433</v>
      </c>
      <c r="B150" s="71">
        <v>46171</v>
      </c>
      <c r="C150" s="2"/>
      <c r="D150" s="241"/>
      <c r="E150" s="268"/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</row>
    <row r="151" spans="1:55" ht="14.7" thickBot="1" x14ac:dyDescent="0.55000000000000004">
      <c r="A151" t="s">
        <v>434</v>
      </c>
      <c r="B151" s="53">
        <v>46172</v>
      </c>
      <c r="C151" s="2"/>
      <c r="D151" s="241"/>
      <c r="E151" s="268"/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</row>
    <row r="152" spans="1:55" x14ac:dyDescent="0.5">
      <c r="A152" t="s">
        <v>435</v>
      </c>
      <c r="B152" s="71">
        <v>46173</v>
      </c>
      <c r="C152" s="2"/>
      <c r="D152" s="241"/>
      <c r="E152" s="268"/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</row>
    <row r="153" spans="1:55" ht="14.7" thickBot="1" x14ac:dyDescent="0.55000000000000004">
      <c r="A153" t="s">
        <v>436</v>
      </c>
      <c r="B153" s="53">
        <v>46174</v>
      </c>
      <c r="C153" s="2"/>
      <c r="D153" s="241"/>
      <c r="E153" s="268"/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</row>
    <row r="154" spans="1:55" x14ac:dyDescent="0.5">
      <c r="A154" t="s">
        <v>437</v>
      </c>
      <c r="B154" s="71">
        <v>46175</v>
      </c>
      <c r="C154" s="2"/>
      <c r="D154" s="241"/>
      <c r="E154" s="268"/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</row>
    <row r="155" spans="1:55" ht="14.7" thickBot="1" x14ac:dyDescent="0.55000000000000004">
      <c r="A155" t="s">
        <v>438</v>
      </c>
      <c r="B155" s="53">
        <v>46176</v>
      </c>
      <c r="C155" s="2"/>
      <c r="D155" s="241"/>
      <c r="E155" s="268"/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</row>
    <row r="156" spans="1:55" x14ac:dyDescent="0.5">
      <c r="A156" t="s">
        <v>432</v>
      </c>
      <c r="B156" s="71">
        <v>46177</v>
      </c>
      <c r="C156" s="2"/>
      <c r="D156" s="241"/>
      <c r="E156" s="268"/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</row>
    <row r="157" spans="1:55" ht="14.7" thickBot="1" x14ac:dyDescent="0.55000000000000004">
      <c r="A157" t="s">
        <v>433</v>
      </c>
      <c r="B157" s="53">
        <v>46178</v>
      </c>
      <c r="C157" s="2"/>
      <c r="D157" s="241"/>
      <c r="E157" s="268"/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</row>
    <row r="158" spans="1:55" x14ac:dyDescent="0.5">
      <c r="A158" t="s">
        <v>434</v>
      </c>
      <c r="B158" s="71">
        <v>46179</v>
      </c>
      <c r="C158" s="2"/>
      <c r="D158" s="241"/>
      <c r="E158" s="268"/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</row>
    <row r="159" spans="1:55" ht="14.7" thickBot="1" x14ac:dyDescent="0.55000000000000004">
      <c r="A159" t="s">
        <v>435</v>
      </c>
      <c r="B159" s="53">
        <v>46180</v>
      </c>
      <c r="C159" s="2"/>
      <c r="D159" s="241"/>
      <c r="E159" s="268"/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</row>
    <row r="160" spans="1:55" x14ac:dyDescent="0.5">
      <c r="A160" t="s">
        <v>436</v>
      </c>
      <c r="B160" s="71">
        <v>46181</v>
      </c>
      <c r="C160" s="2"/>
      <c r="D160" s="241"/>
      <c r="E160" s="268"/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</row>
    <row r="161" spans="1:55" ht="14.7" thickBot="1" x14ac:dyDescent="0.55000000000000004">
      <c r="A161" t="s">
        <v>437</v>
      </c>
      <c r="B161" s="53">
        <v>46182</v>
      </c>
      <c r="C161" s="2"/>
      <c r="D161" s="241"/>
      <c r="E161" s="268"/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</row>
    <row r="162" spans="1:55" x14ac:dyDescent="0.5">
      <c r="A162" t="s">
        <v>438</v>
      </c>
      <c r="B162" s="71">
        <v>46183</v>
      </c>
      <c r="C162" s="2"/>
      <c r="D162" s="241"/>
      <c r="E162" s="268"/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</row>
    <row r="163" spans="1:55" ht="14.7" thickBot="1" x14ac:dyDescent="0.55000000000000004">
      <c r="A163" t="s">
        <v>432</v>
      </c>
      <c r="B163" s="53">
        <v>46184</v>
      </c>
      <c r="C163" s="2"/>
      <c r="D163" s="241"/>
      <c r="E163" s="268"/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</row>
    <row r="164" spans="1:55" x14ac:dyDescent="0.5">
      <c r="A164" t="s">
        <v>433</v>
      </c>
      <c r="B164" s="71">
        <v>46185</v>
      </c>
      <c r="C164" s="2"/>
      <c r="D164" s="241"/>
      <c r="E164" s="268"/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</row>
    <row r="165" spans="1:55" ht="14.7" thickBot="1" x14ac:dyDescent="0.55000000000000004">
      <c r="A165" t="s">
        <v>434</v>
      </c>
      <c r="B165" s="53">
        <v>46186</v>
      </c>
      <c r="C165" s="2"/>
      <c r="D165" s="241"/>
      <c r="E165" s="268"/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</row>
    <row r="166" spans="1:55" x14ac:dyDescent="0.5">
      <c r="A166" t="s">
        <v>435</v>
      </c>
      <c r="B166" s="71">
        <v>46187</v>
      </c>
      <c r="C166" s="2"/>
      <c r="D166" s="241"/>
      <c r="E166" s="268"/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</row>
    <row r="167" spans="1:55" ht="14.7" thickBot="1" x14ac:dyDescent="0.55000000000000004">
      <c r="A167" t="s">
        <v>436</v>
      </c>
      <c r="B167" s="53">
        <v>46188</v>
      </c>
      <c r="C167" s="2"/>
      <c r="D167" s="241"/>
      <c r="E167" s="268"/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</row>
    <row r="168" spans="1:55" x14ac:dyDescent="0.5">
      <c r="A168" t="s">
        <v>437</v>
      </c>
      <c r="B168" s="71">
        <v>46189</v>
      </c>
      <c r="C168" s="2"/>
      <c r="D168" s="241"/>
      <c r="E168" s="268"/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</row>
    <row r="169" spans="1:55" ht="14.7" thickBot="1" x14ac:dyDescent="0.55000000000000004">
      <c r="A169" t="s">
        <v>438</v>
      </c>
      <c r="B169" s="53">
        <v>46190</v>
      </c>
      <c r="C169" s="2"/>
      <c r="D169" s="241"/>
      <c r="E169" s="268"/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</row>
    <row r="170" spans="1:55" x14ac:dyDescent="0.5">
      <c r="A170" t="s">
        <v>432</v>
      </c>
      <c r="B170" s="71">
        <v>46191</v>
      </c>
      <c r="C170" s="2"/>
      <c r="D170" s="241"/>
      <c r="E170" s="268"/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</row>
    <row r="171" spans="1:55" ht="14.7" thickBot="1" x14ac:dyDescent="0.55000000000000004">
      <c r="A171" t="s">
        <v>433</v>
      </c>
      <c r="B171" s="53">
        <v>46192</v>
      </c>
      <c r="C171" s="2"/>
      <c r="D171" s="241"/>
      <c r="E171" s="268"/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</row>
    <row r="172" spans="1:55" x14ac:dyDescent="0.5">
      <c r="A172" t="s">
        <v>434</v>
      </c>
      <c r="B172" s="71">
        <v>46193</v>
      </c>
      <c r="C172" s="2"/>
      <c r="D172" s="241"/>
      <c r="E172" s="268"/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</row>
    <row r="173" spans="1:55" ht="14.7" thickBot="1" x14ac:dyDescent="0.55000000000000004">
      <c r="A173" t="s">
        <v>435</v>
      </c>
      <c r="B173" s="53">
        <v>46194</v>
      </c>
      <c r="C173" s="2"/>
      <c r="D173" s="241"/>
      <c r="E173" s="268"/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</row>
    <row r="174" spans="1:55" x14ac:dyDescent="0.5">
      <c r="A174" t="s">
        <v>436</v>
      </c>
      <c r="B174" s="71">
        <v>46195</v>
      </c>
      <c r="C174" s="2"/>
      <c r="D174" s="241"/>
      <c r="E174" s="268"/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</row>
    <row r="175" spans="1:55" ht="14.7" thickBot="1" x14ac:dyDescent="0.55000000000000004">
      <c r="A175" t="s">
        <v>437</v>
      </c>
      <c r="B175" s="53">
        <v>46196</v>
      </c>
      <c r="C175" s="2"/>
      <c r="D175" s="241"/>
      <c r="E175" s="268"/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</row>
    <row r="176" spans="1:55" x14ac:dyDescent="0.5">
      <c r="A176" t="s">
        <v>438</v>
      </c>
      <c r="B176" s="71">
        <v>46197</v>
      </c>
      <c r="C176" s="2"/>
      <c r="D176" s="241"/>
      <c r="E176" s="268"/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</row>
    <row r="177" spans="1:55" ht="14.7" thickBot="1" x14ac:dyDescent="0.55000000000000004">
      <c r="A177" t="s">
        <v>432</v>
      </c>
      <c r="B177" s="53">
        <v>46198</v>
      </c>
      <c r="C177" s="2"/>
      <c r="D177" s="241"/>
      <c r="E177" s="268"/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</row>
    <row r="178" spans="1:55" x14ac:dyDescent="0.5">
      <c r="A178" t="s">
        <v>433</v>
      </c>
      <c r="B178" s="71">
        <v>46199</v>
      </c>
      <c r="C178" s="2"/>
      <c r="D178" s="241"/>
      <c r="E178" s="268"/>
      <c r="I178" s="38">
        <v>0</v>
      </c>
      <c r="AL178" t="str">
        <f>TRIM(MID(SUBSTITUTE($G178, ",", REPT(" ", 100)), (COLUMNS($AJ$2:AL178)-1)*100+1, 100))</f>
        <v/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</row>
    <row r="179" spans="1:55" ht="14.7" thickBot="1" x14ac:dyDescent="0.55000000000000004">
      <c r="A179" t="s">
        <v>434</v>
      </c>
      <c r="B179" s="53">
        <v>46200</v>
      </c>
      <c r="C179" s="2"/>
      <c r="D179" s="241"/>
      <c r="E179" s="268"/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</row>
    <row r="180" spans="1:55" x14ac:dyDescent="0.5">
      <c r="A180" t="s">
        <v>435</v>
      </c>
      <c r="B180" s="71">
        <v>46201</v>
      </c>
      <c r="C180" s="2"/>
      <c r="D180" s="241"/>
      <c r="E180" s="268"/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</row>
    <row r="181" spans="1:55" ht="14.7" thickBot="1" x14ac:dyDescent="0.55000000000000004">
      <c r="A181" t="s">
        <v>436</v>
      </c>
      <c r="B181" s="53">
        <v>46202</v>
      </c>
      <c r="C181" s="2"/>
      <c r="D181" s="241"/>
      <c r="E181" s="268"/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</row>
    <row r="182" spans="1:55" x14ac:dyDescent="0.5">
      <c r="A182" t="s">
        <v>437</v>
      </c>
      <c r="B182" s="71">
        <v>46203</v>
      </c>
      <c r="C182" s="2"/>
      <c r="D182" s="241"/>
      <c r="E182" s="268"/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</row>
    <row r="183" spans="1:55" ht="14.7" thickBot="1" x14ac:dyDescent="0.55000000000000004">
      <c r="A183" t="s">
        <v>438</v>
      </c>
      <c r="B183" s="53">
        <v>46204</v>
      </c>
      <c r="C183" s="2"/>
      <c r="D183" s="241"/>
      <c r="E183" s="268"/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</row>
    <row r="184" spans="1:55" x14ac:dyDescent="0.5">
      <c r="A184" t="s">
        <v>432</v>
      </c>
      <c r="B184" s="71">
        <v>46205</v>
      </c>
      <c r="C184" s="2"/>
      <c r="D184" s="241"/>
      <c r="E184" s="268"/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</row>
    <row r="185" spans="1:55" ht="14.7" thickBot="1" x14ac:dyDescent="0.55000000000000004">
      <c r="A185" t="s">
        <v>433</v>
      </c>
      <c r="B185" s="53">
        <v>46206</v>
      </c>
      <c r="C185" s="2"/>
      <c r="D185" s="241"/>
      <c r="E185" s="268"/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</row>
    <row r="186" spans="1:55" x14ac:dyDescent="0.5">
      <c r="A186" t="s">
        <v>434</v>
      </c>
      <c r="B186" s="71">
        <v>46207</v>
      </c>
      <c r="C186" s="2"/>
      <c r="D186" s="241"/>
      <c r="E186" s="268"/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</row>
    <row r="187" spans="1:55" ht="14.7" thickBot="1" x14ac:dyDescent="0.55000000000000004">
      <c r="A187" t="s">
        <v>435</v>
      </c>
      <c r="B187" s="53">
        <v>46208</v>
      </c>
      <c r="C187" s="2"/>
      <c r="D187" s="241"/>
      <c r="E187" s="268"/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</row>
    <row r="188" spans="1:55" x14ac:dyDescent="0.5">
      <c r="A188" t="s">
        <v>436</v>
      </c>
      <c r="B188" s="71">
        <v>46209</v>
      </c>
      <c r="C188" s="2"/>
      <c r="D188" s="241"/>
      <c r="E188" s="268"/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</row>
    <row r="189" spans="1:55" ht="14.7" thickBot="1" x14ac:dyDescent="0.55000000000000004">
      <c r="A189" t="s">
        <v>437</v>
      </c>
      <c r="B189" s="53">
        <v>46210</v>
      </c>
      <c r="C189" s="2"/>
      <c r="D189" s="241"/>
      <c r="E189" s="268"/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</row>
    <row r="190" spans="1:55" x14ac:dyDescent="0.5">
      <c r="A190" t="s">
        <v>438</v>
      </c>
      <c r="B190" s="71">
        <v>46211</v>
      </c>
      <c r="C190" s="2"/>
      <c r="D190" s="241"/>
      <c r="E190" s="268"/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</row>
    <row r="191" spans="1:55" ht="14.7" thickBot="1" x14ac:dyDescent="0.55000000000000004">
      <c r="A191" t="s">
        <v>432</v>
      </c>
      <c r="B191" s="53">
        <v>46212</v>
      </c>
      <c r="C191" s="2"/>
      <c r="D191" s="241"/>
      <c r="E191" s="268"/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</row>
    <row r="192" spans="1:55" x14ac:dyDescent="0.5">
      <c r="A192" t="s">
        <v>433</v>
      </c>
      <c r="B192" s="71">
        <v>46213</v>
      </c>
      <c r="C192" s="2"/>
      <c r="D192" s="241"/>
      <c r="E192" s="268"/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</row>
    <row r="193" spans="1:55" ht="14.7" thickBot="1" x14ac:dyDescent="0.55000000000000004">
      <c r="A193" t="s">
        <v>434</v>
      </c>
      <c r="B193" s="53">
        <v>46214</v>
      </c>
      <c r="C193" s="2"/>
      <c r="D193" s="241"/>
      <c r="E193" s="268"/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</row>
    <row r="194" spans="1:55" x14ac:dyDescent="0.5">
      <c r="A194" t="s">
        <v>435</v>
      </c>
      <c r="B194" s="71">
        <v>46215</v>
      </c>
      <c r="C194" s="2"/>
      <c r="D194" s="241"/>
      <c r="E194" s="268"/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</row>
    <row r="195" spans="1:55" ht="14.7" thickBot="1" x14ac:dyDescent="0.55000000000000004">
      <c r="A195" t="s">
        <v>436</v>
      </c>
      <c r="B195" s="53">
        <v>46216</v>
      </c>
      <c r="C195" s="2"/>
      <c r="D195" s="241"/>
      <c r="E195" s="268"/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</row>
    <row r="196" spans="1:55" x14ac:dyDescent="0.5">
      <c r="A196" t="s">
        <v>437</v>
      </c>
      <c r="B196" s="71">
        <v>46217</v>
      </c>
      <c r="C196" s="2"/>
      <c r="D196" s="241"/>
      <c r="E196" s="268"/>
      <c r="I196" s="38">
        <v>0</v>
      </c>
      <c r="AL196" t="str">
        <f>TRIM(MID(SUBSTITUTE($G196, ",", REPT(" ", 100)), (COLUMNS($AJ$2:AL196)-1)*100+1, 100))</f>
        <v/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</row>
    <row r="197" spans="1:55" ht="14.7" thickBot="1" x14ac:dyDescent="0.55000000000000004">
      <c r="A197" t="s">
        <v>438</v>
      </c>
      <c r="B197" s="53">
        <v>46218</v>
      </c>
      <c r="C197" s="2"/>
      <c r="D197" s="241"/>
      <c r="E197" s="268"/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</row>
    <row r="198" spans="1:55" x14ac:dyDescent="0.5">
      <c r="A198" t="s">
        <v>432</v>
      </c>
      <c r="B198" s="71">
        <v>46219</v>
      </c>
      <c r="C198" s="2"/>
      <c r="D198" s="241"/>
      <c r="E198" s="268"/>
      <c r="I198" s="38">
        <v>0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</row>
    <row r="199" spans="1:55" ht="14.7" thickBot="1" x14ac:dyDescent="0.55000000000000004">
      <c r="A199" t="s">
        <v>433</v>
      </c>
      <c r="B199" s="53">
        <v>46220</v>
      </c>
      <c r="C199" s="2"/>
      <c r="D199" s="241"/>
      <c r="E199" s="268"/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</row>
    <row r="200" spans="1:55" x14ac:dyDescent="0.5">
      <c r="A200" t="s">
        <v>434</v>
      </c>
      <c r="B200" s="71">
        <v>46221</v>
      </c>
      <c r="C200" s="2"/>
      <c r="D200" s="241"/>
      <c r="E200" s="268"/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</row>
    <row r="201" spans="1:55" ht="14.7" thickBot="1" x14ac:dyDescent="0.55000000000000004">
      <c r="A201" t="s">
        <v>435</v>
      </c>
      <c r="B201" s="53">
        <v>46222</v>
      </c>
      <c r="C201" s="2"/>
      <c r="D201" s="241"/>
      <c r="E201" s="268"/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</row>
    <row r="202" spans="1:55" x14ac:dyDescent="0.5">
      <c r="A202" t="s">
        <v>436</v>
      </c>
      <c r="B202" s="71">
        <v>46223</v>
      </c>
      <c r="C202" s="2"/>
      <c r="D202" s="241"/>
      <c r="E202" s="268"/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</row>
    <row r="203" spans="1:55" ht="14.7" thickBot="1" x14ac:dyDescent="0.55000000000000004">
      <c r="A203" t="s">
        <v>437</v>
      </c>
      <c r="B203" s="53">
        <v>46224</v>
      </c>
      <c r="C203" s="2"/>
      <c r="D203" s="241"/>
      <c r="E203" s="268"/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</row>
    <row r="204" spans="1:55" x14ac:dyDescent="0.5">
      <c r="A204" t="s">
        <v>438</v>
      </c>
      <c r="B204" s="71">
        <v>46225</v>
      </c>
      <c r="C204" s="2"/>
      <c r="D204" s="241"/>
      <c r="E204" s="268"/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</row>
    <row r="205" spans="1:55" ht="14.7" thickBot="1" x14ac:dyDescent="0.55000000000000004">
      <c r="A205" t="s">
        <v>432</v>
      </c>
      <c r="B205" s="53">
        <v>46226</v>
      </c>
      <c r="C205" s="2"/>
      <c r="D205" s="241"/>
      <c r="E205" s="268"/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</row>
    <row r="206" spans="1:55" x14ac:dyDescent="0.5">
      <c r="A206" t="s">
        <v>433</v>
      </c>
      <c r="B206" s="71">
        <v>46227</v>
      </c>
      <c r="C206" s="2"/>
      <c r="D206" s="241"/>
      <c r="E206" s="268"/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</row>
    <row r="207" spans="1:55" ht="14.7" thickBot="1" x14ac:dyDescent="0.55000000000000004">
      <c r="A207" t="s">
        <v>434</v>
      </c>
      <c r="B207" s="53">
        <v>46228</v>
      </c>
      <c r="C207" s="2"/>
      <c r="D207" s="241"/>
      <c r="E207" s="268"/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</row>
    <row r="208" spans="1:55" x14ac:dyDescent="0.5">
      <c r="A208" t="s">
        <v>435</v>
      </c>
      <c r="B208" s="71">
        <v>46229</v>
      </c>
      <c r="C208" s="2"/>
      <c r="D208" s="241"/>
      <c r="E208" s="268"/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</row>
    <row r="209" spans="1:55" ht="14.7" thickBot="1" x14ac:dyDescent="0.55000000000000004">
      <c r="A209" t="s">
        <v>436</v>
      </c>
      <c r="B209" s="53">
        <v>46230</v>
      </c>
      <c r="C209" s="2"/>
      <c r="D209" s="241"/>
      <c r="E209" s="268"/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</row>
    <row r="210" spans="1:55" x14ac:dyDescent="0.5">
      <c r="A210" t="s">
        <v>437</v>
      </c>
      <c r="B210" s="71">
        <v>46231</v>
      </c>
      <c r="C210" s="2"/>
      <c r="D210" s="241"/>
      <c r="E210" s="268"/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</row>
    <row r="211" spans="1:55" ht="14.7" thickBot="1" x14ac:dyDescent="0.55000000000000004">
      <c r="A211" t="s">
        <v>438</v>
      </c>
      <c r="B211" s="53">
        <v>46232</v>
      </c>
      <c r="C211" s="2"/>
      <c r="D211" s="241"/>
      <c r="E211" s="268"/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</row>
    <row r="212" spans="1:55" x14ac:dyDescent="0.5">
      <c r="A212" t="s">
        <v>432</v>
      </c>
      <c r="B212" s="71">
        <v>46233</v>
      </c>
      <c r="C212" s="2"/>
      <c r="D212" s="241"/>
      <c r="E212" s="268"/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</row>
    <row r="213" spans="1:55" ht="14.7" thickBot="1" x14ac:dyDescent="0.55000000000000004">
      <c r="A213" t="s">
        <v>433</v>
      </c>
      <c r="B213" s="53">
        <v>46234</v>
      </c>
      <c r="C213" s="2"/>
      <c r="D213" s="241"/>
      <c r="E213" s="268"/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</row>
    <row r="214" spans="1:55" x14ac:dyDescent="0.5">
      <c r="A214" t="s">
        <v>434</v>
      </c>
      <c r="B214" s="71">
        <v>46235</v>
      </c>
      <c r="C214" s="2"/>
      <c r="D214" s="241"/>
      <c r="E214" s="268"/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</row>
    <row r="215" spans="1:55" ht="14.7" thickBot="1" x14ac:dyDescent="0.55000000000000004">
      <c r="A215" t="s">
        <v>435</v>
      </c>
      <c r="B215" s="53">
        <v>46236</v>
      </c>
      <c r="C215" s="2"/>
      <c r="D215" s="241"/>
      <c r="E215" s="268"/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</row>
    <row r="216" spans="1:55" x14ac:dyDescent="0.5">
      <c r="A216" t="s">
        <v>436</v>
      </c>
      <c r="B216" s="71">
        <v>46237</v>
      </c>
      <c r="C216" s="2"/>
      <c r="D216" s="241"/>
      <c r="E216" s="268"/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</row>
    <row r="217" spans="1:55" ht="14.7" thickBot="1" x14ac:dyDescent="0.55000000000000004">
      <c r="A217" t="s">
        <v>437</v>
      </c>
      <c r="B217" s="53">
        <v>46238</v>
      </c>
      <c r="C217" s="2"/>
      <c r="D217" s="241"/>
      <c r="E217" s="268"/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</row>
    <row r="218" spans="1:55" x14ac:dyDescent="0.5">
      <c r="A218" t="s">
        <v>438</v>
      </c>
      <c r="B218" s="71">
        <v>46239</v>
      </c>
      <c r="C218" s="2"/>
      <c r="D218" s="241"/>
      <c r="E218" s="268"/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</row>
    <row r="219" spans="1:55" ht="14.7" thickBot="1" x14ac:dyDescent="0.55000000000000004">
      <c r="A219" t="s">
        <v>432</v>
      </c>
      <c r="B219" s="53">
        <v>46240</v>
      </c>
      <c r="C219" s="2"/>
      <c r="D219" s="241"/>
      <c r="E219" s="268"/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</row>
    <row r="220" spans="1:55" x14ac:dyDescent="0.5">
      <c r="A220" t="s">
        <v>433</v>
      </c>
      <c r="B220" s="71">
        <v>46241</v>
      </c>
      <c r="C220" s="2"/>
      <c r="D220" s="241"/>
      <c r="E220" s="268"/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</row>
    <row r="221" spans="1:55" ht="14.7" thickBot="1" x14ac:dyDescent="0.55000000000000004">
      <c r="A221" t="s">
        <v>434</v>
      </c>
      <c r="B221" s="53">
        <v>46242</v>
      </c>
      <c r="C221" s="2"/>
      <c r="D221" s="241"/>
      <c r="E221" s="268"/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</row>
    <row r="222" spans="1:55" x14ac:dyDescent="0.5">
      <c r="A222" t="s">
        <v>435</v>
      </c>
      <c r="B222" s="71">
        <v>46243</v>
      </c>
      <c r="C222" s="2"/>
      <c r="D222" s="241"/>
      <c r="E222" s="268"/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</row>
    <row r="223" spans="1:55" ht="14.7" thickBot="1" x14ac:dyDescent="0.55000000000000004">
      <c r="A223" t="s">
        <v>436</v>
      </c>
      <c r="B223" s="53">
        <v>46244</v>
      </c>
      <c r="C223" s="2"/>
      <c r="D223" s="241"/>
      <c r="E223" s="268"/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</row>
    <row r="224" spans="1:55" x14ac:dyDescent="0.5">
      <c r="A224" t="s">
        <v>437</v>
      </c>
      <c r="B224" s="71">
        <v>46245</v>
      </c>
      <c r="C224" s="2"/>
      <c r="D224" s="241"/>
      <c r="E224" s="268"/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</row>
    <row r="225" spans="1:55" ht="14.7" thickBot="1" x14ac:dyDescent="0.55000000000000004">
      <c r="A225" t="s">
        <v>438</v>
      </c>
      <c r="B225" s="53">
        <v>46246</v>
      </c>
      <c r="C225" s="2"/>
      <c r="D225" s="241"/>
      <c r="E225" s="268"/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</row>
    <row r="226" spans="1:55" x14ac:dyDescent="0.5">
      <c r="A226" t="s">
        <v>432</v>
      </c>
      <c r="B226" s="71">
        <v>46247</v>
      </c>
      <c r="C226" s="2"/>
      <c r="D226" s="241"/>
      <c r="E226" s="268"/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</row>
    <row r="227" spans="1:55" ht="14.7" thickBot="1" x14ac:dyDescent="0.55000000000000004">
      <c r="A227" t="s">
        <v>433</v>
      </c>
      <c r="B227" s="53">
        <v>46248</v>
      </c>
      <c r="C227" s="2"/>
      <c r="D227" s="241"/>
      <c r="E227" s="268"/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</row>
    <row r="228" spans="1:55" x14ac:dyDescent="0.5">
      <c r="A228" t="s">
        <v>434</v>
      </c>
      <c r="B228" s="71">
        <v>46249</v>
      </c>
      <c r="C228" s="2"/>
      <c r="D228" s="241"/>
      <c r="E228" s="268"/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</row>
    <row r="229" spans="1:55" ht="14.7" thickBot="1" x14ac:dyDescent="0.55000000000000004">
      <c r="A229" t="s">
        <v>435</v>
      </c>
      <c r="B229" s="53">
        <v>46250</v>
      </c>
      <c r="C229" s="2"/>
      <c r="D229" s="241"/>
      <c r="E229" s="268"/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</row>
    <row r="230" spans="1:55" x14ac:dyDescent="0.5">
      <c r="A230" t="s">
        <v>436</v>
      </c>
      <c r="B230" s="71">
        <v>46251</v>
      </c>
      <c r="C230" s="2"/>
      <c r="D230" s="241"/>
      <c r="E230" s="268"/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</row>
    <row r="231" spans="1:55" ht="14.7" thickBot="1" x14ac:dyDescent="0.55000000000000004">
      <c r="A231" t="s">
        <v>437</v>
      </c>
      <c r="B231" s="53">
        <v>46252</v>
      </c>
      <c r="C231" s="2"/>
      <c r="D231" s="241"/>
      <c r="E231" s="268"/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</row>
    <row r="232" spans="1:55" x14ac:dyDescent="0.5">
      <c r="A232" t="s">
        <v>438</v>
      </c>
      <c r="B232" s="71">
        <v>46253</v>
      </c>
      <c r="C232" s="2"/>
      <c r="D232" s="241"/>
      <c r="E232" s="268"/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</row>
    <row r="233" spans="1:55" ht="14.7" thickBot="1" x14ac:dyDescent="0.55000000000000004">
      <c r="A233" t="s">
        <v>432</v>
      </c>
      <c r="B233" s="53">
        <v>46254</v>
      </c>
      <c r="C233" s="2"/>
      <c r="D233" s="241"/>
      <c r="E233" s="268"/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</row>
    <row r="234" spans="1:55" x14ac:dyDescent="0.5">
      <c r="A234" t="s">
        <v>433</v>
      </c>
      <c r="B234" s="71">
        <v>46255</v>
      </c>
      <c r="C234" s="2"/>
      <c r="D234" s="241"/>
      <c r="E234" s="268"/>
      <c r="I234" s="38">
        <v>0</v>
      </c>
      <c r="AL234" t="str">
        <f>TRIM(MID(SUBSTITUTE($G234, ",", REPT(" ", 100)), (COLUMNS($AJ$2:AL234)-1)*100+1, 100))</f>
        <v/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</row>
    <row r="235" spans="1:55" ht="14.7" thickBot="1" x14ac:dyDescent="0.55000000000000004">
      <c r="A235" t="s">
        <v>434</v>
      </c>
      <c r="B235" s="53">
        <v>46256</v>
      </c>
      <c r="C235" s="2"/>
      <c r="D235" s="241"/>
      <c r="E235" s="268"/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</row>
    <row r="236" spans="1:55" x14ac:dyDescent="0.5">
      <c r="A236" t="s">
        <v>435</v>
      </c>
      <c r="B236" s="71">
        <v>46257</v>
      </c>
      <c r="C236" s="2"/>
      <c r="D236" s="241"/>
      <c r="E236" s="268"/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</row>
    <row r="237" spans="1:55" ht="14.7" thickBot="1" x14ac:dyDescent="0.55000000000000004">
      <c r="A237" t="s">
        <v>436</v>
      </c>
      <c r="B237" s="53">
        <v>46258</v>
      </c>
      <c r="C237" s="2"/>
      <c r="D237" s="241"/>
      <c r="E237" s="268"/>
      <c r="H237" s="269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</row>
    <row r="238" spans="1:55" x14ac:dyDescent="0.5">
      <c r="A238" t="s">
        <v>437</v>
      </c>
      <c r="B238" s="71">
        <v>46259</v>
      </c>
      <c r="C238" s="2"/>
      <c r="D238" s="241"/>
      <c r="E238" s="268"/>
      <c r="H238" s="269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</row>
    <row r="239" spans="1:55" ht="14.7" thickBot="1" x14ac:dyDescent="0.55000000000000004">
      <c r="A239" t="s">
        <v>438</v>
      </c>
      <c r="B239" s="53">
        <v>46260</v>
      </c>
      <c r="C239" s="2"/>
      <c r="D239" s="241"/>
      <c r="E239" s="268"/>
      <c r="H239" s="269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</row>
    <row r="240" spans="1:55" x14ac:dyDescent="0.5">
      <c r="A240" t="s">
        <v>432</v>
      </c>
      <c r="B240" s="71">
        <v>46261</v>
      </c>
      <c r="C240" s="2"/>
      <c r="D240" s="241"/>
      <c r="E240" s="268"/>
      <c r="H240" s="269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</row>
    <row r="241" spans="1:55" ht="14.7" thickBot="1" x14ac:dyDescent="0.55000000000000004">
      <c r="A241" t="s">
        <v>433</v>
      </c>
      <c r="B241" s="53">
        <v>46262</v>
      </c>
      <c r="C241" s="2"/>
      <c r="D241" s="241"/>
      <c r="E241" s="268"/>
      <c r="H241" s="269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</row>
    <row r="242" spans="1:55" x14ac:dyDescent="0.5">
      <c r="A242" t="s">
        <v>434</v>
      </c>
      <c r="B242" s="71">
        <v>46263</v>
      </c>
      <c r="C242" s="2"/>
      <c r="D242" s="241"/>
      <c r="E242" s="268"/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</row>
    <row r="243" spans="1:55" ht="14.7" thickBot="1" x14ac:dyDescent="0.55000000000000004">
      <c r="A243" t="s">
        <v>435</v>
      </c>
      <c r="B243" s="53">
        <v>46264</v>
      </c>
      <c r="C243" s="2"/>
      <c r="D243" s="241"/>
      <c r="E243" s="268"/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</row>
    <row r="244" spans="1:55" x14ac:dyDescent="0.5">
      <c r="A244" t="s">
        <v>436</v>
      </c>
      <c r="B244" s="71">
        <v>46265</v>
      </c>
      <c r="C244" s="2"/>
      <c r="D244" s="241"/>
      <c r="E244" s="268"/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</row>
    <row r="245" spans="1:55" ht="14.7" thickBot="1" x14ac:dyDescent="0.55000000000000004">
      <c r="A245" t="s">
        <v>437</v>
      </c>
      <c r="B245" s="53">
        <v>46266</v>
      </c>
      <c r="C245" s="2"/>
      <c r="D245" s="241"/>
      <c r="E245" s="268"/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</row>
    <row r="246" spans="1:55" x14ac:dyDescent="0.5">
      <c r="A246" t="s">
        <v>438</v>
      </c>
      <c r="B246" s="71">
        <v>46267</v>
      </c>
      <c r="C246" s="2"/>
      <c r="D246" s="241"/>
      <c r="E246" s="268"/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</row>
    <row r="247" spans="1:55" ht="14.7" thickBot="1" x14ac:dyDescent="0.55000000000000004">
      <c r="A247" t="s">
        <v>432</v>
      </c>
      <c r="B247" s="53">
        <v>46268</v>
      </c>
      <c r="C247" s="2"/>
      <c r="D247" s="241"/>
      <c r="E247" s="268"/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</row>
    <row r="248" spans="1:55" x14ac:dyDescent="0.5">
      <c r="A248" t="s">
        <v>433</v>
      </c>
      <c r="B248" s="71">
        <v>46269</v>
      </c>
      <c r="C248" s="2"/>
      <c r="D248" s="241"/>
      <c r="E248" s="268"/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</row>
    <row r="249" spans="1:55" ht="14.7" thickBot="1" x14ac:dyDescent="0.55000000000000004">
      <c r="A249" t="s">
        <v>434</v>
      </c>
      <c r="B249" s="53">
        <v>46270</v>
      </c>
      <c r="C249" s="2"/>
      <c r="D249" s="241"/>
      <c r="E249" s="268"/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</row>
    <row r="250" spans="1:55" x14ac:dyDescent="0.5">
      <c r="A250" t="s">
        <v>435</v>
      </c>
      <c r="B250" s="71">
        <v>46271</v>
      </c>
      <c r="C250" s="2"/>
      <c r="D250" s="241"/>
      <c r="E250" s="268"/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</row>
    <row r="251" spans="1:55" ht="14.7" thickBot="1" x14ac:dyDescent="0.55000000000000004">
      <c r="A251" t="s">
        <v>436</v>
      </c>
      <c r="B251" s="53">
        <v>46272</v>
      </c>
      <c r="C251" s="2"/>
      <c r="D251" s="241"/>
      <c r="E251" s="268"/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</row>
    <row r="252" spans="1:55" x14ac:dyDescent="0.5">
      <c r="A252" t="s">
        <v>437</v>
      </c>
      <c r="B252" s="71">
        <v>46273</v>
      </c>
      <c r="C252" s="2"/>
      <c r="D252" s="241"/>
      <c r="E252" s="268"/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</row>
    <row r="253" spans="1:55" ht="14.7" thickBot="1" x14ac:dyDescent="0.55000000000000004">
      <c r="A253" t="s">
        <v>438</v>
      </c>
      <c r="B253" s="53">
        <v>46274</v>
      </c>
      <c r="C253" s="2"/>
      <c r="D253" s="241"/>
      <c r="E253" s="268"/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</row>
    <row r="254" spans="1:55" x14ac:dyDescent="0.5">
      <c r="A254" t="s">
        <v>432</v>
      </c>
      <c r="B254" s="71">
        <v>46275</v>
      </c>
      <c r="C254" s="2"/>
      <c r="D254" s="241"/>
      <c r="E254" s="268"/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</row>
    <row r="255" spans="1:55" ht="14.7" thickBot="1" x14ac:dyDescent="0.55000000000000004">
      <c r="A255" t="s">
        <v>433</v>
      </c>
      <c r="B255" s="53">
        <v>46276</v>
      </c>
      <c r="C255" s="2"/>
      <c r="D255" s="241"/>
      <c r="E255" s="268"/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</row>
    <row r="256" spans="1:55" x14ac:dyDescent="0.5">
      <c r="A256" t="s">
        <v>434</v>
      </c>
      <c r="B256" s="71">
        <v>46277</v>
      </c>
      <c r="C256" s="2"/>
      <c r="D256" s="241"/>
      <c r="E256" s="268"/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</row>
    <row r="257" spans="1:55" ht="14.7" thickBot="1" x14ac:dyDescent="0.55000000000000004">
      <c r="A257" t="s">
        <v>435</v>
      </c>
      <c r="B257" s="53">
        <v>46278</v>
      </c>
      <c r="C257" s="2"/>
      <c r="D257" s="241"/>
      <c r="E257" s="268"/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</row>
    <row r="258" spans="1:55" x14ac:dyDescent="0.5">
      <c r="A258" t="s">
        <v>436</v>
      </c>
      <c r="B258" s="71">
        <v>46279</v>
      </c>
      <c r="C258" s="2"/>
      <c r="D258" s="241"/>
      <c r="E258" s="268"/>
      <c r="I258" s="38">
        <v>0</v>
      </c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</row>
    <row r="259" spans="1:55" ht="14.7" thickBot="1" x14ac:dyDescent="0.55000000000000004">
      <c r="A259" t="s">
        <v>437</v>
      </c>
      <c r="B259" s="53">
        <v>46280</v>
      </c>
      <c r="C259" s="2"/>
      <c r="D259" s="241"/>
      <c r="E259" s="268"/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</row>
    <row r="260" spans="1:55" x14ac:dyDescent="0.5">
      <c r="A260" t="s">
        <v>438</v>
      </c>
      <c r="B260" s="71">
        <v>46281</v>
      </c>
      <c r="C260" s="2"/>
      <c r="D260" s="241"/>
      <c r="E260" s="268"/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</row>
    <row r="261" spans="1:55" ht="14.7" thickBot="1" x14ac:dyDescent="0.55000000000000004">
      <c r="A261" t="s">
        <v>432</v>
      </c>
      <c r="B261" s="53">
        <v>46282</v>
      </c>
      <c r="C261" s="2"/>
      <c r="D261" s="241"/>
      <c r="E261" s="268"/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</row>
    <row r="262" spans="1:55" x14ac:dyDescent="0.5">
      <c r="A262" t="s">
        <v>433</v>
      </c>
      <c r="B262" s="71">
        <v>46283</v>
      </c>
      <c r="C262" s="2"/>
      <c r="D262" s="241"/>
      <c r="E262" s="268"/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</row>
    <row r="263" spans="1:55" ht="14.7" thickBot="1" x14ac:dyDescent="0.55000000000000004">
      <c r="A263" t="s">
        <v>434</v>
      </c>
      <c r="B263" s="53">
        <v>46284</v>
      </c>
      <c r="C263" s="2"/>
      <c r="D263" s="241"/>
      <c r="E263" s="268"/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</row>
    <row r="264" spans="1:55" x14ac:dyDescent="0.5">
      <c r="A264" t="s">
        <v>435</v>
      </c>
      <c r="B264" s="71">
        <v>46285</v>
      </c>
      <c r="C264" s="2"/>
      <c r="D264" s="241"/>
      <c r="E264" s="268"/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</row>
    <row r="265" spans="1:55" ht="14.7" thickBot="1" x14ac:dyDescent="0.55000000000000004">
      <c r="A265" t="s">
        <v>436</v>
      </c>
      <c r="B265" s="53">
        <v>46286</v>
      </c>
      <c r="C265" s="2"/>
      <c r="D265" s="241"/>
      <c r="E265" s="268"/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</row>
    <row r="266" spans="1:55" x14ac:dyDescent="0.5">
      <c r="A266" t="s">
        <v>437</v>
      </c>
      <c r="B266" s="71">
        <v>46287</v>
      </c>
      <c r="C266" s="2"/>
      <c r="D266" s="241"/>
      <c r="E266" s="268"/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</row>
    <row r="267" spans="1:55" ht="14.7" thickBot="1" x14ac:dyDescent="0.55000000000000004">
      <c r="A267" t="s">
        <v>438</v>
      </c>
      <c r="B267" s="53">
        <v>46288</v>
      </c>
      <c r="C267" s="2"/>
      <c r="D267" s="241"/>
      <c r="E267" s="268"/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</row>
    <row r="268" spans="1:55" x14ac:dyDescent="0.5">
      <c r="A268" t="s">
        <v>432</v>
      </c>
      <c r="B268" s="71">
        <v>46289</v>
      </c>
      <c r="C268" s="2"/>
      <c r="D268" s="241"/>
      <c r="E268" s="268"/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</row>
    <row r="269" spans="1:55" ht="14.7" thickBot="1" x14ac:dyDescent="0.55000000000000004">
      <c r="A269" t="s">
        <v>433</v>
      </c>
      <c r="B269" s="53">
        <v>46290</v>
      </c>
      <c r="C269" s="2"/>
      <c r="D269" s="241"/>
      <c r="E269" s="268"/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</row>
    <row r="270" spans="1:55" x14ac:dyDescent="0.5">
      <c r="A270" t="s">
        <v>434</v>
      </c>
      <c r="B270" s="71">
        <v>46291</v>
      </c>
      <c r="C270" s="2"/>
      <c r="D270" s="241"/>
      <c r="E270" s="268"/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</row>
    <row r="271" spans="1:55" ht="14.7" thickBot="1" x14ac:dyDescent="0.55000000000000004">
      <c r="A271" t="s">
        <v>435</v>
      </c>
      <c r="B271" s="53">
        <v>46292</v>
      </c>
      <c r="C271" s="2"/>
      <c r="D271" s="241"/>
      <c r="E271" s="268"/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Q271" t="str">
        <f>TRIM(MID(SUBSTITUTE($G271, ",", REPT(" ", 100)), (COLUMNS($AJ$2:AQ271)-1)*100+1, 100))</f>
        <v/>
      </c>
      <c r="AR271" t="str">
        <f>TRIM(MID(SUBSTITUTE($G271, ",", REPT(" ", 100)), (COLUMNS($AJ$2:AR271)-1)*100+1, 100))</f>
        <v/>
      </c>
      <c r="AS271" t="str">
        <f>TRIM(MID(SUBSTITUTE($G271, ",", REPT(" ", 100)), (COLUMNS($AJ$2:AS271)-1)*100+1, 100))</f>
        <v/>
      </c>
      <c r="AT271" t="str">
        <f>TRIM(MID(SUBSTITUTE($G271, ",", REPT(" ", 100)), (COLUMNS($AJ$2:AT271)-1)*100+1, 100))</f>
        <v/>
      </c>
      <c r="AU271" t="str">
        <f>TRIM(MID(SUBSTITUTE($G271, ",", REPT(" ", 100)), (COLUMNS($AJ$2:AU271)-1)*100+1, 100))</f>
        <v/>
      </c>
      <c r="AV271" t="str">
        <f>TRIM(MID(SUBSTITUTE($G271, ",", REPT(" ", 100)), (COLUMNS($AJ$2:AV271)-1)*100+1, 100))</f>
        <v/>
      </c>
      <c r="AW271" t="str">
        <f>TRIM(MID(SUBSTITUTE($G271, ",", REPT(" ", 100)), (COLUMNS($AJ$2:AW271)-1)*100+1, 100))</f>
        <v/>
      </c>
      <c r="AX271" t="str">
        <f>TRIM(MID(SUBSTITUTE($G271, ",", REPT(" ", 100)), (COLUMNS($AJ$2:AX271)-1)*100+1, 100))</f>
        <v/>
      </c>
      <c r="AY271" t="str">
        <f>TRIM(MID(SUBSTITUTE($G271, ",", REPT(" ", 100)), (COLUMNS($AJ$2:AY271)-1)*100+1, 100))</f>
        <v/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</row>
    <row r="272" spans="1:55" x14ac:dyDescent="0.5">
      <c r="A272" t="s">
        <v>436</v>
      </c>
      <c r="B272" s="71">
        <v>46293</v>
      </c>
      <c r="C272" s="2"/>
      <c r="D272" s="241"/>
      <c r="E272" s="268"/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Q272" t="str">
        <f>TRIM(MID(SUBSTITUTE($G272, ",", REPT(" ", 100)), (COLUMNS($AJ$2:AQ272)-1)*100+1, 100))</f>
        <v/>
      </c>
      <c r="AR272" t="str">
        <f>TRIM(MID(SUBSTITUTE($G272, ",", REPT(" ", 100)), (COLUMNS($AJ$2:AR272)-1)*100+1, 100))</f>
        <v/>
      </c>
      <c r="AS272" t="str">
        <f>TRIM(MID(SUBSTITUTE($G272, ",", REPT(" ", 100)), (COLUMNS($AJ$2:AS272)-1)*100+1, 100))</f>
        <v/>
      </c>
      <c r="AT272" t="str">
        <f>TRIM(MID(SUBSTITUTE($G272, ",", REPT(" ", 100)), (COLUMNS($AJ$2:AT272)-1)*100+1, 100))</f>
        <v/>
      </c>
      <c r="AU272" t="str">
        <f>TRIM(MID(SUBSTITUTE($G272, ",", REPT(" ", 100)), (COLUMNS($AJ$2:AU272)-1)*100+1, 100))</f>
        <v/>
      </c>
      <c r="AV272" t="str">
        <f>TRIM(MID(SUBSTITUTE($G272, ",", REPT(" ", 100)), (COLUMNS($AJ$2:AV272)-1)*100+1, 100))</f>
        <v/>
      </c>
      <c r="AW272" t="str">
        <f>TRIM(MID(SUBSTITUTE($G272, ",", REPT(" ", 100)), (COLUMNS($AJ$2:AW272)-1)*100+1, 100))</f>
        <v/>
      </c>
      <c r="AX272" t="str">
        <f>TRIM(MID(SUBSTITUTE($G272, ",", REPT(" ", 100)), (COLUMNS($AJ$2:AX272)-1)*100+1, 100))</f>
        <v/>
      </c>
      <c r="AY272" t="str">
        <f>TRIM(MID(SUBSTITUTE($G272, ",", REPT(" ", 100)), (COLUMNS($AJ$2:AY272)-1)*100+1, 100))</f>
        <v/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</row>
    <row r="273" spans="1:55" ht="14.7" thickBot="1" x14ac:dyDescent="0.55000000000000004">
      <c r="A273" t="s">
        <v>437</v>
      </c>
      <c r="B273" s="53">
        <v>46294</v>
      </c>
      <c r="C273" s="2"/>
      <c r="D273" s="241"/>
      <c r="E273" s="268"/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Q273" t="str">
        <f>TRIM(MID(SUBSTITUTE($G273, ",", REPT(" ", 100)), (COLUMNS($AJ$2:AQ273)-1)*100+1, 100))</f>
        <v/>
      </c>
      <c r="AR273" t="str">
        <f>TRIM(MID(SUBSTITUTE($G273, ",", REPT(" ", 100)), (COLUMNS($AJ$2:AR273)-1)*100+1, 100))</f>
        <v/>
      </c>
      <c r="AS273" t="str">
        <f>TRIM(MID(SUBSTITUTE($G273, ",", REPT(" ", 100)), (COLUMNS($AJ$2:AS273)-1)*100+1, 100))</f>
        <v/>
      </c>
      <c r="AT273" t="str">
        <f>TRIM(MID(SUBSTITUTE($G273, ",", REPT(" ", 100)), (COLUMNS($AJ$2:AT273)-1)*100+1, 100))</f>
        <v/>
      </c>
      <c r="AU273" t="str">
        <f>TRIM(MID(SUBSTITUTE($G273, ",", REPT(" ", 100)), (COLUMNS($AJ$2:AU273)-1)*100+1, 100))</f>
        <v/>
      </c>
      <c r="AV273" t="str">
        <f>TRIM(MID(SUBSTITUTE($G273, ",", REPT(" ", 100)), (COLUMNS($AJ$2:AV273)-1)*100+1, 100))</f>
        <v/>
      </c>
      <c r="AW273" t="str">
        <f>TRIM(MID(SUBSTITUTE($G273, ",", REPT(" ", 100)), (COLUMNS($AJ$2:AW273)-1)*100+1, 100))</f>
        <v/>
      </c>
      <c r="AX273" t="str">
        <f>TRIM(MID(SUBSTITUTE($G273, ",", REPT(" ", 100)), (COLUMNS($AJ$2:AX273)-1)*100+1, 100))</f>
        <v/>
      </c>
      <c r="AY273" t="str">
        <f>TRIM(MID(SUBSTITUTE($G273, ",", REPT(" ", 100)), (COLUMNS($AJ$2:AY273)-1)*100+1, 100))</f>
        <v/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</row>
    <row r="274" spans="1:55" x14ac:dyDescent="0.5">
      <c r="A274" t="s">
        <v>438</v>
      </c>
      <c r="B274" s="71">
        <v>46295</v>
      </c>
      <c r="C274" s="2"/>
      <c r="D274" s="241"/>
      <c r="E274" s="268"/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Q274" t="str">
        <f>TRIM(MID(SUBSTITUTE($G274, ",", REPT(" ", 100)), (COLUMNS($AJ$2:AQ274)-1)*100+1, 100))</f>
        <v/>
      </c>
      <c r="AR274" t="str">
        <f>TRIM(MID(SUBSTITUTE($G274, ",", REPT(" ", 100)), (COLUMNS($AJ$2:AR274)-1)*100+1, 100))</f>
        <v/>
      </c>
      <c r="AS274" t="str">
        <f>TRIM(MID(SUBSTITUTE($G274, ",", REPT(" ", 100)), (COLUMNS($AJ$2:AS274)-1)*100+1, 100))</f>
        <v/>
      </c>
      <c r="AT274" t="str">
        <f>TRIM(MID(SUBSTITUTE($G274, ",", REPT(" ", 100)), (COLUMNS($AJ$2:AT274)-1)*100+1, 100))</f>
        <v/>
      </c>
      <c r="AU274" t="str">
        <f>TRIM(MID(SUBSTITUTE($G274, ",", REPT(" ", 100)), (COLUMNS($AJ$2:AU274)-1)*100+1, 100))</f>
        <v/>
      </c>
      <c r="AV274" t="str">
        <f>TRIM(MID(SUBSTITUTE($G274, ",", REPT(" ", 100)), (COLUMNS($AJ$2:AV274)-1)*100+1, 100))</f>
        <v/>
      </c>
      <c r="AW274" t="str">
        <f>TRIM(MID(SUBSTITUTE($G274, ",", REPT(" ", 100)), (COLUMNS($AJ$2:AW274)-1)*100+1, 100))</f>
        <v/>
      </c>
      <c r="AX274" t="str">
        <f>TRIM(MID(SUBSTITUTE($G274, ",", REPT(" ", 100)), (COLUMNS($AJ$2:AX274)-1)*100+1, 100))</f>
        <v/>
      </c>
      <c r="AY274" t="str">
        <f>TRIM(MID(SUBSTITUTE($G274, ",", REPT(" ", 100)), (COLUMNS($AJ$2:AY274)-1)*100+1, 100))</f>
        <v/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</row>
    <row r="275" spans="1:55" ht="14.7" thickBot="1" x14ac:dyDescent="0.55000000000000004">
      <c r="A275" t="s">
        <v>432</v>
      </c>
      <c r="B275" s="53">
        <v>46296</v>
      </c>
      <c r="C275" s="2"/>
      <c r="D275" s="241"/>
      <c r="E275" s="268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Q275" t="str">
        <f>TRIM(MID(SUBSTITUTE($G275, ",", REPT(" ", 100)), (COLUMNS($AJ$2:AQ275)-1)*100+1, 100))</f>
        <v/>
      </c>
      <c r="AR275" t="str">
        <f>TRIM(MID(SUBSTITUTE($G275, ",", REPT(" ", 100)), (COLUMNS($AJ$2:AR275)-1)*100+1, 100))</f>
        <v/>
      </c>
      <c r="AS275" t="str">
        <f>TRIM(MID(SUBSTITUTE($G275, ",", REPT(" ", 100)), (COLUMNS($AJ$2:AS275)-1)*100+1, 100))</f>
        <v/>
      </c>
      <c r="AT275" t="str">
        <f>TRIM(MID(SUBSTITUTE($G275, ",", REPT(" ", 100)), (COLUMNS($AJ$2:AT275)-1)*100+1, 100))</f>
        <v/>
      </c>
      <c r="AU275" t="str">
        <f>TRIM(MID(SUBSTITUTE($G275, ",", REPT(" ", 100)), (COLUMNS($AJ$2:AU275)-1)*100+1, 100))</f>
        <v/>
      </c>
      <c r="AV275" t="str">
        <f>TRIM(MID(SUBSTITUTE($G275, ",", REPT(" ", 100)), (COLUMNS($AJ$2:AV275)-1)*100+1, 100))</f>
        <v/>
      </c>
      <c r="AW275" t="str">
        <f>TRIM(MID(SUBSTITUTE($G275, ",", REPT(" ", 100)), (COLUMNS($AJ$2:AW275)-1)*100+1, 100))</f>
        <v/>
      </c>
      <c r="AX275" t="str">
        <f>TRIM(MID(SUBSTITUTE($G275, ",", REPT(" ", 100)), (COLUMNS($AJ$2:AX275)-1)*100+1, 100))</f>
        <v/>
      </c>
      <c r="AY275" t="str">
        <f>TRIM(MID(SUBSTITUTE($G275, ",", REPT(" ", 100)), (COLUMNS($AJ$2:AY275)-1)*100+1, 100))</f>
        <v/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</row>
    <row r="276" spans="1:55" x14ac:dyDescent="0.5">
      <c r="A276" t="s">
        <v>433</v>
      </c>
      <c r="B276" s="71">
        <v>46297</v>
      </c>
      <c r="C276" s="2"/>
      <c r="D276" s="241"/>
      <c r="E276" s="268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Q276" t="str">
        <f>TRIM(MID(SUBSTITUTE($G276, ",", REPT(" ", 100)), (COLUMNS($AJ$2:AQ276)-1)*100+1, 100))</f>
        <v/>
      </c>
      <c r="AR276" t="str">
        <f>TRIM(MID(SUBSTITUTE($G276, ",", REPT(" ", 100)), (COLUMNS($AJ$2:AR276)-1)*100+1, 100))</f>
        <v/>
      </c>
      <c r="AS276" t="str">
        <f>TRIM(MID(SUBSTITUTE($G276, ",", REPT(" ", 100)), (COLUMNS($AJ$2:AS276)-1)*100+1, 100))</f>
        <v/>
      </c>
      <c r="AT276" t="str">
        <f>TRIM(MID(SUBSTITUTE($G276, ",", REPT(" ", 100)), (COLUMNS($AJ$2:AT276)-1)*100+1, 100))</f>
        <v/>
      </c>
      <c r="AU276" t="str">
        <f>TRIM(MID(SUBSTITUTE($G276, ",", REPT(" ", 100)), (COLUMNS($AJ$2:AU276)-1)*100+1, 100))</f>
        <v/>
      </c>
      <c r="AV276" t="str">
        <f>TRIM(MID(SUBSTITUTE($G276, ",", REPT(" ", 100)), (COLUMNS($AJ$2:AV276)-1)*100+1, 100))</f>
        <v/>
      </c>
      <c r="AW276" t="str">
        <f>TRIM(MID(SUBSTITUTE($G276, ",", REPT(" ", 100)), (COLUMNS($AJ$2:AW276)-1)*100+1, 100))</f>
        <v/>
      </c>
      <c r="AX276" t="str">
        <f>TRIM(MID(SUBSTITUTE($G276, ",", REPT(" ", 100)), (COLUMNS($AJ$2:AX276)-1)*100+1, 100))</f>
        <v/>
      </c>
      <c r="AY276" t="str">
        <f>TRIM(MID(SUBSTITUTE($G276, ",", REPT(" ", 100)), (COLUMNS($AJ$2:AY276)-1)*100+1, 100))</f>
        <v/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</row>
    <row r="277" spans="1:55" ht="14.7" thickBot="1" x14ac:dyDescent="0.55000000000000004">
      <c r="A277" t="s">
        <v>434</v>
      </c>
      <c r="B277" s="53">
        <v>46298</v>
      </c>
      <c r="C277" s="2"/>
      <c r="D277" s="241"/>
      <c r="E277" s="268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Q277" t="str">
        <f>TRIM(MID(SUBSTITUTE($G277, ",", REPT(" ", 100)), (COLUMNS($AJ$2:AQ277)-1)*100+1, 100))</f>
        <v/>
      </c>
      <c r="AR277" t="str">
        <f>TRIM(MID(SUBSTITUTE($G277, ",", REPT(" ", 100)), (COLUMNS($AJ$2:AR277)-1)*100+1, 100))</f>
        <v/>
      </c>
      <c r="AS277" t="str">
        <f>TRIM(MID(SUBSTITUTE($G277, ",", REPT(" ", 100)), (COLUMNS($AJ$2:AS277)-1)*100+1, 100))</f>
        <v/>
      </c>
      <c r="AT277" t="str">
        <f>TRIM(MID(SUBSTITUTE($G277, ",", REPT(" ", 100)), (COLUMNS($AJ$2:AT277)-1)*100+1, 100))</f>
        <v/>
      </c>
      <c r="AU277" t="str">
        <f>TRIM(MID(SUBSTITUTE($G277, ",", REPT(" ", 100)), (COLUMNS($AJ$2:AU277)-1)*100+1, 100))</f>
        <v/>
      </c>
      <c r="AV277" t="str">
        <f>TRIM(MID(SUBSTITUTE($G277, ",", REPT(" ", 100)), (COLUMNS($AJ$2:AV277)-1)*100+1, 100))</f>
        <v/>
      </c>
      <c r="AW277" t="str">
        <f>TRIM(MID(SUBSTITUTE($G277, ",", REPT(" ", 100)), (COLUMNS($AJ$2:AW277)-1)*100+1, 100))</f>
        <v/>
      </c>
      <c r="AX277" t="str">
        <f>TRIM(MID(SUBSTITUTE($G277, ",", REPT(" ", 100)), (COLUMNS($AJ$2:AX277)-1)*100+1, 100))</f>
        <v/>
      </c>
      <c r="AY277" t="str">
        <f>TRIM(MID(SUBSTITUTE($G277, ",", REPT(" ", 100)), (COLUMNS($AJ$2:AY277)-1)*100+1, 100))</f>
        <v/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</row>
    <row r="278" spans="1:55" x14ac:dyDescent="0.5">
      <c r="A278" t="s">
        <v>435</v>
      </c>
      <c r="B278" s="71">
        <v>46299</v>
      </c>
      <c r="C278" s="2"/>
      <c r="D278" s="241"/>
      <c r="E278" s="268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Q278" t="str">
        <f>TRIM(MID(SUBSTITUTE($G278, ",", REPT(" ", 100)), (COLUMNS($AJ$2:AQ278)-1)*100+1, 100))</f>
        <v/>
      </c>
      <c r="AR278" t="str">
        <f>TRIM(MID(SUBSTITUTE($G278, ",", REPT(" ", 100)), (COLUMNS($AJ$2:AR278)-1)*100+1, 100))</f>
        <v/>
      </c>
      <c r="AS278" t="str">
        <f>TRIM(MID(SUBSTITUTE($G278, ",", REPT(" ", 100)), (COLUMNS($AJ$2:AS278)-1)*100+1, 100))</f>
        <v/>
      </c>
      <c r="AT278" t="str">
        <f>TRIM(MID(SUBSTITUTE($G278, ",", REPT(" ", 100)), (COLUMNS($AJ$2:AT278)-1)*100+1, 100))</f>
        <v/>
      </c>
      <c r="AU278" t="str">
        <f>TRIM(MID(SUBSTITUTE($G278, ",", REPT(" ", 100)), (COLUMNS($AJ$2:AU278)-1)*100+1, 100))</f>
        <v/>
      </c>
      <c r="AV278" t="str">
        <f>TRIM(MID(SUBSTITUTE($G278, ",", REPT(" ", 100)), (COLUMNS($AJ$2:AV278)-1)*100+1, 100))</f>
        <v/>
      </c>
      <c r="AW278" t="str">
        <f>TRIM(MID(SUBSTITUTE($G278, ",", REPT(" ", 100)), (COLUMNS($AJ$2:AW278)-1)*100+1, 100))</f>
        <v/>
      </c>
      <c r="AX278" t="str">
        <f>TRIM(MID(SUBSTITUTE($G278, ",", REPT(" ", 100)), (COLUMNS($AJ$2:AX278)-1)*100+1, 100))</f>
        <v/>
      </c>
      <c r="AY278" t="str">
        <f>TRIM(MID(SUBSTITUTE($G278, ",", REPT(" ", 100)), (COLUMNS($AJ$2:AY278)-1)*100+1, 100))</f>
        <v/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</row>
    <row r="279" spans="1:55" ht="14.7" thickBot="1" x14ac:dyDescent="0.55000000000000004">
      <c r="A279" t="s">
        <v>436</v>
      </c>
      <c r="B279" s="53">
        <v>46300</v>
      </c>
      <c r="C279" s="2"/>
      <c r="D279" s="241"/>
      <c r="E279" s="268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Q279" t="str">
        <f>TRIM(MID(SUBSTITUTE($G279, ",", REPT(" ", 100)), (COLUMNS($AJ$2:AQ279)-1)*100+1, 100))</f>
        <v/>
      </c>
      <c r="AR279" t="str">
        <f>TRIM(MID(SUBSTITUTE($G279, ",", REPT(" ", 100)), (COLUMNS($AJ$2:AR279)-1)*100+1, 100))</f>
        <v/>
      </c>
      <c r="AS279" t="str">
        <f>TRIM(MID(SUBSTITUTE($G279, ",", REPT(" ", 100)), (COLUMNS($AJ$2:AS279)-1)*100+1, 100))</f>
        <v/>
      </c>
      <c r="AT279" t="str">
        <f>TRIM(MID(SUBSTITUTE($G279, ",", REPT(" ", 100)), (COLUMNS($AJ$2:AT279)-1)*100+1, 100))</f>
        <v/>
      </c>
      <c r="AU279" t="str">
        <f>TRIM(MID(SUBSTITUTE($G279, ",", REPT(" ", 100)), (COLUMNS($AJ$2:AU279)-1)*100+1, 100))</f>
        <v/>
      </c>
      <c r="AV279" t="str">
        <f>TRIM(MID(SUBSTITUTE($G279, ",", REPT(" ", 100)), (COLUMNS($AJ$2:AV279)-1)*100+1, 100))</f>
        <v/>
      </c>
      <c r="AW279" t="str">
        <f>TRIM(MID(SUBSTITUTE($G279, ",", REPT(" ", 100)), (COLUMNS($AJ$2:AW279)-1)*100+1, 100))</f>
        <v/>
      </c>
      <c r="AX279" t="str">
        <f>TRIM(MID(SUBSTITUTE($G279, ",", REPT(" ", 100)), (COLUMNS($AJ$2:AX279)-1)*100+1, 100))</f>
        <v/>
      </c>
      <c r="AY279" t="str">
        <f>TRIM(MID(SUBSTITUTE($G279, ",", REPT(" ", 100)), (COLUMNS($AJ$2:AY279)-1)*100+1, 100))</f>
        <v/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</row>
    <row r="280" spans="1:55" x14ac:dyDescent="0.5">
      <c r="A280" t="s">
        <v>437</v>
      </c>
      <c r="B280" s="71">
        <v>46301</v>
      </c>
      <c r="C280" s="2"/>
      <c r="D280" s="241"/>
      <c r="E280" s="268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Q280" t="str">
        <f>TRIM(MID(SUBSTITUTE($G280, ",", REPT(" ", 100)), (COLUMNS($AJ$2:AQ280)-1)*100+1, 100))</f>
        <v/>
      </c>
      <c r="AR280" t="str">
        <f>TRIM(MID(SUBSTITUTE($G280, ",", REPT(" ", 100)), (COLUMNS($AJ$2:AR280)-1)*100+1, 100))</f>
        <v/>
      </c>
      <c r="AS280" t="str">
        <f>TRIM(MID(SUBSTITUTE($G280, ",", REPT(" ", 100)), (COLUMNS($AJ$2:AS280)-1)*100+1, 100))</f>
        <v/>
      </c>
      <c r="AT280" t="str">
        <f>TRIM(MID(SUBSTITUTE($G280, ",", REPT(" ", 100)), (COLUMNS($AJ$2:AT280)-1)*100+1, 100))</f>
        <v/>
      </c>
      <c r="AU280" t="str">
        <f>TRIM(MID(SUBSTITUTE($G280, ",", REPT(" ", 100)), (COLUMNS($AJ$2:AU280)-1)*100+1, 100))</f>
        <v/>
      </c>
      <c r="AV280" t="str">
        <f>TRIM(MID(SUBSTITUTE($G280, ",", REPT(" ", 100)), (COLUMNS($AJ$2:AV280)-1)*100+1, 100))</f>
        <v/>
      </c>
      <c r="AW280" t="str">
        <f>TRIM(MID(SUBSTITUTE($G280, ",", REPT(" ", 100)), (COLUMNS($AJ$2:AW280)-1)*100+1, 100))</f>
        <v/>
      </c>
      <c r="AX280" t="str">
        <f>TRIM(MID(SUBSTITUTE($G280, ",", REPT(" ", 100)), (COLUMNS($AJ$2:AX280)-1)*100+1, 100))</f>
        <v/>
      </c>
      <c r="AY280" t="str">
        <f>TRIM(MID(SUBSTITUTE($G280, ",", REPT(" ", 100)), (COLUMNS($AJ$2:AY280)-1)*100+1, 100))</f>
        <v/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</row>
    <row r="281" spans="1:55" ht="14.7" thickBot="1" x14ac:dyDescent="0.55000000000000004">
      <c r="A281" t="s">
        <v>438</v>
      </c>
      <c r="B281" s="53">
        <v>46302</v>
      </c>
      <c r="C281" s="2"/>
      <c r="D281" s="241"/>
      <c r="E281" s="268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Q281" t="str">
        <f>TRIM(MID(SUBSTITUTE($G281, ",", REPT(" ", 100)), (COLUMNS($AJ$2:AQ281)-1)*100+1, 100))</f>
        <v/>
      </c>
      <c r="AR281" t="str">
        <f>TRIM(MID(SUBSTITUTE($G281, ",", REPT(" ", 100)), (COLUMNS($AJ$2:AR281)-1)*100+1, 100))</f>
        <v/>
      </c>
      <c r="AS281" t="str">
        <f>TRIM(MID(SUBSTITUTE($G281, ",", REPT(" ", 100)), (COLUMNS($AJ$2:AS281)-1)*100+1, 100))</f>
        <v/>
      </c>
      <c r="AT281" t="str">
        <f>TRIM(MID(SUBSTITUTE($G281, ",", REPT(" ", 100)), (COLUMNS($AJ$2:AT281)-1)*100+1, 100))</f>
        <v/>
      </c>
      <c r="AU281" t="str">
        <f>TRIM(MID(SUBSTITUTE($G281, ",", REPT(" ", 100)), (COLUMNS($AJ$2:AU281)-1)*100+1, 100))</f>
        <v/>
      </c>
      <c r="AV281" t="str">
        <f>TRIM(MID(SUBSTITUTE($G281, ",", REPT(" ", 100)), (COLUMNS($AJ$2:AV281)-1)*100+1, 100))</f>
        <v/>
      </c>
      <c r="AW281" t="str">
        <f>TRIM(MID(SUBSTITUTE($G281, ",", REPT(" ", 100)), (COLUMNS($AJ$2:AW281)-1)*100+1, 100))</f>
        <v/>
      </c>
      <c r="AX281" t="str">
        <f>TRIM(MID(SUBSTITUTE($G281, ",", REPT(" ", 100)), (COLUMNS($AJ$2:AX281)-1)*100+1, 100))</f>
        <v/>
      </c>
      <c r="AY281" t="str">
        <f>TRIM(MID(SUBSTITUTE($G281, ",", REPT(" ", 100)), (COLUMNS($AJ$2:AY281)-1)*100+1, 100))</f>
        <v/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</row>
    <row r="282" spans="1:55" x14ac:dyDescent="0.5">
      <c r="A282" t="s">
        <v>432</v>
      </c>
      <c r="B282" s="71">
        <v>46303</v>
      </c>
      <c r="C282" s="2"/>
      <c r="D282" s="241"/>
      <c r="E282" s="268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Q282" t="str">
        <f>TRIM(MID(SUBSTITUTE($G282, ",", REPT(" ", 100)), (COLUMNS($AJ$2:AQ282)-1)*100+1, 100))</f>
        <v/>
      </c>
      <c r="AR282" t="str">
        <f>TRIM(MID(SUBSTITUTE($G282, ",", REPT(" ", 100)), (COLUMNS($AJ$2:AR282)-1)*100+1, 100))</f>
        <v/>
      </c>
      <c r="AS282" t="str">
        <f>TRIM(MID(SUBSTITUTE($G282, ",", REPT(" ", 100)), (COLUMNS($AJ$2:AS282)-1)*100+1, 100))</f>
        <v/>
      </c>
      <c r="AT282" t="str">
        <f>TRIM(MID(SUBSTITUTE($G282, ",", REPT(" ", 100)), (COLUMNS($AJ$2:AT282)-1)*100+1, 100))</f>
        <v/>
      </c>
      <c r="AU282" t="str">
        <f>TRIM(MID(SUBSTITUTE($G282, ",", REPT(" ", 100)), (COLUMNS($AJ$2:AU282)-1)*100+1, 100))</f>
        <v/>
      </c>
      <c r="AV282" t="str">
        <f>TRIM(MID(SUBSTITUTE($G282, ",", REPT(" ", 100)), (COLUMNS($AJ$2:AV282)-1)*100+1, 100))</f>
        <v/>
      </c>
      <c r="AW282" t="str">
        <f>TRIM(MID(SUBSTITUTE($G282, ",", REPT(" ", 100)), (COLUMNS($AJ$2:AW282)-1)*100+1, 100))</f>
        <v/>
      </c>
      <c r="AX282" t="str">
        <f>TRIM(MID(SUBSTITUTE($G282, ",", REPT(" ", 100)), (COLUMNS($AJ$2:AX282)-1)*100+1, 100))</f>
        <v/>
      </c>
      <c r="AY282" t="str">
        <f>TRIM(MID(SUBSTITUTE($G282, ",", REPT(" ", 100)), (COLUMNS($AJ$2:AY282)-1)*100+1, 100))</f>
        <v/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</row>
    <row r="283" spans="1:55" ht="14.7" thickBot="1" x14ac:dyDescent="0.55000000000000004">
      <c r="A283" t="s">
        <v>433</v>
      </c>
      <c r="B283" s="53">
        <v>46304</v>
      </c>
      <c r="C283" s="2"/>
      <c r="D283" s="241"/>
      <c r="E283" s="268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Q283" t="str">
        <f>TRIM(MID(SUBSTITUTE($G283, ",", REPT(" ", 100)), (COLUMNS($AJ$2:AQ283)-1)*100+1, 100))</f>
        <v/>
      </c>
      <c r="AR283" t="str">
        <f>TRIM(MID(SUBSTITUTE($G283, ",", REPT(" ", 100)), (COLUMNS($AJ$2:AR283)-1)*100+1, 100))</f>
        <v/>
      </c>
      <c r="AS283" t="str">
        <f>TRIM(MID(SUBSTITUTE($G283, ",", REPT(" ", 100)), (COLUMNS($AJ$2:AS283)-1)*100+1, 100))</f>
        <v/>
      </c>
      <c r="AT283" t="str">
        <f>TRIM(MID(SUBSTITUTE($G283, ",", REPT(" ", 100)), (COLUMNS($AJ$2:AT283)-1)*100+1, 100))</f>
        <v/>
      </c>
      <c r="AU283" t="str">
        <f>TRIM(MID(SUBSTITUTE($G283, ",", REPT(" ", 100)), (COLUMNS($AJ$2:AU283)-1)*100+1, 100))</f>
        <v/>
      </c>
      <c r="AV283" t="str">
        <f>TRIM(MID(SUBSTITUTE($G283, ",", REPT(" ", 100)), (COLUMNS($AJ$2:AV283)-1)*100+1, 100))</f>
        <v/>
      </c>
      <c r="AW283" t="str">
        <f>TRIM(MID(SUBSTITUTE($G283, ",", REPT(" ", 100)), (COLUMNS($AJ$2:AW283)-1)*100+1, 100))</f>
        <v/>
      </c>
      <c r="AX283" t="str">
        <f>TRIM(MID(SUBSTITUTE($G283, ",", REPT(" ", 100)), (COLUMNS($AJ$2:AX283)-1)*100+1, 100))</f>
        <v/>
      </c>
      <c r="AY283" t="str">
        <f>TRIM(MID(SUBSTITUTE($G283, ",", REPT(" ", 100)), (COLUMNS($AJ$2:AY283)-1)*100+1, 100))</f>
        <v/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</row>
    <row r="284" spans="1:55" x14ac:dyDescent="0.5">
      <c r="A284" t="s">
        <v>434</v>
      </c>
      <c r="B284" s="71">
        <v>46305</v>
      </c>
      <c r="C284" s="2"/>
      <c r="D284" s="241"/>
      <c r="E284" s="268"/>
      <c r="I284" s="38">
        <v>0</v>
      </c>
      <c r="AL284" t="str">
        <f>TRIM(MID(SUBSTITUTE($G284, ",", REPT(" ", 100)), (COLUMNS($AJ$2:AL284)-1)*100+1, 100))</f>
        <v/>
      </c>
      <c r="AM284" s="1">
        <v>45940</v>
      </c>
      <c r="AN284" s="2">
        <v>4.5</v>
      </c>
      <c r="AO284" s="2">
        <v>6</v>
      </c>
      <c r="AQ284" t="str">
        <f>TRIM(MID(SUBSTITUTE($G284, ",", REPT(" ", 100)), (COLUMNS($AJ$2:AQ284)-1)*100+1, 100))</f>
        <v/>
      </c>
      <c r="AR284" t="str">
        <f>TRIM(MID(SUBSTITUTE($G284, ",", REPT(" ", 100)), (COLUMNS($AJ$2:AR284)-1)*100+1, 100))</f>
        <v/>
      </c>
      <c r="AS284" t="str">
        <f>TRIM(MID(SUBSTITUTE($G284, ",", REPT(" ", 100)), (COLUMNS($AJ$2:AS284)-1)*100+1, 100))</f>
        <v/>
      </c>
      <c r="AT284" t="str">
        <f>TRIM(MID(SUBSTITUTE($G284, ",", REPT(" ", 100)), (COLUMNS($AJ$2:AT284)-1)*100+1, 100))</f>
        <v/>
      </c>
      <c r="AU284" t="str">
        <f>TRIM(MID(SUBSTITUTE($G284, ",", REPT(" ", 100)), (COLUMNS($AJ$2:AU284)-1)*100+1, 100))</f>
        <v/>
      </c>
      <c r="AV284" t="str">
        <f>TRIM(MID(SUBSTITUTE($G284, ",", REPT(" ", 100)), (COLUMNS($AJ$2:AV284)-1)*100+1, 100))</f>
        <v/>
      </c>
      <c r="AW284" t="str">
        <f>TRIM(MID(SUBSTITUTE($G284, ",", REPT(" ", 100)), (COLUMNS($AJ$2:AW284)-1)*100+1, 100))</f>
        <v/>
      </c>
      <c r="AX284" t="str">
        <f>TRIM(MID(SUBSTITUTE($G284, ",", REPT(" ", 100)), (COLUMNS($AJ$2:AX284)-1)*100+1, 100))</f>
        <v/>
      </c>
      <c r="AY284" t="str">
        <f>TRIM(MID(SUBSTITUTE($G284, ",", REPT(" ", 100)), (COLUMNS($AJ$2:AY284)-1)*100+1, 100))</f>
        <v/>
      </c>
      <c r="AZ284" t="str">
        <f>TRIM(MID(SUBSTITUTE($G284, ",", REPT(" ", 100)), (COLUMNS($AJ$2:AZ284)-1)*100+1, 100))</f>
        <v/>
      </c>
      <c r="BA284" t="str">
        <f>TRIM(MID(SUBSTITUTE($G284, ",", REPT(" ", 100)), (COLUMNS($AJ$2:BA284)-1)*100+1, 100))</f>
        <v/>
      </c>
      <c r="BB284" t="str">
        <f>TRIM(MID(SUBSTITUTE($G284, ",", REPT(" ", 100)), (COLUMNS($AJ$2:BB284)-1)*100+1, 100))</f>
        <v/>
      </c>
      <c r="BC284" t="str">
        <f>TRIM(MID(SUBSTITUTE($G284, ",", REPT(" ", 100)), (COLUMNS($AJ$2:BC284)-1)*100+1, 100))</f>
        <v/>
      </c>
    </row>
    <row r="285" spans="1:55" ht="14.7" thickBot="1" x14ac:dyDescent="0.55000000000000004">
      <c r="A285" t="s">
        <v>435</v>
      </c>
      <c r="B285" s="53">
        <v>46306</v>
      </c>
      <c r="C285" s="2"/>
      <c r="D285" s="241"/>
      <c r="E285" s="268"/>
      <c r="I285" s="38">
        <v>0</v>
      </c>
      <c r="AL285" t="e">
        <f>TRIM(MID(SUBSTITUTE(#REF!, ",", REPT(" ", 100)), (COLUMNS($AJ$2:AL285)-1)*100+1, 100))</f>
        <v>#REF!</v>
      </c>
      <c r="AM285" s="1">
        <v>45941</v>
      </c>
      <c r="AN285" s="2">
        <v>6</v>
      </c>
      <c r="AO285" s="2">
        <v>8</v>
      </c>
      <c r="AQ285" t="e">
        <f>TRIM(MID(SUBSTITUTE(#REF!, ",", REPT(" ", 100)), (COLUMNS($AJ$2:AQ285)-1)*100+1, 100))</f>
        <v>#REF!</v>
      </c>
      <c r="AR285" t="e">
        <f>TRIM(MID(SUBSTITUTE(#REF!, ",", REPT(" ", 100)), (COLUMNS($AJ$2:AR285)-1)*100+1, 100))</f>
        <v>#REF!</v>
      </c>
      <c r="AS285" t="e">
        <f>TRIM(MID(SUBSTITUTE(#REF!, ",", REPT(" ", 100)), (COLUMNS($AJ$2:AS285)-1)*100+1, 100))</f>
        <v>#REF!</v>
      </c>
      <c r="AT285" t="e">
        <f>TRIM(MID(SUBSTITUTE(#REF!, ",", REPT(" ", 100)), (COLUMNS($AJ$2:AT285)-1)*100+1, 100))</f>
        <v>#REF!</v>
      </c>
      <c r="AU285" t="e">
        <f>TRIM(MID(SUBSTITUTE(#REF!, ",", REPT(" ", 100)), (COLUMNS($AJ$2:AU285)-1)*100+1, 100))</f>
        <v>#REF!</v>
      </c>
      <c r="AV285" t="e">
        <f>TRIM(MID(SUBSTITUTE(#REF!, ",", REPT(" ", 100)), (COLUMNS($AJ$2:AV285)-1)*100+1, 100))</f>
        <v>#REF!</v>
      </c>
      <c r="AW285" t="e">
        <f>TRIM(MID(SUBSTITUTE(#REF!, ",", REPT(" ", 100)), (COLUMNS($AJ$2:AW285)-1)*100+1, 100))</f>
        <v>#REF!</v>
      </c>
      <c r="AX285" t="e">
        <f>TRIM(MID(SUBSTITUTE(#REF!, ",", REPT(" ", 100)), (COLUMNS($AJ$2:AX285)-1)*100+1, 100))</f>
        <v>#REF!</v>
      </c>
      <c r="AY285" t="e">
        <f>TRIM(MID(SUBSTITUTE(#REF!, ",", REPT(" ", 100)), (COLUMNS($AJ$2:AY285)-1)*100+1, 100))</f>
        <v>#REF!</v>
      </c>
      <c r="AZ285" t="e">
        <f>TRIM(MID(SUBSTITUTE(#REF!, ",", REPT(" ", 100)), (COLUMNS($AJ$2:AZ285)-1)*100+1, 100))</f>
        <v>#REF!</v>
      </c>
      <c r="BA285" t="e">
        <f>TRIM(MID(SUBSTITUTE(#REF!, ",", REPT(" ", 100)), (COLUMNS($AJ$2:BA285)-1)*100+1, 100))</f>
        <v>#REF!</v>
      </c>
      <c r="BB285" t="e">
        <f>TRIM(MID(SUBSTITUTE(#REF!, ",", REPT(" ", 100)), (COLUMNS($AJ$2:BB285)-1)*100+1, 100))</f>
        <v>#REF!</v>
      </c>
      <c r="BC285" t="e">
        <f>TRIM(MID(SUBSTITUTE(#REF!, ",", REPT(" ", 100)), (COLUMNS($AJ$2:BC285)-1)*100+1, 100))</f>
        <v>#REF!</v>
      </c>
    </row>
    <row r="286" spans="1:55" x14ac:dyDescent="0.5">
      <c r="A286" t="s">
        <v>436</v>
      </c>
      <c r="B286" s="71">
        <v>46307</v>
      </c>
      <c r="C286" s="2"/>
      <c r="D286" s="241"/>
      <c r="E286" s="268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  <c r="AQ286" t="str">
        <f>TRIM(MID(SUBSTITUTE($G285, ",", REPT(" ", 100)), (COLUMNS($AJ$2:AQ286)-1)*100+1, 100))</f>
        <v/>
      </c>
      <c r="AR286" t="str">
        <f>TRIM(MID(SUBSTITUTE($G285, ",", REPT(" ", 100)), (COLUMNS($AJ$2:AR286)-1)*100+1, 100))</f>
        <v/>
      </c>
      <c r="AS286" t="str">
        <f>TRIM(MID(SUBSTITUTE($G285, ",", REPT(" ", 100)), (COLUMNS($AJ$2:AS286)-1)*100+1, 100))</f>
        <v/>
      </c>
      <c r="AT286" t="str">
        <f>TRIM(MID(SUBSTITUTE($G285, ",", REPT(" ", 100)), (COLUMNS($AJ$2:AT286)-1)*100+1, 100))</f>
        <v/>
      </c>
      <c r="AU286" t="str">
        <f>TRIM(MID(SUBSTITUTE($G285, ",", REPT(" ", 100)), (COLUMNS($AJ$2:AU286)-1)*100+1, 100))</f>
        <v/>
      </c>
      <c r="AV286" t="str">
        <f>TRIM(MID(SUBSTITUTE($G285, ",", REPT(" ", 100)), (COLUMNS($AJ$2:AV286)-1)*100+1, 100))</f>
        <v/>
      </c>
      <c r="AW286" t="str">
        <f>TRIM(MID(SUBSTITUTE($G285, ",", REPT(" ", 100)), (COLUMNS($AJ$2:AW286)-1)*100+1, 100))</f>
        <v/>
      </c>
      <c r="AX286" t="str">
        <f>TRIM(MID(SUBSTITUTE($G285, ",", REPT(" ", 100)), (COLUMNS($AJ$2:AX286)-1)*100+1, 100))</f>
        <v/>
      </c>
      <c r="AY286" t="str">
        <f>TRIM(MID(SUBSTITUTE($G285, ",", REPT(" ", 100)), (COLUMNS($AJ$2:AY286)-1)*100+1, 100))</f>
        <v/>
      </c>
      <c r="AZ286" t="str">
        <f>TRIM(MID(SUBSTITUTE($G285, ",", REPT(" ", 100)), (COLUMNS($AJ$2:AZ286)-1)*100+1, 100))</f>
        <v/>
      </c>
      <c r="BA286" t="str">
        <f>TRIM(MID(SUBSTITUTE($G285, ",", REPT(" ", 100)), (COLUMNS($AJ$2:BA286)-1)*100+1, 100))</f>
        <v/>
      </c>
      <c r="BB286" t="str">
        <f>TRIM(MID(SUBSTITUTE($G285, ",", REPT(" ", 100)), (COLUMNS($AJ$2:BB286)-1)*100+1, 100))</f>
        <v/>
      </c>
      <c r="BC286" t="str">
        <f>TRIM(MID(SUBSTITUTE($G285, ",", REPT(" ", 100)), (COLUMNS($AJ$2:BC286)-1)*100+1, 100))</f>
        <v/>
      </c>
    </row>
    <row r="287" spans="1:55" ht="14.7" thickBot="1" x14ac:dyDescent="0.55000000000000004">
      <c r="A287" t="s">
        <v>437</v>
      </c>
      <c r="B287" s="53">
        <v>46308</v>
      </c>
      <c r="C287" s="2"/>
      <c r="D287" s="241"/>
      <c r="E287" s="268"/>
      <c r="H287" s="269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Q287" t="str">
        <f>TRIM(MID(SUBSTITUTE($G287, ",", REPT(" ", 100)), (COLUMNS($AJ$2:AQ287)-1)*100+1, 100))</f>
        <v/>
      </c>
      <c r="AR287" t="str">
        <f>TRIM(MID(SUBSTITUTE($G287, ",", REPT(" ", 100)), (COLUMNS($AJ$2:AR287)-1)*100+1, 100))</f>
        <v/>
      </c>
      <c r="AS287" t="str">
        <f>TRIM(MID(SUBSTITUTE($G287, ",", REPT(" ", 100)), (COLUMNS($AJ$2:AS287)-1)*100+1, 100))</f>
        <v/>
      </c>
      <c r="AT287" t="str">
        <f>TRIM(MID(SUBSTITUTE($G287, ",", REPT(" ", 100)), (COLUMNS($AJ$2:AT287)-1)*100+1, 100))</f>
        <v/>
      </c>
      <c r="AU287" t="str">
        <f>TRIM(MID(SUBSTITUTE($G287, ",", REPT(" ", 100)), (COLUMNS($AJ$2:AU287)-1)*100+1, 100))</f>
        <v/>
      </c>
      <c r="AV287" t="str">
        <f>TRIM(MID(SUBSTITUTE($G287, ",", REPT(" ", 100)), (COLUMNS($AJ$2:AV287)-1)*100+1, 100))</f>
        <v/>
      </c>
      <c r="AW287" t="str">
        <f>TRIM(MID(SUBSTITUTE($G287, ",", REPT(" ", 100)), (COLUMNS($AJ$2:AW287)-1)*100+1, 100))</f>
        <v/>
      </c>
      <c r="AX287" t="str">
        <f>TRIM(MID(SUBSTITUTE($G287, ",", REPT(" ", 100)), (COLUMNS($AJ$2:AX287)-1)*100+1, 100))</f>
        <v/>
      </c>
      <c r="AY287" t="str">
        <f>TRIM(MID(SUBSTITUTE($G287, ",", REPT(" ", 100)), (COLUMNS($AJ$2:AY287)-1)*100+1, 100))</f>
        <v/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</row>
    <row r="288" spans="1:55" x14ac:dyDescent="0.5">
      <c r="A288" t="s">
        <v>438</v>
      </c>
      <c r="B288" s="71">
        <v>46309</v>
      </c>
      <c r="C288" s="2"/>
      <c r="D288" s="241"/>
      <c r="E288" s="268"/>
      <c r="H288" s="269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Q288" t="str">
        <f>TRIM(MID(SUBSTITUTE($G288, ",", REPT(" ", 100)), (COLUMNS($AJ$2:AQ288)-1)*100+1, 100))</f>
        <v/>
      </c>
      <c r="AR288" t="str">
        <f>TRIM(MID(SUBSTITUTE($G288, ",", REPT(" ", 100)), (COLUMNS($AJ$2:AR288)-1)*100+1, 100))</f>
        <v/>
      </c>
      <c r="AS288" t="str">
        <f>TRIM(MID(SUBSTITUTE($G288, ",", REPT(" ", 100)), (COLUMNS($AJ$2:AS288)-1)*100+1, 100))</f>
        <v/>
      </c>
      <c r="AT288" t="str">
        <f>TRIM(MID(SUBSTITUTE($G288, ",", REPT(" ", 100)), (COLUMNS($AJ$2:AT288)-1)*100+1, 100))</f>
        <v/>
      </c>
      <c r="AU288" t="str">
        <f>TRIM(MID(SUBSTITUTE($G288, ",", REPT(" ", 100)), (COLUMNS($AJ$2:AU288)-1)*100+1, 100))</f>
        <v/>
      </c>
      <c r="AV288" t="str">
        <f>TRIM(MID(SUBSTITUTE($G288, ",", REPT(" ", 100)), (COLUMNS($AJ$2:AV288)-1)*100+1, 100))</f>
        <v/>
      </c>
      <c r="AW288" t="str">
        <f>TRIM(MID(SUBSTITUTE($G288, ",", REPT(" ", 100)), (COLUMNS($AJ$2:AW288)-1)*100+1, 100))</f>
        <v/>
      </c>
      <c r="AX288" t="str">
        <f>TRIM(MID(SUBSTITUTE($G288, ",", REPT(" ", 100)), (COLUMNS($AJ$2:AX288)-1)*100+1, 100))</f>
        <v/>
      </c>
      <c r="AY288" t="str">
        <f>TRIM(MID(SUBSTITUTE($G288, ",", REPT(" ", 100)), (COLUMNS($AJ$2:AY288)-1)*100+1, 100))</f>
        <v/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</row>
    <row r="289" spans="1:55" ht="14.7" thickBot="1" x14ac:dyDescent="0.55000000000000004">
      <c r="A289" t="s">
        <v>432</v>
      </c>
      <c r="B289" s="53">
        <v>46310</v>
      </c>
      <c r="C289" s="2"/>
      <c r="D289" s="241"/>
      <c r="E289" s="268"/>
      <c r="H289" s="269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Q289" t="str">
        <f>TRIM(MID(SUBSTITUTE($G289, ",", REPT(" ", 100)), (COLUMNS($AJ$2:AQ289)-1)*100+1, 100))</f>
        <v/>
      </c>
      <c r="AR289" t="str">
        <f>TRIM(MID(SUBSTITUTE($G289, ",", REPT(" ", 100)), (COLUMNS($AJ$2:AR289)-1)*100+1, 100))</f>
        <v/>
      </c>
      <c r="AS289" t="str">
        <f>TRIM(MID(SUBSTITUTE($G289, ",", REPT(" ", 100)), (COLUMNS($AJ$2:AS289)-1)*100+1, 100))</f>
        <v/>
      </c>
      <c r="AT289" t="str">
        <f>TRIM(MID(SUBSTITUTE($G289, ",", REPT(" ", 100)), (COLUMNS($AJ$2:AT289)-1)*100+1, 100))</f>
        <v/>
      </c>
      <c r="AU289" t="str">
        <f>TRIM(MID(SUBSTITUTE($G289, ",", REPT(" ", 100)), (COLUMNS($AJ$2:AU289)-1)*100+1, 100))</f>
        <v/>
      </c>
      <c r="AV289" t="str">
        <f>TRIM(MID(SUBSTITUTE($G289, ",", REPT(" ", 100)), (COLUMNS($AJ$2:AV289)-1)*100+1, 100))</f>
        <v/>
      </c>
      <c r="AW289" t="str">
        <f>TRIM(MID(SUBSTITUTE($G289, ",", REPT(" ", 100)), (COLUMNS($AJ$2:AW289)-1)*100+1, 100))</f>
        <v/>
      </c>
      <c r="AX289" t="str">
        <f>TRIM(MID(SUBSTITUTE($G289, ",", REPT(" ", 100)), (COLUMNS($AJ$2:AX289)-1)*100+1, 100))</f>
        <v/>
      </c>
      <c r="AY289" t="str">
        <f>TRIM(MID(SUBSTITUTE($G289, ",", REPT(" ", 100)), (COLUMNS($AJ$2:AY289)-1)*100+1, 100))</f>
        <v/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</row>
    <row r="290" spans="1:55" x14ac:dyDescent="0.5">
      <c r="A290" t="s">
        <v>433</v>
      </c>
      <c r="B290" s="71">
        <v>46311</v>
      </c>
      <c r="C290" s="2"/>
      <c r="D290" s="241"/>
      <c r="E290" s="268"/>
      <c r="H290" s="269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Q290" t="str">
        <f>TRIM(MID(SUBSTITUTE($G290, ",", REPT(" ", 100)), (COLUMNS($AJ$2:AQ290)-1)*100+1, 100))</f>
        <v/>
      </c>
      <c r="AR290" t="str">
        <f>TRIM(MID(SUBSTITUTE($G290, ",", REPT(" ", 100)), (COLUMNS($AJ$2:AR290)-1)*100+1, 100))</f>
        <v/>
      </c>
      <c r="AS290" t="str">
        <f>TRIM(MID(SUBSTITUTE($G290, ",", REPT(" ", 100)), (COLUMNS($AJ$2:AS290)-1)*100+1, 100))</f>
        <v/>
      </c>
      <c r="AT290" t="str">
        <f>TRIM(MID(SUBSTITUTE($G290, ",", REPT(" ", 100)), (COLUMNS($AJ$2:AT290)-1)*100+1, 100))</f>
        <v/>
      </c>
      <c r="AU290" t="str">
        <f>TRIM(MID(SUBSTITUTE($G290, ",", REPT(" ", 100)), (COLUMNS($AJ$2:AU290)-1)*100+1, 100))</f>
        <v/>
      </c>
      <c r="AV290" t="str">
        <f>TRIM(MID(SUBSTITUTE($G290, ",", REPT(" ", 100)), (COLUMNS($AJ$2:AV290)-1)*100+1, 100))</f>
        <v/>
      </c>
      <c r="AW290" t="str">
        <f>TRIM(MID(SUBSTITUTE($G290, ",", REPT(" ", 100)), (COLUMNS($AJ$2:AW290)-1)*100+1, 100))</f>
        <v/>
      </c>
      <c r="AX290" t="str">
        <f>TRIM(MID(SUBSTITUTE($G290, ",", REPT(" ", 100)), (COLUMNS($AJ$2:AX290)-1)*100+1, 100))</f>
        <v/>
      </c>
      <c r="AY290" t="str">
        <f>TRIM(MID(SUBSTITUTE($G290, ",", REPT(" ", 100)), (COLUMNS($AJ$2:AY290)-1)*100+1, 100))</f>
        <v/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</row>
    <row r="291" spans="1:55" ht="14.7" thickBot="1" x14ac:dyDescent="0.55000000000000004">
      <c r="A291" t="s">
        <v>434</v>
      </c>
      <c r="B291" s="53">
        <v>46312</v>
      </c>
      <c r="C291" s="2"/>
      <c r="D291" s="241"/>
      <c r="E291" s="268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Q291" t="str">
        <f>TRIM(MID(SUBSTITUTE($G291, ",", REPT(" ", 100)), (COLUMNS($AJ$2:AQ291)-1)*100+1, 100))</f>
        <v/>
      </c>
      <c r="AR291" t="str">
        <f>TRIM(MID(SUBSTITUTE($G291, ",", REPT(" ", 100)), (COLUMNS($AJ$2:AR291)-1)*100+1, 100))</f>
        <v/>
      </c>
      <c r="AS291" t="str">
        <f>TRIM(MID(SUBSTITUTE($G291, ",", REPT(" ", 100)), (COLUMNS($AJ$2:AS291)-1)*100+1, 100))</f>
        <v/>
      </c>
      <c r="AT291" t="str">
        <f>TRIM(MID(SUBSTITUTE($G291, ",", REPT(" ", 100)), (COLUMNS($AJ$2:AT291)-1)*100+1, 100))</f>
        <v/>
      </c>
      <c r="AU291" t="str">
        <f>TRIM(MID(SUBSTITUTE($G291, ",", REPT(" ", 100)), (COLUMNS($AJ$2:AU291)-1)*100+1, 100))</f>
        <v/>
      </c>
      <c r="AV291" t="str">
        <f>TRIM(MID(SUBSTITUTE($G291, ",", REPT(" ", 100)), (COLUMNS($AJ$2:AV291)-1)*100+1, 100))</f>
        <v/>
      </c>
      <c r="AW291" t="str">
        <f>TRIM(MID(SUBSTITUTE($G291, ",", REPT(" ", 100)), (COLUMNS($AJ$2:AW291)-1)*100+1, 100))</f>
        <v/>
      </c>
      <c r="AX291" t="str">
        <f>TRIM(MID(SUBSTITUTE($G291, ",", REPT(" ", 100)), (COLUMNS($AJ$2:AX291)-1)*100+1, 100))</f>
        <v/>
      </c>
      <c r="AY291" t="str">
        <f>TRIM(MID(SUBSTITUTE($G291, ",", REPT(" ", 100)), (COLUMNS($AJ$2:AY291)-1)*100+1, 100))</f>
        <v/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</row>
    <row r="292" spans="1:55" x14ac:dyDescent="0.5">
      <c r="A292" t="s">
        <v>435</v>
      </c>
      <c r="B292" s="71">
        <v>46313</v>
      </c>
      <c r="C292" s="2"/>
      <c r="D292" s="241"/>
      <c r="E292" s="268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Q292" t="str">
        <f>TRIM(MID(SUBSTITUTE($G292, ",", REPT(" ", 100)), (COLUMNS($AJ$2:AQ292)-1)*100+1, 100))</f>
        <v/>
      </c>
      <c r="AR292" t="str">
        <f>TRIM(MID(SUBSTITUTE($G292, ",", REPT(" ", 100)), (COLUMNS($AJ$2:AR292)-1)*100+1, 100))</f>
        <v/>
      </c>
      <c r="AS292" t="str">
        <f>TRIM(MID(SUBSTITUTE($G292, ",", REPT(" ", 100)), (COLUMNS($AJ$2:AS292)-1)*100+1, 100))</f>
        <v/>
      </c>
      <c r="AT292" t="str">
        <f>TRIM(MID(SUBSTITUTE($G292, ",", REPT(" ", 100)), (COLUMNS($AJ$2:AT292)-1)*100+1, 100))</f>
        <v/>
      </c>
      <c r="AU292" t="str">
        <f>TRIM(MID(SUBSTITUTE($G292, ",", REPT(" ", 100)), (COLUMNS($AJ$2:AU292)-1)*100+1, 100))</f>
        <v/>
      </c>
      <c r="AV292" t="str">
        <f>TRIM(MID(SUBSTITUTE($G292, ",", REPT(" ", 100)), (COLUMNS($AJ$2:AV292)-1)*100+1, 100))</f>
        <v/>
      </c>
      <c r="AW292" t="str">
        <f>TRIM(MID(SUBSTITUTE($G292, ",", REPT(" ", 100)), (COLUMNS($AJ$2:AW292)-1)*100+1, 100))</f>
        <v/>
      </c>
      <c r="AX292" t="str">
        <f>TRIM(MID(SUBSTITUTE($G292, ",", REPT(" ", 100)), (COLUMNS($AJ$2:AX292)-1)*100+1, 100))</f>
        <v/>
      </c>
      <c r="AY292" t="str">
        <f>TRIM(MID(SUBSTITUTE($G292, ",", REPT(" ", 100)), (COLUMNS($AJ$2:AY292)-1)*100+1, 100))</f>
        <v/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</row>
    <row r="293" spans="1:55" ht="14.7" thickBot="1" x14ac:dyDescent="0.55000000000000004">
      <c r="A293" t="s">
        <v>436</v>
      </c>
      <c r="B293" s="53">
        <v>46314</v>
      </c>
      <c r="C293" s="2"/>
      <c r="D293" s="241"/>
      <c r="E293" s="268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Q293" t="str">
        <f>TRIM(MID(SUBSTITUTE($G293, ",", REPT(" ", 100)), (COLUMNS($AJ$2:AQ293)-1)*100+1, 100))</f>
        <v/>
      </c>
      <c r="AR293" t="str">
        <f>TRIM(MID(SUBSTITUTE($G293, ",", REPT(" ", 100)), (COLUMNS($AJ$2:AR293)-1)*100+1, 100))</f>
        <v/>
      </c>
      <c r="AS293" t="str">
        <f>TRIM(MID(SUBSTITUTE($G293, ",", REPT(" ", 100)), (COLUMNS($AJ$2:AS293)-1)*100+1, 100))</f>
        <v/>
      </c>
      <c r="AT293" t="str">
        <f>TRIM(MID(SUBSTITUTE($G293, ",", REPT(" ", 100)), (COLUMNS($AJ$2:AT293)-1)*100+1, 100))</f>
        <v/>
      </c>
      <c r="AU293" t="str">
        <f>TRIM(MID(SUBSTITUTE($G293, ",", REPT(" ", 100)), (COLUMNS($AJ$2:AU293)-1)*100+1, 100))</f>
        <v/>
      </c>
      <c r="AV293" t="str">
        <f>TRIM(MID(SUBSTITUTE($G293, ",", REPT(" ", 100)), (COLUMNS($AJ$2:AV293)-1)*100+1, 100))</f>
        <v/>
      </c>
      <c r="AW293" t="str">
        <f>TRIM(MID(SUBSTITUTE($G293, ",", REPT(" ", 100)), (COLUMNS($AJ$2:AW293)-1)*100+1, 100))</f>
        <v/>
      </c>
      <c r="AX293" t="str">
        <f>TRIM(MID(SUBSTITUTE($G293, ",", REPT(" ", 100)), (COLUMNS($AJ$2:AX293)-1)*100+1, 100))</f>
        <v/>
      </c>
      <c r="AY293" t="str">
        <f>TRIM(MID(SUBSTITUTE($G293, ",", REPT(" ", 100)), (COLUMNS($AJ$2:AY293)-1)*100+1, 100))</f>
        <v/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</row>
    <row r="294" spans="1:55" x14ac:dyDescent="0.5">
      <c r="A294" t="s">
        <v>437</v>
      </c>
      <c r="B294" s="71">
        <v>46315</v>
      </c>
      <c r="C294" s="2"/>
      <c r="D294" s="241"/>
      <c r="E294" s="268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Q294" t="str">
        <f>TRIM(MID(SUBSTITUTE($G294, ",", REPT(" ", 100)), (COLUMNS($AJ$2:AQ294)-1)*100+1, 100))</f>
        <v/>
      </c>
      <c r="AR294" t="str">
        <f>TRIM(MID(SUBSTITUTE($G294, ",", REPT(" ", 100)), (COLUMNS($AJ$2:AR294)-1)*100+1, 100))</f>
        <v/>
      </c>
      <c r="AS294" t="str">
        <f>TRIM(MID(SUBSTITUTE($G294, ",", REPT(" ", 100)), (COLUMNS($AJ$2:AS294)-1)*100+1, 100))</f>
        <v/>
      </c>
      <c r="AT294" t="str">
        <f>TRIM(MID(SUBSTITUTE($G294, ",", REPT(" ", 100)), (COLUMNS($AJ$2:AT294)-1)*100+1, 100))</f>
        <v/>
      </c>
      <c r="AU294" t="str">
        <f>TRIM(MID(SUBSTITUTE($G294, ",", REPT(" ", 100)), (COLUMNS($AJ$2:AU294)-1)*100+1, 100))</f>
        <v/>
      </c>
      <c r="AV294" t="str">
        <f>TRIM(MID(SUBSTITUTE($G294, ",", REPT(" ", 100)), (COLUMNS($AJ$2:AV294)-1)*100+1, 100))</f>
        <v/>
      </c>
      <c r="AW294" t="str">
        <f>TRIM(MID(SUBSTITUTE($G294, ",", REPT(" ", 100)), (COLUMNS($AJ$2:AW294)-1)*100+1, 100))</f>
        <v/>
      </c>
      <c r="AX294" t="str">
        <f>TRIM(MID(SUBSTITUTE($G294, ",", REPT(" ", 100)), (COLUMNS($AJ$2:AX294)-1)*100+1, 100))</f>
        <v/>
      </c>
      <c r="AY294" t="str">
        <f>TRIM(MID(SUBSTITUTE($G294, ",", REPT(" ", 100)), (COLUMNS($AJ$2:AY294)-1)*100+1, 100))</f>
        <v/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</row>
    <row r="295" spans="1:55" ht="14.7" thickBot="1" x14ac:dyDescent="0.55000000000000004">
      <c r="A295" t="s">
        <v>438</v>
      </c>
      <c r="B295" s="53">
        <v>46316</v>
      </c>
      <c r="C295" s="2"/>
      <c r="D295" s="241"/>
      <c r="E295" s="268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Q295" t="str">
        <f>TRIM(MID(SUBSTITUTE($G295, ",", REPT(" ", 100)), (COLUMNS($AJ$2:AQ295)-1)*100+1, 100))</f>
        <v/>
      </c>
      <c r="AR295" t="str">
        <f>TRIM(MID(SUBSTITUTE($G295, ",", REPT(" ", 100)), (COLUMNS($AJ$2:AR295)-1)*100+1, 100))</f>
        <v/>
      </c>
      <c r="AS295" t="str">
        <f>TRIM(MID(SUBSTITUTE($G295, ",", REPT(" ", 100)), (COLUMNS($AJ$2:AS295)-1)*100+1, 100))</f>
        <v/>
      </c>
      <c r="AT295" t="str">
        <f>TRIM(MID(SUBSTITUTE($G295, ",", REPT(" ", 100)), (COLUMNS($AJ$2:AT295)-1)*100+1, 100))</f>
        <v/>
      </c>
      <c r="AU295" t="str">
        <f>TRIM(MID(SUBSTITUTE($G295, ",", REPT(" ", 100)), (COLUMNS($AJ$2:AU295)-1)*100+1, 100))</f>
        <v/>
      </c>
      <c r="AV295" t="str">
        <f>TRIM(MID(SUBSTITUTE($G295, ",", REPT(" ", 100)), (COLUMNS($AJ$2:AV295)-1)*100+1, 100))</f>
        <v/>
      </c>
      <c r="AW295" t="str">
        <f>TRIM(MID(SUBSTITUTE($G295, ",", REPT(" ", 100)), (COLUMNS($AJ$2:AW295)-1)*100+1, 100))</f>
        <v/>
      </c>
      <c r="AX295" t="str">
        <f>TRIM(MID(SUBSTITUTE($G295, ",", REPT(" ", 100)), (COLUMNS($AJ$2:AX295)-1)*100+1, 100))</f>
        <v/>
      </c>
      <c r="AY295" t="str">
        <f>TRIM(MID(SUBSTITUTE($G295, ",", REPT(" ", 100)), (COLUMNS($AJ$2:AY295)-1)*100+1, 100))</f>
        <v/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</row>
    <row r="296" spans="1:55" x14ac:dyDescent="0.5">
      <c r="A296" t="s">
        <v>432</v>
      </c>
      <c r="B296" s="71">
        <v>46317</v>
      </c>
      <c r="C296" s="2"/>
      <c r="D296" s="241"/>
      <c r="E296" s="268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Q296" t="str">
        <f>TRIM(MID(SUBSTITUTE($G296, ",", REPT(" ", 100)), (COLUMNS($AJ$2:AQ296)-1)*100+1, 100))</f>
        <v/>
      </c>
      <c r="AR296" t="str">
        <f>TRIM(MID(SUBSTITUTE($G296, ",", REPT(" ", 100)), (COLUMNS($AJ$2:AR296)-1)*100+1, 100))</f>
        <v/>
      </c>
      <c r="AS296" t="str">
        <f>TRIM(MID(SUBSTITUTE($G296, ",", REPT(" ", 100)), (COLUMNS($AJ$2:AS296)-1)*100+1, 100))</f>
        <v/>
      </c>
      <c r="AT296" t="str">
        <f>TRIM(MID(SUBSTITUTE($G296, ",", REPT(" ", 100)), (COLUMNS($AJ$2:AT296)-1)*100+1, 100))</f>
        <v/>
      </c>
      <c r="AU296" t="str">
        <f>TRIM(MID(SUBSTITUTE($G296, ",", REPT(" ", 100)), (COLUMNS($AJ$2:AU296)-1)*100+1, 100))</f>
        <v/>
      </c>
      <c r="AV296" t="str">
        <f>TRIM(MID(SUBSTITUTE($G296, ",", REPT(" ", 100)), (COLUMNS($AJ$2:AV296)-1)*100+1, 100))</f>
        <v/>
      </c>
      <c r="AW296" t="str">
        <f>TRIM(MID(SUBSTITUTE($G296, ",", REPT(" ", 100)), (COLUMNS($AJ$2:AW296)-1)*100+1, 100))</f>
        <v/>
      </c>
      <c r="AX296" t="str">
        <f>TRIM(MID(SUBSTITUTE($G296, ",", REPT(" ", 100)), (COLUMNS($AJ$2:AX296)-1)*100+1, 100))</f>
        <v/>
      </c>
      <c r="AY296" t="str">
        <f>TRIM(MID(SUBSTITUTE($G296, ",", REPT(" ", 100)), (COLUMNS($AJ$2:AY296)-1)*100+1, 100))</f>
        <v/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</row>
    <row r="297" spans="1:55" ht="14.7" thickBot="1" x14ac:dyDescent="0.55000000000000004">
      <c r="A297" t="s">
        <v>433</v>
      </c>
      <c r="B297" s="53">
        <v>46318</v>
      </c>
      <c r="C297" s="2"/>
      <c r="D297" s="241"/>
      <c r="E297" s="268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Q297" t="str">
        <f>TRIM(MID(SUBSTITUTE($G297, ",", REPT(" ", 100)), (COLUMNS($AJ$2:AQ297)-1)*100+1, 100))</f>
        <v/>
      </c>
      <c r="AR297" t="str">
        <f>TRIM(MID(SUBSTITUTE($G297, ",", REPT(" ", 100)), (COLUMNS($AJ$2:AR297)-1)*100+1, 100))</f>
        <v/>
      </c>
      <c r="AS297" t="str">
        <f>TRIM(MID(SUBSTITUTE($G297, ",", REPT(" ", 100)), (COLUMNS($AJ$2:AS297)-1)*100+1, 100))</f>
        <v/>
      </c>
      <c r="AT297" t="str">
        <f>TRIM(MID(SUBSTITUTE($G297, ",", REPT(" ", 100)), (COLUMNS($AJ$2:AT297)-1)*100+1, 100))</f>
        <v/>
      </c>
      <c r="AU297" t="str">
        <f>TRIM(MID(SUBSTITUTE($G297, ",", REPT(" ", 100)), (COLUMNS($AJ$2:AU297)-1)*100+1, 100))</f>
        <v/>
      </c>
      <c r="AV297" t="str">
        <f>TRIM(MID(SUBSTITUTE($G297, ",", REPT(" ", 100)), (COLUMNS($AJ$2:AV297)-1)*100+1, 100))</f>
        <v/>
      </c>
      <c r="AW297" t="str">
        <f>TRIM(MID(SUBSTITUTE($G297, ",", REPT(" ", 100)), (COLUMNS($AJ$2:AW297)-1)*100+1, 100))</f>
        <v/>
      </c>
      <c r="AX297" t="str">
        <f>TRIM(MID(SUBSTITUTE($G297, ",", REPT(" ", 100)), (COLUMNS($AJ$2:AX297)-1)*100+1, 100))</f>
        <v/>
      </c>
      <c r="AY297" t="str">
        <f>TRIM(MID(SUBSTITUTE($G297, ",", REPT(" ", 100)), (COLUMNS($AJ$2:AY297)-1)*100+1, 100))</f>
        <v/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</row>
    <row r="298" spans="1:55" x14ac:dyDescent="0.5">
      <c r="A298" t="s">
        <v>434</v>
      </c>
      <c r="B298" s="71">
        <v>46319</v>
      </c>
      <c r="C298" s="2"/>
      <c r="D298" s="241"/>
      <c r="E298" s="268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Q298" t="str">
        <f>TRIM(MID(SUBSTITUTE($G298, ",", REPT(" ", 100)), (COLUMNS($AJ$2:AQ298)-1)*100+1, 100))</f>
        <v/>
      </c>
      <c r="AR298" t="str">
        <f>TRIM(MID(SUBSTITUTE($G298, ",", REPT(" ", 100)), (COLUMNS($AJ$2:AR298)-1)*100+1, 100))</f>
        <v/>
      </c>
      <c r="AS298" t="str">
        <f>TRIM(MID(SUBSTITUTE($G298, ",", REPT(" ", 100)), (COLUMNS($AJ$2:AS298)-1)*100+1, 100))</f>
        <v/>
      </c>
      <c r="AT298" t="str">
        <f>TRIM(MID(SUBSTITUTE($G298, ",", REPT(" ", 100)), (COLUMNS($AJ$2:AT298)-1)*100+1, 100))</f>
        <v/>
      </c>
      <c r="AU298" t="str">
        <f>TRIM(MID(SUBSTITUTE($G298, ",", REPT(" ", 100)), (COLUMNS($AJ$2:AU298)-1)*100+1, 100))</f>
        <v/>
      </c>
      <c r="AV298" t="str">
        <f>TRIM(MID(SUBSTITUTE($G298, ",", REPT(" ", 100)), (COLUMNS($AJ$2:AV298)-1)*100+1, 100))</f>
        <v/>
      </c>
      <c r="AW298" t="str">
        <f>TRIM(MID(SUBSTITUTE($G298, ",", REPT(" ", 100)), (COLUMNS($AJ$2:AW298)-1)*100+1, 100))</f>
        <v/>
      </c>
      <c r="AX298" t="str">
        <f>TRIM(MID(SUBSTITUTE($G298, ",", REPT(" ", 100)), (COLUMNS($AJ$2:AX298)-1)*100+1, 100))</f>
        <v/>
      </c>
      <c r="AY298" t="str">
        <f>TRIM(MID(SUBSTITUTE($G298, ",", REPT(" ", 100)), (COLUMNS($AJ$2:AY298)-1)*100+1, 100))</f>
        <v/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</row>
    <row r="299" spans="1:55" ht="14.7" thickBot="1" x14ac:dyDescent="0.55000000000000004">
      <c r="A299" t="s">
        <v>435</v>
      </c>
      <c r="B299" s="53">
        <v>46320</v>
      </c>
      <c r="C299" s="2"/>
      <c r="D299" s="241"/>
      <c r="E299" s="268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Q299" t="str">
        <f>TRIM(MID(SUBSTITUTE($G299, ",", REPT(" ", 100)), (COLUMNS($AJ$2:AQ299)-1)*100+1, 100))</f>
        <v/>
      </c>
      <c r="AR299" t="str">
        <f>TRIM(MID(SUBSTITUTE($G299, ",", REPT(" ", 100)), (COLUMNS($AJ$2:AR299)-1)*100+1, 100))</f>
        <v/>
      </c>
      <c r="AS299" t="str">
        <f>TRIM(MID(SUBSTITUTE($G299, ",", REPT(" ", 100)), (COLUMNS($AJ$2:AS299)-1)*100+1, 100))</f>
        <v/>
      </c>
      <c r="AT299" t="str">
        <f>TRIM(MID(SUBSTITUTE($G299, ",", REPT(" ", 100)), (COLUMNS($AJ$2:AT299)-1)*100+1, 100))</f>
        <v/>
      </c>
      <c r="AU299" t="str">
        <f>TRIM(MID(SUBSTITUTE($G299, ",", REPT(" ", 100)), (COLUMNS($AJ$2:AU299)-1)*100+1, 100))</f>
        <v/>
      </c>
      <c r="AV299" t="str">
        <f>TRIM(MID(SUBSTITUTE($G299, ",", REPT(" ", 100)), (COLUMNS($AJ$2:AV299)-1)*100+1, 100))</f>
        <v/>
      </c>
      <c r="AW299" t="str">
        <f>TRIM(MID(SUBSTITUTE($G299, ",", REPT(" ", 100)), (COLUMNS($AJ$2:AW299)-1)*100+1, 100))</f>
        <v/>
      </c>
      <c r="AX299" t="str">
        <f>TRIM(MID(SUBSTITUTE($G299, ",", REPT(" ", 100)), (COLUMNS($AJ$2:AX299)-1)*100+1, 100))</f>
        <v/>
      </c>
      <c r="AY299" t="str">
        <f>TRIM(MID(SUBSTITUTE($G299, ",", REPT(" ", 100)), (COLUMNS($AJ$2:AY299)-1)*100+1, 100))</f>
        <v/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</row>
    <row r="300" spans="1:55" x14ac:dyDescent="0.5">
      <c r="A300" t="s">
        <v>436</v>
      </c>
      <c r="B300" s="71">
        <v>46321</v>
      </c>
      <c r="C300" s="2"/>
      <c r="D300" s="241"/>
      <c r="E300" s="268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Q300" t="str">
        <f>TRIM(MID(SUBSTITUTE($G300, ",", REPT(" ", 100)), (COLUMNS($AJ$2:AQ300)-1)*100+1, 100))</f>
        <v/>
      </c>
      <c r="AR300" t="str">
        <f>TRIM(MID(SUBSTITUTE($G300, ",", REPT(" ", 100)), (COLUMNS($AJ$2:AR300)-1)*100+1, 100))</f>
        <v/>
      </c>
      <c r="AS300" t="str">
        <f>TRIM(MID(SUBSTITUTE($G300, ",", REPT(" ", 100)), (COLUMNS($AJ$2:AS300)-1)*100+1, 100))</f>
        <v/>
      </c>
      <c r="AT300" t="str">
        <f>TRIM(MID(SUBSTITUTE($G300, ",", REPT(" ", 100)), (COLUMNS($AJ$2:AT300)-1)*100+1, 100))</f>
        <v/>
      </c>
      <c r="AU300" t="str">
        <f>TRIM(MID(SUBSTITUTE($G300, ",", REPT(" ", 100)), (COLUMNS($AJ$2:AU300)-1)*100+1, 100))</f>
        <v/>
      </c>
      <c r="AV300" t="str">
        <f>TRIM(MID(SUBSTITUTE($G300, ",", REPT(" ", 100)), (COLUMNS($AJ$2:AV300)-1)*100+1, 100))</f>
        <v/>
      </c>
      <c r="AW300" t="str">
        <f>TRIM(MID(SUBSTITUTE($G300, ",", REPT(" ", 100)), (COLUMNS($AJ$2:AW300)-1)*100+1, 100))</f>
        <v/>
      </c>
      <c r="AX300" t="str">
        <f>TRIM(MID(SUBSTITUTE($G300, ",", REPT(" ", 100)), (COLUMNS($AJ$2:AX300)-1)*100+1, 100))</f>
        <v/>
      </c>
      <c r="AY300" t="str">
        <f>TRIM(MID(SUBSTITUTE($G300, ",", REPT(" ", 100)), (COLUMNS($AJ$2:AY300)-1)*100+1, 100))</f>
        <v/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</row>
    <row r="301" spans="1:55" ht="14.7" thickBot="1" x14ac:dyDescent="0.55000000000000004">
      <c r="A301" t="s">
        <v>437</v>
      </c>
      <c r="B301" s="53">
        <v>46322</v>
      </c>
      <c r="C301" s="2"/>
      <c r="D301" s="241"/>
      <c r="E301" s="268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Q301" t="str">
        <f>TRIM(MID(SUBSTITUTE($G301, ",", REPT(" ", 100)), (COLUMNS($AJ$2:AQ301)-1)*100+1, 100))</f>
        <v/>
      </c>
      <c r="AR301" t="str">
        <f>TRIM(MID(SUBSTITUTE($G301, ",", REPT(" ", 100)), (COLUMNS($AJ$2:AR301)-1)*100+1, 100))</f>
        <v/>
      </c>
      <c r="AS301" t="str">
        <f>TRIM(MID(SUBSTITUTE($G301, ",", REPT(" ", 100)), (COLUMNS($AJ$2:AS301)-1)*100+1, 100))</f>
        <v/>
      </c>
      <c r="AT301" t="str">
        <f>TRIM(MID(SUBSTITUTE($G301, ",", REPT(" ", 100)), (COLUMNS($AJ$2:AT301)-1)*100+1, 100))</f>
        <v/>
      </c>
      <c r="AU301" t="str">
        <f>TRIM(MID(SUBSTITUTE($G301, ",", REPT(" ", 100)), (COLUMNS($AJ$2:AU301)-1)*100+1, 100))</f>
        <v/>
      </c>
      <c r="AV301" t="str">
        <f>TRIM(MID(SUBSTITUTE($G301, ",", REPT(" ", 100)), (COLUMNS($AJ$2:AV301)-1)*100+1, 100))</f>
        <v/>
      </c>
      <c r="AW301" t="str">
        <f>TRIM(MID(SUBSTITUTE($G301, ",", REPT(" ", 100)), (COLUMNS($AJ$2:AW301)-1)*100+1, 100))</f>
        <v/>
      </c>
      <c r="AX301" t="str">
        <f>TRIM(MID(SUBSTITUTE($G301, ",", REPT(" ", 100)), (COLUMNS($AJ$2:AX301)-1)*100+1, 100))</f>
        <v/>
      </c>
      <c r="AY301" t="str">
        <f>TRIM(MID(SUBSTITUTE($G301, ",", REPT(" ", 100)), (COLUMNS($AJ$2:AY301)-1)*100+1, 100))</f>
        <v/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</row>
    <row r="302" spans="1:55" x14ac:dyDescent="0.5">
      <c r="A302" t="s">
        <v>438</v>
      </c>
      <c r="B302" s="71">
        <v>46323</v>
      </c>
      <c r="C302" s="2"/>
      <c r="D302" s="241"/>
      <c r="E302" s="268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Q302" t="str">
        <f>TRIM(MID(SUBSTITUTE($G302, ",", REPT(" ", 100)), (COLUMNS($AJ$2:AQ302)-1)*100+1, 100))</f>
        <v/>
      </c>
      <c r="AR302" t="str">
        <f>TRIM(MID(SUBSTITUTE($G302, ",", REPT(" ", 100)), (COLUMNS($AJ$2:AR302)-1)*100+1, 100))</f>
        <v/>
      </c>
      <c r="AS302" t="str">
        <f>TRIM(MID(SUBSTITUTE($G302, ",", REPT(" ", 100)), (COLUMNS($AJ$2:AS302)-1)*100+1, 100))</f>
        <v/>
      </c>
      <c r="AT302" t="str">
        <f>TRIM(MID(SUBSTITUTE($G302, ",", REPT(" ", 100)), (COLUMNS($AJ$2:AT302)-1)*100+1, 100))</f>
        <v/>
      </c>
      <c r="AU302" t="str">
        <f>TRIM(MID(SUBSTITUTE($G302, ",", REPT(" ", 100)), (COLUMNS($AJ$2:AU302)-1)*100+1, 100))</f>
        <v/>
      </c>
      <c r="AV302" t="str">
        <f>TRIM(MID(SUBSTITUTE($G302, ",", REPT(" ", 100)), (COLUMNS($AJ$2:AV302)-1)*100+1, 100))</f>
        <v/>
      </c>
      <c r="AW302" t="str">
        <f>TRIM(MID(SUBSTITUTE($G302, ",", REPT(" ", 100)), (COLUMNS($AJ$2:AW302)-1)*100+1, 100))</f>
        <v/>
      </c>
      <c r="AX302" t="str">
        <f>TRIM(MID(SUBSTITUTE($G302, ",", REPT(" ", 100)), (COLUMNS($AJ$2:AX302)-1)*100+1, 100))</f>
        <v/>
      </c>
      <c r="AY302" t="str">
        <f>TRIM(MID(SUBSTITUTE($G302, ",", REPT(" ", 100)), (COLUMNS($AJ$2:AY302)-1)*100+1, 100))</f>
        <v/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</row>
    <row r="303" spans="1:55" ht="14.7" thickBot="1" x14ac:dyDescent="0.55000000000000004">
      <c r="A303" t="s">
        <v>432</v>
      </c>
      <c r="B303" s="53">
        <v>46324</v>
      </c>
      <c r="C303" s="2"/>
      <c r="D303" s="241"/>
      <c r="E303" s="268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Q303" t="str">
        <f>TRIM(MID(SUBSTITUTE($G303, ",", REPT(" ", 100)), (COLUMNS($AJ$2:AQ303)-1)*100+1, 100))</f>
        <v/>
      </c>
      <c r="AR303" t="str">
        <f>TRIM(MID(SUBSTITUTE($G303, ",", REPT(" ", 100)), (COLUMNS($AJ$2:AR303)-1)*100+1, 100))</f>
        <v/>
      </c>
      <c r="AS303" t="str">
        <f>TRIM(MID(SUBSTITUTE($G303, ",", REPT(" ", 100)), (COLUMNS($AJ$2:AS303)-1)*100+1, 100))</f>
        <v/>
      </c>
      <c r="AT303" t="str">
        <f>TRIM(MID(SUBSTITUTE($G303, ",", REPT(" ", 100)), (COLUMNS($AJ$2:AT303)-1)*100+1, 100))</f>
        <v/>
      </c>
      <c r="AU303" t="str">
        <f>TRIM(MID(SUBSTITUTE($G303, ",", REPT(" ", 100)), (COLUMNS($AJ$2:AU303)-1)*100+1, 100))</f>
        <v/>
      </c>
      <c r="AV303" t="str">
        <f>TRIM(MID(SUBSTITUTE($G303, ",", REPT(" ", 100)), (COLUMNS($AJ$2:AV303)-1)*100+1, 100))</f>
        <v/>
      </c>
      <c r="AW303" t="str">
        <f>TRIM(MID(SUBSTITUTE($G303, ",", REPT(" ", 100)), (COLUMNS($AJ$2:AW303)-1)*100+1, 100))</f>
        <v/>
      </c>
      <c r="AX303" t="str">
        <f>TRIM(MID(SUBSTITUTE($G303, ",", REPT(" ", 100)), (COLUMNS($AJ$2:AX303)-1)*100+1, 100))</f>
        <v/>
      </c>
      <c r="AY303" t="str">
        <f>TRIM(MID(SUBSTITUTE($G303, ",", REPT(" ", 100)), (COLUMNS($AJ$2:AY303)-1)*100+1, 100))</f>
        <v/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</row>
    <row r="304" spans="1:55" x14ac:dyDescent="0.5">
      <c r="A304" t="s">
        <v>433</v>
      </c>
      <c r="B304" s="71">
        <v>46325</v>
      </c>
      <c r="C304" s="2"/>
      <c r="D304" s="241"/>
      <c r="E304" s="268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Q304" t="str">
        <f>TRIM(MID(SUBSTITUTE($G304, ",", REPT(" ", 100)), (COLUMNS($AJ$2:AQ304)-1)*100+1, 100))</f>
        <v/>
      </c>
      <c r="AR304" t="str">
        <f>TRIM(MID(SUBSTITUTE($G304, ",", REPT(" ", 100)), (COLUMNS($AJ$2:AR304)-1)*100+1, 100))</f>
        <v/>
      </c>
      <c r="AS304" t="str">
        <f>TRIM(MID(SUBSTITUTE($G304, ",", REPT(" ", 100)), (COLUMNS($AJ$2:AS304)-1)*100+1, 100))</f>
        <v/>
      </c>
      <c r="AT304" t="str">
        <f>TRIM(MID(SUBSTITUTE($G304, ",", REPT(" ", 100)), (COLUMNS($AJ$2:AT304)-1)*100+1, 100))</f>
        <v/>
      </c>
      <c r="AU304" t="str">
        <f>TRIM(MID(SUBSTITUTE($G304, ",", REPT(" ", 100)), (COLUMNS($AJ$2:AU304)-1)*100+1, 100))</f>
        <v/>
      </c>
      <c r="AV304" t="str">
        <f>TRIM(MID(SUBSTITUTE($G304, ",", REPT(" ", 100)), (COLUMNS($AJ$2:AV304)-1)*100+1, 100))</f>
        <v/>
      </c>
      <c r="AW304" t="str">
        <f>TRIM(MID(SUBSTITUTE($G304, ",", REPT(" ", 100)), (COLUMNS($AJ$2:AW304)-1)*100+1, 100))</f>
        <v/>
      </c>
      <c r="AX304" t="str">
        <f>TRIM(MID(SUBSTITUTE($G304, ",", REPT(" ", 100)), (COLUMNS($AJ$2:AX304)-1)*100+1, 100))</f>
        <v/>
      </c>
      <c r="AY304" t="str">
        <f>TRIM(MID(SUBSTITUTE($G304, ",", REPT(" ", 100)), (COLUMNS($AJ$2:AY304)-1)*100+1, 100))</f>
        <v/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</row>
    <row r="305" spans="1:55" ht="14.7" thickBot="1" x14ac:dyDescent="0.55000000000000004">
      <c r="A305" t="s">
        <v>434</v>
      </c>
      <c r="B305" s="53">
        <v>46326</v>
      </c>
      <c r="C305" s="2"/>
      <c r="D305" s="241"/>
      <c r="E305" s="268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Q305" t="str">
        <f>TRIM(MID(SUBSTITUTE($G305, ",", REPT(" ", 100)), (COLUMNS($AJ$2:AQ305)-1)*100+1, 100))</f>
        <v/>
      </c>
      <c r="AR305" t="str">
        <f>TRIM(MID(SUBSTITUTE($G305, ",", REPT(" ", 100)), (COLUMNS($AJ$2:AR305)-1)*100+1, 100))</f>
        <v/>
      </c>
      <c r="AS305" t="str">
        <f>TRIM(MID(SUBSTITUTE($G305, ",", REPT(" ", 100)), (COLUMNS($AJ$2:AS305)-1)*100+1, 100))</f>
        <v/>
      </c>
      <c r="AT305" t="str">
        <f>TRIM(MID(SUBSTITUTE($G305, ",", REPT(" ", 100)), (COLUMNS($AJ$2:AT305)-1)*100+1, 100))</f>
        <v/>
      </c>
      <c r="AU305" t="str">
        <f>TRIM(MID(SUBSTITUTE($G305, ",", REPT(" ", 100)), (COLUMNS($AJ$2:AU305)-1)*100+1, 100))</f>
        <v/>
      </c>
      <c r="AV305" t="str">
        <f>TRIM(MID(SUBSTITUTE($G305, ",", REPT(" ", 100)), (COLUMNS($AJ$2:AV305)-1)*100+1, 100))</f>
        <v/>
      </c>
      <c r="AW305" t="str">
        <f>TRIM(MID(SUBSTITUTE($G305, ",", REPT(" ", 100)), (COLUMNS($AJ$2:AW305)-1)*100+1, 100))</f>
        <v/>
      </c>
      <c r="AX305" t="str">
        <f>TRIM(MID(SUBSTITUTE($G305, ",", REPT(" ", 100)), (COLUMNS($AJ$2:AX305)-1)*100+1, 100))</f>
        <v/>
      </c>
      <c r="AY305" t="str">
        <f>TRIM(MID(SUBSTITUTE($G305, ",", REPT(" ", 100)), (COLUMNS($AJ$2:AY305)-1)*100+1, 100))</f>
        <v/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</row>
    <row r="306" spans="1:55" x14ac:dyDescent="0.5">
      <c r="A306" t="s">
        <v>435</v>
      </c>
      <c r="B306" s="71">
        <v>46327</v>
      </c>
      <c r="C306" s="2"/>
      <c r="D306" s="241"/>
      <c r="E306" s="268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</row>
    <row r="307" spans="1:55" ht="14.7" thickBot="1" x14ac:dyDescent="0.55000000000000004">
      <c r="A307" t="s">
        <v>436</v>
      </c>
      <c r="B307" s="53">
        <v>46328</v>
      </c>
      <c r="C307" s="2"/>
      <c r="D307" s="241"/>
      <c r="E307" s="268"/>
      <c r="H307" s="269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</row>
    <row r="308" spans="1:55" x14ac:dyDescent="0.5">
      <c r="A308" t="s">
        <v>437</v>
      </c>
      <c r="B308" s="71">
        <v>46329</v>
      </c>
      <c r="C308" s="2"/>
      <c r="D308" s="241"/>
      <c r="E308" s="268"/>
      <c r="H308" s="269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</row>
    <row r="309" spans="1:55" ht="14.7" thickBot="1" x14ac:dyDescent="0.55000000000000004">
      <c r="A309" t="s">
        <v>438</v>
      </c>
      <c r="B309" s="53">
        <v>46330</v>
      </c>
      <c r="C309" s="2"/>
      <c r="D309" s="241"/>
      <c r="E309" s="268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</row>
    <row r="310" spans="1:55" x14ac:dyDescent="0.5">
      <c r="A310" t="s">
        <v>432</v>
      </c>
      <c r="B310" s="71">
        <v>46331</v>
      </c>
      <c r="C310" s="2"/>
      <c r="D310" s="241"/>
      <c r="E310" s="268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</row>
    <row r="311" spans="1:55" ht="14.7" thickBot="1" x14ac:dyDescent="0.55000000000000004">
      <c r="A311" t="s">
        <v>433</v>
      </c>
      <c r="B311" s="53">
        <v>46332</v>
      </c>
      <c r="C311" s="2"/>
      <c r="D311" s="241"/>
      <c r="E311" s="268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</row>
    <row r="312" spans="1:55" x14ac:dyDescent="0.5">
      <c r="A312" t="s">
        <v>434</v>
      </c>
      <c r="B312" s="71">
        <v>46333</v>
      </c>
      <c r="C312" s="2"/>
      <c r="D312" s="241"/>
      <c r="E312" s="268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</row>
    <row r="313" spans="1:55" ht="14.7" thickBot="1" x14ac:dyDescent="0.55000000000000004">
      <c r="A313" t="s">
        <v>435</v>
      </c>
      <c r="B313" s="53">
        <v>46334</v>
      </c>
      <c r="C313" s="2"/>
      <c r="D313" s="241"/>
      <c r="E313" s="268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</row>
    <row r="314" spans="1:55" x14ac:dyDescent="0.5">
      <c r="A314" t="s">
        <v>436</v>
      </c>
      <c r="B314" s="71">
        <v>46335</v>
      </c>
      <c r="C314" s="2"/>
      <c r="D314" s="241"/>
      <c r="E314" s="268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</row>
    <row r="315" spans="1:55" ht="14.7" thickBot="1" x14ac:dyDescent="0.55000000000000004">
      <c r="A315" t="s">
        <v>437</v>
      </c>
      <c r="B315" s="53">
        <v>46336</v>
      </c>
      <c r="C315" s="2"/>
      <c r="D315" s="241"/>
      <c r="E315" s="268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</row>
    <row r="316" spans="1:55" x14ac:dyDescent="0.5">
      <c r="A316" t="s">
        <v>438</v>
      </c>
      <c r="B316" s="71">
        <v>46337</v>
      </c>
      <c r="C316" s="2"/>
      <c r="D316" s="241"/>
      <c r="E316" s="268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</row>
    <row r="317" spans="1:55" ht="14.7" thickBot="1" x14ac:dyDescent="0.55000000000000004">
      <c r="A317" t="s">
        <v>432</v>
      </c>
      <c r="B317" s="53">
        <v>46338</v>
      </c>
      <c r="C317" s="2"/>
      <c r="D317" s="241"/>
      <c r="E317" s="268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</row>
    <row r="318" spans="1:55" x14ac:dyDescent="0.5">
      <c r="A318" t="s">
        <v>433</v>
      </c>
      <c r="B318" s="71">
        <v>46339</v>
      </c>
      <c r="C318" s="2"/>
      <c r="D318" s="241"/>
      <c r="E318" s="268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</row>
    <row r="319" spans="1:55" ht="14.7" thickBot="1" x14ac:dyDescent="0.55000000000000004">
      <c r="A319" t="s">
        <v>434</v>
      </c>
      <c r="B319" s="53">
        <v>46340</v>
      </c>
      <c r="C319" s="2"/>
      <c r="D319" s="241"/>
      <c r="E319" s="268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</row>
    <row r="320" spans="1:55" x14ac:dyDescent="0.5">
      <c r="A320" t="s">
        <v>435</v>
      </c>
      <c r="B320" s="71">
        <v>46341</v>
      </c>
      <c r="C320" s="2"/>
      <c r="D320" s="241"/>
      <c r="E320" s="268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</row>
    <row r="321" spans="1:55" ht="14.7" thickBot="1" x14ac:dyDescent="0.55000000000000004">
      <c r="A321" t="s">
        <v>436</v>
      </c>
      <c r="B321" s="53">
        <v>46342</v>
      </c>
      <c r="C321" s="2"/>
      <c r="D321" s="241"/>
      <c r="E321" s="268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</row>
    <row r="322" spans="1:55" x14ac:dyDescent="0.5">
      <c r="A322" t="s">
        <v>437</v>
      </c>
      <c r="B322" s="71">
        <v>46343</v>
      </c>
      <c r="C322" s="2"/>
      <c r="D322" s="241"/>
      <c r="E322" s="268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</row>
    <row r="323" spans="1:55" ht="14.7" thickBot="1" x14ac:dyDescent="0.55000000000000004">
      <c r="A323" t="s">
        <v>438</v>
      </c>
      <c r="B323" s="53">
        <v>46344</v>
      </c>
      <c r="C323" s="2"/>
      <c r="D323" s="241"/>
      <c r="E323" s="268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</row>
    <row r="324" spans="1:55" x14ac:dyDescent="0.5">
      <c r="A324" t="s">
        <v>432</v>
      </c>
      <c r="B324" s="71">
        <v>46345</v>
      </c>
      <c r="C324" s="2"/>
      <c r="D324" s="241"/>
      <c r="E324" s="268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</row>
    <row r="325" spans="1:55" ht="14.7" thickBot="1" x14ac:dyDescent="0.55000000000000004">
      <c r="A325" t="s">
        <v>433</v>
      </c>
      <c r="B325" s="53">
        <v>46346</v>
      </c>
      <c r="C325" s="2"/>
      <c r="D325" s="241"/>
      <c r="E325" s="268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</row>
    <row r="326" spans="1:55" x14ac:dyDescent="0.5">
      <c r="A326" t="s">
        <v>434</v>
      </c>
      <c r="B326" s="71">
        <v>46347</v>
      </c>
      <c r="C326" s="2"/>
      <c r="D326" s="241"/>
      <c r="E326" s="268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</row>
    <row r="327" spans="1:55" ht="14.7" thickBot="1" x14ac:dyDescent="0.55000000000000004">
      <c r="A327" t="s">
        <v>435</v>
      </c>
      <c r="B327" s="53">
        <v>46348</v>
      </c>
      <c r="C327" s="2"/>
      <c r="D327" s="241"/>
      <c r="E327" s="268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</row>
    <row r="328" spans="1:55" x14ac:dyDescent="0.5">
      <c r="A328" t="s">
        <v>436</v>
      </c>
      <c r="B328" s="71">
        <v>46349</v>
      </c>
      <c r="C328" s="2"/>
      <c r="D328" s="241"/>
      <c r="E328" s="268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</row>
    <row r="329" spans="1:55" ht="14.7" thickBot="1" x14ac:dyDescent="0.55000000000000004">
      <c r="A329" t="s">
        <v>437</v>
      </c>
      <c r="B329" s="53">
        <v>46350</v>
      </c>
      <c r="C329" s="2"/>
      <c r="D329" s="241"/>
      <c r="E329" s="268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</row>
    <row r="330" spans="1:55" x14ac:dyDescent="0.5">
      <c r="A330" t="s">
        <v>438</v>
      </c>
      <c r="B330" s="71">
        <v>46351</v>
      </c>
      <c r="C330" s="2"/>
      <c r="D330" s="241"/>
      <c r="E330" s="268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</row>
    <row r="331" spans="1:55" ht="14.7" thickBot="1" x14ac:dyDescent="0.55000000000000004">
      <c r="A331" t="s">
        <v>432</v>
      </c>
      <c r="B331" s="53">
        <v>46352</v>
      </c>
      <c r="C331" s="2"/>
      <c r="D331" s="241"/>
      <c r="E331" s="268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</row>
    <row r="332" spans="1:55" x14ac:dyDescent="0.5">
      <c r="A332" t="s">
        <v>433</v>
      </c>
      <c r="B332" s="71">
        <v>46353</v>
      </c>
      <c r="C332" s="2"/>
      <c r="D332" s="241"/>
      <c r="E332" s="268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</row>
    <row r="333" spans="1:55" ht="14.7" thickBot="1" x14ac:dyDescent="0.55000000000000004">
      <c r="A333" t="s">
        <v>434</v>
      </c>
      <c r="B333" s="53">
        <v>46354</v>
      </c>
      <c r="C333" s="2"/>
      <c r="D333" s="241"/>
      <c r="E333" s="268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</row>
    <row r="334" spans="1:55" x14ac:dyDescent="0.5">
      <c r="A334" t="s">
        <v>435</v>
      </c>
      <c r="B334" s="71">
        <v>46355</v>
      </c>
      <c r="C334" s="2"/>
      <c r="D334" s="241"/>
      <c r="E334" s="268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</row>
    <row r="335" spans="1:55" ht="14.7" thickBot="1" x14ac:dyDescent="0.55000000000000004">
      <c r="A335" t="s">
        <v>436</v>
      </c>
      <c r="B335" s="53">
        <v>46356</v>
      </c>
      <c r="C335" s="2"/>
      <c r="D335" s="241"/>
      <c r="E335" s="268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</row>
    <row r="336" spans="1:55" x14ac:dyDescent="0.5">
      <c r="A336" t="s">
        <v>437</v>
      </c>
      <c r="B336" s="71">
        <v>46357</v>
      </c>
      <c r="C336" s="2"/>
      <c r="D336" s="241"/>
      <c r="E336" s="268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</row>
    <row r="337" spans="1:55" ht="14.7" thickBot="1" x14ac:dyDescent="0.55000000000000004">
      <c r="A337" t="s">
        <v>438</v>
      </c>
      <c r="B337" s="53">
        <v>46358</v>
      </c>
      <c r="C337" s="2"/>
      <c r="D337" s="241"/>
      <c r="E337" s="268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</row>
    <row r="338" spans="1:55" x14ac:dyDescent="0.5">
      <c r="A338" t="s">
        <v>432</v>
      </c>
      <c r="B338" s="71">
        <v>46359</v>
      </c>
      <c r="C338" s="2"/>
      <c r="D338" s="241"/>
      <c r="E338" s="268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</row>
    <row r="339" spans="1:55" ht="14.7" thickBot="1" x14ac:dyDescent="0.55000000000000004">
      <c r="A339" t="s">
        <v>433</v>
      </c>
      <c r="B339" s="53">
        <v>46360</v>
      </c>
      <c r="C339" s="2"/>
      <c r="D339" s="241"/>
      <c r="E339" s="268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</row>
    <row r="340" spans="1:55" x14ac:dyDescent="0.5">
      <c r="A340" t="s">
        <v>434</v>
      </c>
      <c r="B340" s="71">
        <v>46361</v>
      </c>
      <c r="C340" s="2"/>
      <c r="D340" s="241"/>
      <c r="E340" s="268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</row>
    <row r="341" spans="1:55" ht="14.7" thickBot="1" x14ac:dyDescent="0.55000000000000004">
      <c r="A341" t="s">
        <v>435</v>
      </c>
      <c r="B341" s="53">
        <v>46362</v>
      </c>
      <c r="C341" s="2"/>
      <c r="D341" s="241"/>
      <c r="E341" s="268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</row>
    <row r="342" spans="1:55" x14ac:dyDescent="0.5">
      <c r="A342" t="s">
        <v>436</v>
      </c>
      <c r="B342" s="71">
        <v>46363</v>
      </c>
      <c r="C342" s="2"/>
      <c r="D342" s="241"/>
      <c r="E342" s="268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</row>
    <row r="343" spans="1:55" ht="14.7" thickBot="1" x14ac:dyDescent="0.55000000000000004">
      <c r="A343" t="s">
        <v>437</v>
      </c>
      <c r="B343" s="53">
        <v>46364</v>
      </c>
      <c r="C343" s="2"/>
      <c r="D343" s="241"/>
      <c r="E343" s="268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</row>
    <row r="344" spans="1:55" x14ac:dyDescent="0.5">
      <c r="A344" t="s">
        <v>438</v>
      </c>
      <c r="B344" s="71">
        <v>46365</v>
      </c>
      <c r="C344" s="2"/>
      <c r="D344" s="241"/>
      <c r="E344" s="268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</row>
    <row r="345" spans="1:55" ht="14.7" thickBot="1" x14ac:dyDescent="0.55000000000000004">
      <c r="A345" t="s">
        <v>432</v>
      </c>
      <c r="B345" s="53">
        <v>46366</v>
      </c>
      <c r="C345" s="2"/>
      <c r="D345" s="241"/>
      <c r="E345" s="268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</row>
    <row r="346" spans="1:55" x14ac:dyDescent="0.5">
      <c r="A346" t="s">
        <v>433</v>
      </c>
      <c r="B346" s="71">
        <v>46367</v>
      </c>
      <c r="C346" s="2"/>
      <c r="D346" s="241"/>
      <c r="E346" s="268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</row>
    <row r="347" spans="1:55" ht="14.7" thickBot="1" x14ac:dyDescent="0.55000000000000004">
      <c r="A347" t="s">
        <v>434</v>
      </c>
      <c r="B347" s="53">
        <v>46368</v>
      </c>
      <c r="C347" s="2"/>
      <c r="D347" s="241"/>
      <c r="E347" s="268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</row>
    <row r="348" spans="1:55" x14ac:dyDescent="0.5">
      <c r="A348" t="s">
        <v>435</v>
      </c>
      <c r="B348" s="71">
        <v>46369</v>
      </c>
      <c r="C348" s="2"/>
      <c r="D348" s="241"/>
      <c r="E348" s="268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</row>
    <row r="349" spans="1:55" ht="14.7" thickBot="1" x14ac:dyDescent="0.55000000000000004">
      <c r="A349" t="s">
        <v>436</v>
      </c>
      <c r="B349" s="53">
        <v>46370</v>
      </c>
      <c r="C349" s="2"/>
      <c r="D349" s="241"/>
      <c r="E349" s="268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</row>
    <row r="350" spans="1:55" x14ac:dyDescent="0.5">
      <c r="A350" t="s">
        <v>437</v>
      </c>
      <c r="B350" s="71">
        <v>46371</v>
      </c>
      <c r="C350" s="2"/>
      <c r="D350" s="241"/>
      <c r="E350" s="268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</row>
    <row r="351" spans="1:55" ht="14.7" thickBot="1" x14ac:dyDescent="0.55000000000000004">
      <c r="A351" t="s">
        <v>438</v>
      </c>
      <c r="B351" s="53">
        <v>46372</v>
      </c>
      <c r="C351" s="2"/>
      <c r="D351" s="241"/>
      <c r="E351" s="268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</row>
    <row r="352" spans="1:55" x14ac:dyDescent="0.5">
      <c r="A352" t="s">
        <v>432</v>
      </c>
      <c r="B352" s="71">
        <v>46373</v>
      </c>
      <c r="C352" s="2"/>
      <c r="D352" s="241"/>
      <c r="E352" s="268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</row>
    <row r="353" spans="1:55" ht="14.7" thickBot="1" x14ac:dyDescent="0.55000000000000004">
      <c r="A353" t="s">
        <v>433</v>
      </c>
      <c r="B353" s="53">
        <v>46374</v>
      </c>
      <c r="C353" s="2"/>
      <c r="D353" s="241"/>
      <c r="E353" s="268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</row>
    <row r="354" spans="1:55" x14ac:dyDescent="0.5">
      <c r="A354" t="s">
        <v>434</v>
      </c>
      <c r="B354" s="71">
        <v>46375</v>
      </c>
      <c r="C354" s="2"/>
      <c r="D354" s="241"/>
      <c r="E354" s="268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</row>
    <row r="355" spans="1:55" ht="14.7" thickBot="1" x14ac:dyDescent="0.55000000000000004">
      <c r="A355" t="s">
        <v>435</v>
      </c>
      <c r="B355" s="53">
        <v>46376</v>
      </c>
      <c r="C355" s="2"/>
      <c r="D355" s="241"/>
      <c r="E355" s="268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</row>
    <row r="356" spans="1:55" x14ac:dyDescent="0.5">
      <c r="A356" t="s">
        <v>436</v>
      </c>
      <c r="B356" s="71">
        <v>46377</v>
      </c>
      <c r="C356" s="2"/>
      <c r="D356" s="241"/>
      <c r="E356" s="268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</row>
    <row r="357" spans="1:55" ht="14.7" thickBot="1" x14ac:dyDescent="0.55000000000000004">
      <c r="A357" t="s">
        <v>437</v>
      </c>
      <c r="B357" s="53">
        <v>46378</v>
      </c>
      <c r="C357" s="2"/>
      <c r="D357" s="241"/>
      <c r="E357" s="268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</row>
    <row r="358" spans="1:55" x14ac:dyDescent="0.5">
      <c r="A358" t="s">
        <v>438</v>
      </c>
      <c r="B358" s="71">
        <v>46379</v>
      </c>
      <c r="C358" s="2"/>
      <c r="D358" s="241"/>
      <c r="E358" s="268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</row>
    <row r="359" spans="1:55" ht="14.7" thickBot="1" x14ac:dyDescent="0.55000000000000004">
      <c r="A359" t="s">
        <v>432</v>
      </c>
      <c r="B359" s="53">
        <v>46380</v>
      </c>
      <c r="C359" s="2"/>
      <c r="D359" s="241"/>
      <c r="E359" s="268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</row>
    <row r="360" spans="1:55" x14ac:dyDescent="0.5">
      <c r="A360" t="s">
        <v>433</v>
      </c>
      <c r="B360" s="71">
        <v>46381</v>
      </c>
      <c r="C360" s="2"/>
      <c r="D360" s="241"/>
      <c r="E360" s="268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</row>
    <row r="361" spans="1:55" ht="14.7" thickBot="1" x14ac:dyDescent="0.55000000000000004">
      <c r="A361" t="s">
        <v>434</v>
      </c>
      <c r="B361" s="53">
        <v>46382</v>
      </c>
      <c r="C361" s="2"/>
      <c r="D361" s="241"/>
      <c r="E361" s="268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</row>
    <row r="362" spans="1:55" x14ac:dyDescent="0.5">
      <c r="A362" t="s">
        <v>435</v>
      </c>
      <c r="B362" s="71">
        <v>46383</v>
      </c>
      <c r="C362" s="2"/>
      <c r="D362" s="241"/>
      <c r="E362" s="268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</row>
    <row r="363" spans="1:55" ht="14.7" thickBot="1" x14ac:dyDescent="0.55000000000000004">
      <c r="A363" t="s">
        <v>436</v>
      </c>
      <c r="B363" s="53">
        <v>46384</v>
      </c>
      <c r="C363" s="2"/>
      <c r="D363" s="241"/>
      <c r="E363" s="268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</row>
    <row r="364" spans="1:55" x14ac:dyDescent="0.5">
      <c r="A364" t="s">
        <v>437</v>
      </c>
      <c r="B364" s="71">
        <v>46385</v>
      </c>
      <c r="C364" s="2"/>
      <c r="D364" s="241"/>
      <c r="E364" s="268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AY364" t="str">
        <f>TRIM(MID(SUBSTITUTE($G364, ",", REPT(" ", 100)), (COLUMNS($AJ$2:AY364)-1)*100+1, 100))</f>
        <v/>
      </c>
      <c r="AZ364" t="str">
        <f>TRIM(MID(SUBSTITUTE($G364, ",", REPT(" ", 100)), (COLUMNS($AJ$2:AZ364)-1)*100+1,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</row>
    <row r="365" spans="1:55" ht="14.7" thickBot="1" x14ac:dyDescent="0.55000000000000004">
      <c r="A365" t="s">
        <v>438</v>
      </c>
      <c r="B365" s="53">
        <v>46386</v>
      </c>
      <c r="C365" s="2"/>
      <c r="D365" s="241"/>
      <c r="E365" s="268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AY365" t="str">
        <f>TRIM(MID(SUBSTITUTE($G365, ",", REPT(" ", 100)), (COLUMNS($AJ$2:AY365)-1)*100+1, 100))</f>
        <v/>
      </c>
      <c r="AZ365" t="str">
        <f>TRIM(MID(SUBSTITUTE($G365, ",", REPT(" ", 100)), (COLUMNS($AJ$2:AZ365)-1)*100+1,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</row>
    <row r="366" spans="1:55" x14ac:dyDescent="0.5">
      <c r="A366" t="s">
        <v>432</v>
      </c>
      <c r="B366" s="71">
        <v>46387</v>
      </c>
      <c r="C366" s="2"/>
      <c r="D366" s="241"/>
      <c r="E366" s="268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AY366" t="str">
        <f>TRIM(MID(SUBSTITUTE($G366, ",", REPT(" ", 100)), (COLUMNS($AJ$2:AY366)-1)*100+1, 100))</f>
        <v/>
      </c>
      <c r="AZ366" t="str">
        <f>TRIM(MID(SUBSTITUTE($G366, ",", REPT(" ", 100)), (COLUMNS($AJ$2:AZ366)-1)*100+1,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</row>
    <row r="367" spans="1:55" x14ac:dyDescent="0.5">
      <c r="B367" s="49"/>
      <c r="C367" s="5"/>
      <c r="D367" s="50"/>
    </row>
  </sheetData>
  <mergeCells count="27"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  <mergeCell ref="V54:W54"/>
  </mergeCells>
  <phoneticPr fontId="1" type="noConversion"/>
  <conditionalFormatting sqref="C2:C36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 D33 D61 D9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9:W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9:X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9:Y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9:Y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opLeftCell="A84" zoomScale="57" zoomScaleNormal="130" workbookViewId="0">
      <selection activeCell="AF48" sqref="AF48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259" t="s">
        <v>175</v>
      </c>
      <c r="I1" s="260"/>
      <c r="J1" s="260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63">
        <f>AVERAGE(B2:B32)</f>
        <v>5</v>
      </c>
      <c r="D2" s="266">
        <f>AVERAGE(B2:B366)</f>
        <v>5.3276712328767104</v>
      </c>
      <c r="E2" s="58">
        <v>1</v>
      </c>
      <c r="F2" s="38" t="s">
        <v>194</v>
      </c>
      <c r="H2" s="261"/>
      <c r="I2" s="262"/>
      <c r="J2" s="262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64"/>
      <c r="D3" s="267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64"/>
      <c r="D4" s="267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64"/>
      <c r="D5" s="267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53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242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64"/>
      <c r="D6" s="267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53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242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64"/>
      <c r="D7" s="267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53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242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64"/>
      <c r="D8" s="267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53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243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64"/>
      <c r="D9" s="267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53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244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64"/>
      <c r="D10" s="267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53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242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64"/>
      <c r="D11" s="267"/>
      <c r="E11" s="58">
        <v>1</v>
      </c>
      <c r="F11" s="68" t="s">
        <v>176</v>
      </c>
      <c r="G11" s="74"/>
      <c r="H11" s="245" t="s">
        <v>6</v>
      </c>
      <c r="I11" s="246"/>
      <c r="J11" s="17">
        <f>SUM(J5:J10)</f>
        <v>365</v>
      </c>
      <c r="L11" s="157" t="s">
        <v>14</v>
      </c>
      <c r="M11" s="32">
        <v>5.3903225806451607</v>
      </c>
      <c r="N11" s="253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242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64"/>
      <c r="D12" s="267"/>
      <c r="E12" s="58">
        <v>1</v>
      </c>
      <c r="F12" s="69" t="s">
        <v>176</v>
      </c>
      <c r="L12" s="157" t="s">
        <v>15</v>
      </c>
      <c r="M12" s="32">
        <v>4.6545454545454543</v>
      </c>
      <c r="N12" s="253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243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64"/>
      <c r="D13" s="267"/>
      <c r="E13" s="58">
        <v>1</v>
      </c>
      <c r="F13" s="68" t="s">
        <v>176</v>
      </c>
      <c r="G13" s="74"/>
      <c r="H13" s="247" t="s">
        <v>174</v>
      </c>
      <c r="I13" s="248"/>
      <c r="J13" s="251">
        <f>J11/3.65</f>
        <v>100</v>
      </c>
      <c r="L13" s="157" t="s">
        <v>16</v>
      </c>
      <c r="M13" s="32">
        <f>C245</f>
        <v>5.8166666666666673</v>
      </c>
      <c r="N13" s="253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244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64"/>
      <c r="D14" s="267"/>
      <c r="E14" s="58">
        <v>0.8</v>
      </c>
      <c r="F14" s="69" t="s">
        <v>176</v>
      </c>
      <c r="H14" s="249"/>
      <c r="I14" s="250"/>
      <c r="J14" s="252"/>
      <c r="L14" s="157" t="s">
        <v>17</v>
      </c>
      <c r="M14" s="32">
        <f>C275</f>
        <v>5.629032258064516</v>
      </c>
      <c r="N14" s="253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242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64"/>
      <c r="D15" s="267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53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242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64"/>
      <c r="D16" s="267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54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243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64"/>
      <c r="D17" s="267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64"/>
      <c r="D18" s="267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64"/>
      <c r="D19" s="267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64"/>
      <c r="D20" s="267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64"/>
      <c r="D21" s="267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64"/>
      <c r="D22" s="267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64"/>
      <c r="D23" s="267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64"/>
      <c r="D24" s="267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64"/>
      <c r="D25" s="267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64"/>
      <c r="D26" s="267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64"/>
      <c r="D27" s="267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64"/>
      <c r="D28" s="267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64"/>
      <c r="D29" s="267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64"/>
      <c r="D30" s="267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64"/>
      <c r="D31" s="267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65"/>
      <c r="D32" s="267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70">
        <f>AVERAGE(B33:B60)</f>
        <v>4.7571428571428571</v>
      </c>
      <c r="D33" s="268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241"/>
      <c r="D34" s="268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241"/>
      <c r="D35" s="268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241"/>
      <c r="D36" s="268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241"/>
      <c r="D37" s="268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241"/>
      <c r="D38" s="268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241"/>
      <c r="D39" s="268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241"/>
      <c r="D40" s="268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241"/>
      <c r="D41" s="268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241"/>
      <c r="D42" s="268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241"/>
      <c r="D43" s="268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241"/>
      <c r="D44" s="268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241"/>
      <c r="D45" s="268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241"/>
      <c r="D46" s="268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241"/>
      <c r="D47" s="268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241"/>
      <c r="D48" s="268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241"/>
      <c r="D49" s="268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241"/>
      <c r="D50" s="268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241"/>
      <c r="D51" s="268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241"/>
      <c r="D52" s="268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241"/>
      <c r="D53" s="268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241"/>
      <c r="D54" s="268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241"/>
      <c r="D55" s="268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241"/>
      <c r="D56" s="268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241"/>
      <c r="D57" s="268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241"/>
      <c r="D58" s="268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241"/>
      <c r="D59" s="268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241"/>
      <c r="D60" s="268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241">
        <f>AVERAGE(B61:B91)</f>
        <v>5.1967741935483867</v>
      </c>
      <c r="D61" s="268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241"/>
      <c r="D62" s="268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241"/>
      <c r="D63" s="268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241"/>
      <c r="D64" s="268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241"/>
      <c r="D65" s="268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241"/>
      <c r="D66" s="268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241"/>
      <c r="D67" s="268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241"/>
      <c r="D68" s="268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241"/>
      <c r="D69" s="268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241"/>
      <c r="D70" s="268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241"/>
      <c r="D71" s="268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241"/>
      <c r="D72" s="268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241"/>
      <c r="D73" s="268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241"/>
      <c r="D74" s="268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241"/>
      <c r="D75" s="268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241"/>
      <c r="D76" s="268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241"/>
      <c r="D77" s="268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241"/>
      <c r="D78" s="268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241"/>
      <c r="D79" s="268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241"/>
      <c r="D80" s="268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241"/>
      <c r="D81" s="268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241"/>
      <c r="D82" s="268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241"/>
      <c r="D83" s="268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241"/>
      <c r="D84" s="268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241"/>
      <c r="D85" s="268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241"/>
      <c r="D86" s="268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241"/>
      <c r="D87" s="268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241"/>
      <c r="D88" s="268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241"/>
      <c r="D89" s="268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241"/>
      <c r="D90" s="268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241"/>
      <c r="D91" s="268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241">
        <f>AVERAGE(B92:B121)</f>
        <v>4.8866666666666676</v>
      </c>
      <c r="D92" s="268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241"/>
      <c r="D93" s="268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241"/>
      <c r="D94" s="268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241"/>
      <c r="D95" s="268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241"/>
      <c r="D96" s="268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241"/>
      <c r="D97" s="268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241"/>
      <c r="D98" s="268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241"/>
      <c r="D99" s="268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241"/>
      <c r="D100" s="268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241"/>
      <c r="D101" s="268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241"/>
      <c r="D102" s="268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241"/>
      <c r="D103" s="268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241"/>
      <c r="D104" s="268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241"/>
      <c r="D105" s="268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241"/>
      <c r="D106" s="268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241"/>
      <c r="D107" s="268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241"/>
      <c r="D108" s="268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241"/>
      <c r="D109" s="268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241"/>
      <c r="D110" s="268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241"/>
      <c r="D111" s="268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241"/>
      <c r="D112" s="268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241"/>
      <c r="D113" s="268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241"/>
      <c r="D114" s="268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241"/>
      <c r="D115" s="268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241"/>
      <c r="D116" s="268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241"/>
      <c r="D117" s="268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241"/>
      <c r="D118" s="268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241"/>
      <c r="D119" s="268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241"/>
      <c r="D120" s="268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241"/>
      <c r="D121" s="268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241">
        <f>AVERAGE(B122:B152)</f>
        <v>5.8967741935483877</v>
      </c>
      <c r="D122" s="268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241"/>
      <c r="D123" s="268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241"/>
      <c r="D124" s="268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241"/>
      <c r="D125" s="268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241"/>
      <c r="D126" s="268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241"/>
      <c r="D127" s="268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241"/>
      <c r="D128" s="268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241"/>
      <c r="D129" s="268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241"/>
      <c r="D130" s="268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241"/>
      <c r="D131" s="268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241"/>
      <c r="D132" s="268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241"/>
      <c r="D133" s="268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241"/>
      <c r="D134" s="268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241"/>
      <c r="D135" s="268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241"/>
      <c r="D136" s="268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241"/>
      <c r="D137" s="268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241"/>
      <c r="D138" s="268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241"/>
      <c r="D139" s="268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241"/>
      <c r="D140" s="268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241"/>
      <c r="D141" s="268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241"/>
      <c r="D142" s="268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241"/>
      <c r="D143" s="268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241"/>
      <c r="D144" s="268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241"/>
      <c r="D145" s="268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241"/>
      <c r="D146" s="268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241"/>
      <c r="D147" s="268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241"/>
      <c r="D148" s="268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241"/>
      <c r="D149" s="268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241"/>
      <c r="D150" s="268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241"/>
      <c r="D151" s="268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241"/>
      <c r="D152" s="268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241">
        <f>AVERAGE(B153:B182)</f>
        <v>4.8600000000000003</v>
      </c>
      <c r="D153" s="268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241"/>
      <c r="D154" s="268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241"/>
      <c r="D155" s="268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241"/>
      <c r="D156" s="268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241"/>
      <c r="D157" s="268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241"/>
      <c r="D158" s="268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241"/>
      <c r="D159" s="268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241"/>
      <c r="D160" s="268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241"/>
      <c r="D161" s="268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241"/>
      <c r="D162" s="268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241"/>
      <c r="D163" s="268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241"/>
      <c r="D164" s="268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241"/>
      <c r="D165" s="268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241"/>
      <c r="D166" s="268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241"/>
      <c r="D167" s="268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241"/>
      <c r="D168" s="268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241"/>
      <c r="D169" s="268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241"/>
      <c r="D170" s="268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241"/>
      <c r="D171" s="268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241"/>
      <c r="D172" s="268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241"/>
      <c r="D173" s="268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241"/>
      <c r="D174" s="268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241"/>
      <c r="D175" s="268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241"/>
      <c r="D176" s="268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241"/>
      <c r="D177" s="268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241"/>
      <c r="D178" s="268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241"/>
      <c r="D179" s="268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241"/>
      <c r="D180" s="268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241"/>
      <c r="D181" s="268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241"/>
      <c r="D182" s="268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241">
        <f>AVERAGE(B183:B213)</f>
        <v>5.3903225806451607</v>
      </c>
      <c r="D183" s="268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241"/>
      <c r="D184" s="268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241"/>
      <c r="D185" s="268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241"/>
      <c r="D186" s="268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241"/>
      <c r="D187" s="268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241"/>
      <c r="D188" s="268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241"/>
      <c r="D189" s="268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241"/>
      <c r="D190" s="268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241"/>
      <c r="D191" s="268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241"/>
      <c r="D192" s="268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241"/>
      <c r="D193" s="268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241"/>
      <c r="D194" s="268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241"/>
      <c r="D195" s="268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241"/>
      <c r="D196" s="268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241"/>
      <c r="D197" s="268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241"/>
      <c r="D198" s="268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241"/>
      <c r="D199" s="268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241"/>
      <c r="D200" s="268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241"/>
      <c r="D201" s="268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241"/>
      <c r="D202" s="268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241"/>
      <c r="D203" s="268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241"/>
      <c r="D204" s="268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241"/>
      <c r="D205" s="268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241"/>
      <c r="D206" s="268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241"/>
      <c r="D207" s="268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241"/>
      <c r="D208" s="268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241"/>
      <c r="D209" s="268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241"/>
      <c r="D210" s="268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241"/>
      <c r="D211" s="268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241"/>
      <c r="D212" s="268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241"/>
      <c r="D213" s="268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241">
        <f>AVERAGE(B214:B244)</f>
        <v>4.5548387096774192</v>
      </c>
      <c r="D214" s="268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241"/>
      <c r="D215" s="268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241"/>
      <c r="D216" s="268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241"/>
      <c r="D217" s="268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241"/>
      <c r="D218" s="268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241"/>
      <c r="D219" s="268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241"/>
      <c r="D220" s="268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241"/>
      <c r="D221" s="268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241"/>
      <c r="D222" s="268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241"/>
      <c r="D223" s="268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241"/>
      <c r="D224" s="268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241"/>
      <c r="D225" s="268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241"/>
      <c r="D226" s="268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241"/>
      <c r="D227" s="268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241"/>
      <c r="D228" s="268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241"/>
      <c r="D229" s="268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241"/>
      <c r="D230" s="268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241"/>
      <c r="D231" s="268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241"/>
      <c r="D232" s="268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241"/>
      <c r="D233" s="268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241"/>
      <c r="D234" s="268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241"/>
      <c r="D235" s="268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241"/>
      <c r="D236" s="268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241"/>
      <c r="D237" s="268"/>
      <c r="E237" s="58">
        <v>1</v>
      </c>
      <c r="F237" s="38" t="s">
        <v>176</v>
      </c>
      <c r="G237" s="269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241"/>
      <c r="D238" s="268"/>
      <c r="E238" s="58">
        <v>1</v>
      </c>
      <c r="F238" s="38" t="s">
        <v>176</v>
      </c>
      <c r="G238" s="269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241"/>
      <c r="D239" s="268"/>
      <c r="E239" s="58">
        <v>1</v>
      </c>
      <c r="F239" s="38" t="s">
        <v>176</v>
      </c>
      <c r="G239" s="269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241"/>
      <c r="D240" s="268"/>
      <c r="E240" s="58">
        <v>1</v>
      </c>
      <c r="F240" s="38" t="s">
        <v>176</v>
      </c>
      <c r="G240" s="269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241"/>
      <c r="D241" s="268"/>
      <c r="E241" s="58">
        <v>1</v>
      </c>
      <c r="F241" s="38" t="s">
        <v>176</v>
      </c>
      <c r="G241" s="269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241"/>
      <c r="D242" s="268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241"/>
      <c r="D243" s="268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241"/>
      <c r="D244" s="268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241">
        <f>AVERAGE(B245:B274)</f>
        <v>5.8166666666666673</v>
      </c>
      <c r="D245" s="268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241"/>
      <c r="D246" s="268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241"/>
      <c r="D247" s="268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241"/>
      <c r="D248" s="268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241"/>
      <c r="D249" s="268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241"/>
      <c r="D250" s="268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241"/>
      <c r="D251" s="268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241"/>
      <c r="D252" s="268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241"/>
      <c r="D253" s="268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241"/>
      <c r="D254" s="268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241"/>
      <c r="D255" s="268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241"/>
      <c r="D256" s="268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241"/>
      <c r="D257" s="268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241"/>
      <c r="D258" s="268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241"/>
      <c r="D259" s="268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241"/>
      <c r="D260" s="268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241"/>
      <c r="D261" s="268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241"/>
      <c r="D262" s="268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241"/>
      <c r="D263" s="268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241"/>
      <c r="D264" s="268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241"/>
      <c r="D265" s="268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241"/>
      <c r="D266" s="268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241"/>
      <c r="D267" s="268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241"/>
      <c r="D268" s="268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241"/>
      <c r="D269" s="268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241"/>
      <c r="D270" s="268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241"/>
      <c r="D271" s="268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241"/>
      <c r="D272" s="268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241"/>
      <c r="D273" s="268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241"/>
      <c r="D274" s="268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241">
        <f>AVERAGE(B275:B305)</f>
        <v>5.629032258064516</v>
      </c>
      <c r="D275" s="268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241"/>
      <c r="D276" s="268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241"/>
      <c r="D277" s="268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241"/>
      <c r="D278" s="268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241"/>
      <c r="D279" s="268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241"/>
      <c r="D280" s="268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241"/>
      <c r="D281" s="268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241"/>
      <c r="D282" s="268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241"/>
      <c r="D283" s="268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241"/>
      <c r="D284" s="268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241"/>
      <c r="D285" s="268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241"/>
      <c r="D286" s="268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241"/>
      <c r="D287" s="268"/>
      <c r="E287" s="58">
        <v>1</v>
      </c>
      <c r="F287" s="38" t="s">
        <v>176</v>
      </c>
      <c r="G287" s="269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241"/>
      <c r="D288" s="268"/>
      <c r="E288" s="58">
        <v>1</v>
      </c>
      <c r="F288" s="38" t="s">
        <v>176</v>
      </c>
      <c r="G288" s="269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241"/>
      <c r="D289" s="268"/>
      <c r="E289" s="58">
        <v>1</v>
      </c>
      <c r="F289" s="38" t="s">
        <v>176</v>
      </c>
      <c r="G289" s="269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241"/>
      <c r="D290" s="268"/>
      <c r="E290" s="58">
        <v>1</v>
      </c>
      <c r="F290" s="38" t="s">
        <v>176</v>
      </c>
      <c r="G290" s="269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241"/>
      <c r="D291" s="268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241"/>
      <c r="D292" s="268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241"/>
      <c r="D293" s="268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241"/>
      <c r="D294" s="268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241"/>
      <c r="D295" s="268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241"/>
      <c r="D296" s="268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241"/>
      <c r="D297" s="268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241"/>
      <c r="D298" s="268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241"/>
      <c r="D299" s="268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241"/>
      <c r="D300" s="268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241"/>
      <c r="D301" s="268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241"/>
      <c r="D302" s="268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241"/>
      <c r="D303" s="268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241"/>
      <c r="D304" s="268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241"/>
      <c r="D305" s="268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241">
        <f>AVERAGE(B306:B335)</f>
        <v>6.0733333333333333</v>
      </c>
      <c r="D306" s="268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241"/>
      <c r="D307" s="268"/>
      <c r="E307" s="58">
        <v>1</v>
      </c>
      <c r="F307" s="38" t="s">
        <v>176</v>
      </c>
      <c r="G307" s="269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241"/>
      <c r="D308" s="268"/>
      <c r="E308" s="58">
        <v>1</v>
      </c>
      <c r="F308" s="38" t="s">
        <v>176</v>
      </c>
      <c r="G308" s="269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241"/>
      <c r="D309" s="268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241"/>
      <c r="D310" s="268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241"/>
      <c r="D311" s="268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241"/>
      <c r="D312" s="268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241"/>
      <c r="D313" s="268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241"/>
      <c r="D314" s="268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241"/>
      <c r="D315" s="268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241"/>
      <c r="D316" s="268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241"/>
      <c r="D317" s="268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241"/>
      <c r="D318" s="268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241"/>
      <c r="D319" s="268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241"/>
      <c r="D320" s="268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241"/>
      <c r="D321" s="268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241"/>
      <c r="D322" s="268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241"/>
      <c r="D323" s="268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241"/>
      <c r="D324" s="268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241"/>
      <c r="D325" s="268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241"/>
      <c r="D326" s="268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241"/>
      <c r="D327" s="268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241"/>
      <c r="D328" s="268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241"/>
      <c r="D329" s="268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241"/>
      <c r="D330" s="268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241"/>
      <c r="D331" s="268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241"/>
      <c r="D332" s="268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241"/>
      <c r="D333" s="268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241"/>
      <c r="D334" s="268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241"/>
      <c r="D335" s="268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241">
        <f>AVERAGE(B336:B366)</f>
        <v>5.8258064516129036</v>
      </c>
      <c r="D336" s="268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241"/>
      <c r="D337" s="268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241"/>
      <c r="D338" s="268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241"/>
      <c r="D339" s="268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241"/>
      <c r="D340" s="268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241"/>
      <c r="D341" s="268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241"/>
      <c r="D342" s="268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241"/>
      <c r="D343" s="268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241"/>
      <c r="D344" s="268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241"/>
      <c r="D345" s="268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241"/>
      <c r="D346" s="268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241"/>
      <c r="D347" s="268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241"/>
      <c r="D348" s="268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241"/>
      <c r="D349" s="268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241"/>
      <c r="D350" s="268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241"/>
      <c r="D351" s="268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241"/>
      <c r="D352" s="268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241"/>
      <c r="D353" s="268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241"/>
      <c r="D354" s="268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241"/>
      <c r="D355" s="268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241"/>
      <c r="D356" s="268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241"/>
      <c r="D357" s="268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241"/>
      <c r="D358" s="268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241"/>
      <c r="D359" s="268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241"/>
      <c r="D360" s="268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241"/>
      <c r="D361" s="268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241"/>
      <c r="D362" s="268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241"/>
      <c r="D363" s="268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241"/>
      <c r="D364" s="268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241"/>
      <c r="D365" s="268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241"/>
      <c r="D366" s="268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 C33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zoomScale="43" zoomScaleNormal="70" workbookViewId="0">
      <selection activeCell="AB18" sqref="AB1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241">
        <f>AVERAGE(B1:B31)</f>
        <v>5.290322580645161</v>
      </c>
      <c r="D1" s="271">
        <f>AVERAGE(B1:B366)</f>
        <v>5.1967213114754101</v>
      </c>
    </row>
    <row r="2" spans="1:4" x14ac:dyDescent="0.45">
      <c r="A2" s="1">
        <v>45293</v>
      </c>
      <c r="B2" s="2">
        <v>4</v>
      </c>
      <c r="C2" s="241"/>
      <c r="D2" s="271"/>
    </row>
    <row r="3" spans="1:4" x14ac:dyDescent="0.45">
      <c r="A3" s="1">
        <v>45294</v>
      </c>
      <c r="B3" s="2">
        <v>6</v>
      </c>
      <c r="C3" s="241"/>
      <c r="D3" s="271"/>
    </row>
    <row r="4" spans="1:4" x14ac:dyDescent="0.45">
      <c r="A4" s="1">
        <v>45295</v>
      </c>
      <c r="B4" s="2">
        <v>8</v>
      </c>
      <c r="C4" s="241"/>
      <c r="D4" s="271"/>
    </row>
    <row r="5" spans="1:4" x14ac:dyDescent="0.45">
      <c r="A5" s="1">
        <v>45296</v>
      </c>
      <c r="B5" s="2">
        <v>6</v>
      </c>
      <c r="C5" s="241"/>
      <c r="D5" s="271"/>
    </row>
    <row r="6" spans="1:4" x14ac:dyDescent="0.45">
      <c r="A6" s="1">
        <v>45297</v>
      </c>
      <c r="B6" s="2">
        <v>8</v>
      </c>
      <c r="C6" s="241"/>
      <c r="D6" s="271"/>
    </row>
    <row r="7" spans="1:4" x14ac:dyDescent="0.45">
      <c r="A7" s="1">
        <v>45298</v>
      </c>
      <c r="B7" s="2">
        <v>0</v>
      </c>
      <c r="C7" s="241"/>
      <c r="D7" s="271"/>
    </row>
    <row r="8" spans="1:4" x14ac:dyDescent="0.45">
      <c r="A8" s="1">
        <v>45299</v>
      </c>
      <c r="B8" s="2">
        <v>4</v>
      </c>
      <c r="C8" s="241"/>
      <c r="D8" s="271"/>
    </row>
    <row r="9" spans="1:4" x14ac:dyDescent="0.45">
      <c r="A9" s="1">
        <v>45300</v>
      </c>
      <c r="B9" s="2">
        <v>6</v>
      </c>
      <c r="C9" s="241"/>
      <c r="D9" s="271"/>
    </row>
    <row r="10" spans="1:4" x14ac:dyDescent="0.45">
      <c r="A10" s="1">
        <v>45301</v>
      </c>
      <c r="B10" s="2">
        <v>4</v>
      </c>
      <c r="C10" s="241"/>
      <c r="D10" s="271"/>
    </row>
    <row r="11" spans="1:4" x14ac:dyDescent="0.45">
      <c r="A11" s="1">
        <v>45302</v>
      </c>
      <c r="B11" s="2">
        <v>6</v>
      </c>
      <c r="C11" s="241"/>
      <c r="D11" s="271"/>
    </row>
    <row r="12" spans="1:4" x14ac:dyDescent="0.45">
      <c r="A12" s="1">
        <v>45303</v>
      </c>
      <c r="B12" s="2">
        <v>6</v>
      </c>
      <c r="C12" s="241"/>
      <c r="D12" s="271"/>
    </row>
    <row r="13" spans="1:4" x14ac:dyDescent="0.45">
      <c r="A13" s="1">
        <v>45304</v>
      </c>
      <c r="B13" s="2">
        <v>2</v>
      </c>
      <c r="C13" s="241"/>
      <c r="D13" s="271"/>
    </row>
    <row r="14" spans="1:4" x14ac:dyDescent="0.45">
      <c r="A14" s="1">
        <v>45305</v>
      </c>
      <c r="B14" s="2">
        <v>4</v>
      </c>
      <c r="C14" s="241"/>
      <c r="D14" s="271"/>
    </row>
    <row r="15" spans="1:4" x14ac:dyDescent="0.45">
      <c r="A15" s="1">
        <v>45306</v>
      </c>
      <c r="B15" s="2">
        <v>6</v>
      </c>
      <c r="C15" s="241"/>
      <c r="D15" s="271"/>
    </row>
    <row r="16" spans="1:4" x14ac:dyDescent="0.45">
      <c r="A16" s="1">
        <v>45307</v>
      </c>
      <c r="B16" s="2">
        <v>0</v>
      </c>
      <c r="C16" s="241"/>
      <c r="D16" s="271"/>
    </row>
    <row r="17" spans="1:19" ht="14.35" thickBot="1" x14ac:dyDescent="0.5">
      <c r="A17" s="1">
        <v>45308</v>
      </c>
      <c r="B17" s="2">
        <v>6</v>
      </c>
      <c r="C17" s="241"/>
      <c r="D17" s="271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241"/>
      <c r="D18" s="271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241"/>
      <c r="D19" s="271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77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75">
        <f>AVERAGE(K19:K22)</f>
        <v>4.9297923618835746</v>
      </c>
    </row>
    <row r="20" spans="1:19" x14ac:dyDescent="0.45">
      <c r="A20" s="1">
        <v>45311</v>
      </c>
      <c r="B20" s="2">
        <v>6</v>
      </c>
      <c r="C20" s="241"/>
      <c r="D20" s="271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77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241"/>
    </row>
    <row r="21" spans="1:19" x14ac:dyDescent="0.45">
      <c r="A21" s="1">
        <v>45312</v>
      </c>
      <c r="B21" s="2">
        <v>6</v>
      </c>
      <c r="C21" s="241"/>
      <c r="D21" s="271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77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241"/>
    </row>
    <row r="22" spans="1:19" x14ac:dyDescent="0.45">
      <c r="A22" s="1">
        <v>45313</v>
      </c>
      <c r="B22" s="2">
        <v>4</v>
      </c>
      <c r="C22" s="241"/>
      <c r="D22" s="271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77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241"/>
    </row>
    <row r="23" spans="1:19" ht="14.35" thickBot="1" x14ac:dyDescent="0.5">
      <c r="A23" s="1">
        <v>45314</v>
      </c>
      <c r="B23" s="2">
        <v>4</v>
      </c>
      <c r="C23" s="241"/>
      <c r="D23" s="271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77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75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241"/>
      <c r="D24" s="271"/>
      <c r="F24" s="245" t="s">
        <v>6</v>
      </c>
      <c r="G24" s="246"/>
      <c r="H24" s="17">
        <f>SUM(H18:H23)</f>
        <v>366</v>
      </c>
      <c r="J24" s="10" t="s">
        <v>13</v>
      </c>
      <c r="K24" s="29">
        <v>5.333333333333333</v>
      </c>
      <c r="L24" s="277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241"/>
    </row>
    <row r="25" spans="1:19" x14ac:dyDescent="0.45">
      <c r="A25" s="1">
        <v>45316</v>
      </c>
      <c r="B25" s="2">
        <v>6</v>
      </c>
      <c r="C25" s="241"/>
      <c r="D25" s="271"/>
      <c r="J25" s="10" t="s">
        <v>14</v>
      </c>
      <c r="K25" s="29">
        <v>5.032258064516129</v>
      </c>
      <c r="L25" s="277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241"/>
    </row>
    <row r="26" spans="1:19" x14ac:dyDescent="0.45">
      <c r="A26" s="1">
        <v>45317</v>
      </c>
      <c r="B26" s="2">
        <v>10</v>
      </c>
      <c r="C26" s="241"/>
      <c r="D26" s="271"/>
      <c r="J26" s="10" t="s">
        <v>15</v>
      </c>
      <c r="K26" s="29">
        <v>4.967741935483871</v>
      </c>
      <c r="L26" s="277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241"/>
    </row>
    <row r="27" spans="1:19" x14ac:dyDescent="0.45">
      <c r="A27" s="1">
        <v>45318</v>
      </c>
      <c r="B27" s="2">
        <v>10</v>
      </c>
      <c r="C27" s="241"/>
      <c r="D27" s="271"/>
      <c r="F27" s="274" t="s">
        <v>23</v>
      </c>
      <c r="G27" s="274"/>
      <c r="H27" s="274"/>
      <c r="J27" s="10" t="s">
        <v>16</v>
      </c>
      <c r="K27" s="29">
        <v>5.2666666666666666</v>
      </c>
      <c r="L27" s="277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75">
        <f>AVERAGE(K27:K30)</f>
        <v>5.2806451612903231</v>
      </c>
    </row>
    <row r="28" spans="1:19" x14ac:dyDescent="0.45">
      <c r="A28" s="1">
        <v>45319</v>
      </c>
      <c r="B28" s="2">
        <v>10</v>
      </c>
      <c r="C28" s="241"/>
      <c r="D28" s="271"/>
      <c r="F28" s="276">
        <v>2024</v>
      </c>
      <c r="G28" s="276"/>
      <c r="H28" s="276"/>
      <c r="J28" s="10" t="s">
        <v>17</v>
      </c>
      <c r="K28" s="29">
        <v>5.612903225806452</v>
      </c>
      <c r="L28" s="277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241"/>
    </row>
    <row r="29" spans="1:19" x14ac:dyDescent="0.45">
      <c r="A29" s="1">
        <v>45320</v>
      </c>
      <c r="B29" s="2">
        <v>4</v>
      </c>
      <c r="C29" s="241"/>
      <c r="D29" s="271"/>
      <c r="J29" s="10" t="s">
        <v>18</v>
      </c>
      <c r="K29" s="29">
        <v>5.5333333333333332</v>
      </c>
      <c r="L29" s="277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241"/>
    </row>
    <row r="30" spans="1:19" ht="14.35" thickBot="1" x14ac:dyDescent="0.5">
      <c r="A30" s="1">
        <v>45321</v>
      </c>
      <c r="B30" s="2">
        <v>4</v>
      </c>
      <c r="C30" s="241"/>
      <c r="D30" s="271"/>
      <c r="J30" s="18" t="s">
        <v>19</v>
      </c>
      <c r="K30" s="30">
        <v>4.709677419354839</v>
      </c>
      <c r="L30" s="278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241"/>
    </row>
    <row r="31" spans="1:19" x14ac:dyDescent="0.45">
      <c r="A31" s="1">
        <v>45322</v>
      </c>
      <c r="B31" s="2">
        <v>4</v>
      </c>
      <c r="C31" s="241"/>
      <c r="D31" s="271"/>
    </row>
    <row r="32" spans="1:19" x14ac:dyDescent="0.45">
      <c r="A32" s="1">
        <v>45323</v>
      </c>
      <c r="B32" s="2">
        <v>6</v>
      </c>
      <c r="C32" s="241">
        <f>AVERAGE(B32:B60)</f>
        <v>4.4137931034482758</v>
      </c>
      <c r="D32" s="271"/>
    </row>
    <row r="33" spans="1:4" x14ac:dyDescent="0.45">
      <c r="A33" s="1">
        <v>45324</v>
      </c>
      <c r="B33" s="2">
        <v>6</v>
      </c>
      <c r="C33" s="241"/>
      <c r="D33" s="271"/>
    </row>
    <row r="34" spans="1:4" x14ac:dyDescent="0.45">
      <c r="A34" s="1">
        <v>45325</v>
      </c>
      <c r="B34" s="2">
        <v>6</v>
      </c>
      <c r="C34" s="241"/>
      <c r="D34" s="271"/>
    </row>
    <row r="35" spans="1:4" x14ac:dyDescent="0.45">
      <c r="A35" s="1">
        <v>45326</v>
      </c>
      <c r="B35" s="2">
        <v>4</v>
      </c>
      <c r="C35" s="241"/>
      <c r="D35" s="271"/>
    </row>
    <row r="36" spans="1:4" x14ac:dyDescent="0.45">
      <c r="A36" s="1">
        <v>45327</v>
      </c>
      <c r="B36" s="2">
        <v>2</v>
      </c>
      <c r="C36" s="241"/>
      <c r="D36" s="271"/>
    </row>
    <row r="37" spans="1:4" x14ac:dyDescent="0.45">
      <c r="A37" s="1">
        <v>45328</v>
      </c>
      <c r="B37" s="2">
        <v>6</v>
      </c>
      <c r="C37" s="241"/>
      <c r="D37" s="271"/>
    </row>
    <row r="38" spans="1:4" x14ac:dyDescent="0.45">
      <c r="A38" s="1">
        <v>45329</v>
      </c>
      <c r="B38" s="2">
        <v>4</v>
      </c>
      <c r="C38" s="241"/>
      <c r="D38" s="271"/>
    </row>
    <row r="39" spans="1:4" x14ac:dyDescent="0.45">
      <c r="A39" s="1">
        <v>45330</v>
      </c>
      <c r="B39" s="2">
        <v>6</v>
      </c>
      <c r="C39" s="241"/>
      <c r="D39" s="271"/>
    </row>
    <row r="40" spans="1:4" x14ac:dyDescent="0.45">
      <c r="A40" s="1">
        <v>45331</v>
      </c>
      <c r="B40" s="2">
        <v>6</v>
      </c>
      <c r="C40" s="241"/>
      <c r="D40" s="271"/>
    </row>
    <row r="41" spans="1:4" x14ac:dyDescent="0.45">
      <c r="A41" s="1">
        <v>45332</v>
      </c>
      <c r="B41" s="2">
        <v>4</v>
      </c>
      <c r="C41" s="241"/>
      <c r="D41" s="271"/>
    </row>
    <row r="42" spans="1:4" x14ac:dyDescent="0.45">
      <c r="A42" s="1">
        <v>45333</v>
      </c>
      <c r="B42" s="2">
        <v>4</v>
      </c>
      <c r="C42" s="241"/>
      <c r="D42" s="271"/>
    </row>
    <row r="43" spans="1:4" x14ac:dyDescent="0.45">
      <c r="A43" s="1">
        <v>45334</v>
      </c>
      <c r="B43" s="2">
        <v>4</v>
      </c>
      <c r="C43" s="241"/>
      <c r="D43" s="271"/>
    </row>
    <row r="44" spans="1:4" x14ac:dyDescent="0.45">
      <c r="A44" s="1">
        <v>45335</v>
      </c>
      <c r="B44" s="2">
        <v>6</v>
      </c>
      <c r="C44" s="241"/>
      <c r="D44" s="271"/>
    </row>
    <row r="45" spans="1:4" x14ac:dyDescent="0.45">
      <c r="A45" s="1">
        <v>45336</v>
      </c>
      <c r="B45" s="2">
        <v>10</v>
      </c>
      <c r="C45" s="241"/>
      <c r="D45" s="271"/>
    </row>
    <row r="46" spans="1:4" x14ac:dyDescent="0.45">
      <c r="A46" s="1">
        <v>45337</v>
      </c>
      <c r="B46" s="2">
        <v>6</v>
      </c>
      <c r="C46" s="241"/>
      <c r="D46" s="271"/>
    </row>
    <row r="47" spans="1:4" x14ac:dyDescent="0.45">
      <c r="A47" s="1">
        <v>45338</v>
      </c>
      <c r="B47" s="2">
        <v>2</v>
      </c>
      <c r="C47" s="241"/>
      <c r="D47" s="271"/>
    </row>
    <row r="48" spans="1:4" x14ac:dyDescent="0.45">
      <c r="A48" s="1">
        <v>45339</v>
      </c>
      <c r="B48" s="2">
        <v>4</v>
      </c>
      <c r="C48" s="241"/>
      <c r="D48" s="271"/>
    </row>
    <row r="49" spans="1:4" x14ac:dyDescent="0.45">
      <c r="A49" s="1">
        <v>45340</v>
      </c>
      <c r="B49" s="2">
        <v>4</v>
      </c>
      <c r="C49" s="241"/>
      <c r="D49" s="271"/>
    </row>
    <row r="50" spans="1:4" x14ac:dyDescent="0.45">
      <c r="A50" s="1">
        <v>45341</v>
      </c>
      <c r="B50" s="2">
        <v>4</v>
      </c>
      <c r="C50" s="241"/>
      <c r="D50" s="271"/>
    </row>
    <row r="51" spans="1:4" x14ac:dyDescent="0.45">
      <c r="A51" s="1">
        <v>45342</v>
      </c>
      <c r="B51" s="2">
        <v>0</v>
      </c>
      <c r="C51" s="241"/>
      <c r="D51" s="271"/>
    </row>
    <row r="52" spans="1:4" x14ac:dyDescent="0.45">
      <c r="A52" s="1">
        <v>45343</v>
      </c>
      <c r="B52" s="2">
        <v>0</v>
      </c>
      <c r="C52" s="241"/>
      <c r="D52" s="271"/>
    </row>
    <row r="53" spans="1:4" x14ac:dyDescent="0.45">
      <c r="A53" s="1">
        <v>45344</v>
      </c>
      <c r="B53" s="2">
        <v>2</v>
      </c>
      <c r="C53" s="241"/>
      <c r="D53" s="271"/>
    </row>
    <row r="54" spans="1:4" x14ac:dyDescent="0.45">
      <c r="A54" s="1">
        <v>45345</v>
      </c>
      <c r="B54" s="2">
        <v>4</v>
      </c>
      <c r="C54" s="241"/>
      <c r="D54" s="271"/>
    </row>
    <row r="55" spans="1:4" x14ac:dyDescent="0.45">
      <c r="A55" s="1">
        <v>45346</v>
      </c>
      <c r="B55" s="2">
        <v>4</v>
      </c>
      <c r="C55" s="241"/>
      <c r="D55" s="271"/>
    </row>
    <row r="56" spans="1:4" x14ac:dyDescent="0.45">
      <c r="A56" s="1">
        <v>45347</v>
      </c>
      <c r="B56" s="2">
        <v>6</v>
      </c>
      <c r="C56" s="241"/>
      <c r="D56" s="271"/>
    </row>
    <row r="57" spans="1:4" x14ac:dyDescent="0.45">
      <c r="A57" s="1">
        <v>45348</v>
      </c>
      <c r="B57" s="2">
        <v>4</v>
      </c>
      <c r="C57" s="241"/>
      <c r="D57" s="271"/>
    </row>
    <row r="58" spans="1:4" x14ac:dyDescent="0.45">
      <c r="A58" s="1">
        <v>45349</v>
      </c>
      <c r="B58" s="2">
        <v>4</v>
      </c>
      <c r="C58" s="241"/>
      <c r="D58" s="271"/>
    </row>
    <row r="59" spans="1:4" x14ac:dyDescent="0.45">
      <c r="A59" s="1">
        <v>45350</v>
      </c>
      <c r="B59" s="2">
        <v>4</v>
      </c>
      <c r="C59" s="241"/>
      <c r="D59" s="271"/>
    </row>
    <row r="60" spans="1:4" x14ac:dyDescent="0.45">
      <c r="A60" s="1">
        <v>45351</v>
      </c>
      <c r="B60" s="2">
        <v>6</v>
      </c>
      <c r="C60" s="241"/>
      <c r="D60" s="271"/>
    </row>
    <row r="61" spans="1:4" x14ac:dyDescent="0.45">
      <c r="A61" s="1">
        <v>45352</v>
      </c>
      <c r="B61" s="2">
        <v>6</v>
      </c>
      <c r="C61" s="241">
        <f>AVERAGE(B61:B91)</f>
        <v>5.5483870967741939</v>
      </c>
      <c r="D61" s="271"/>
    </row>
    <row r="62" spans="1:4" x14ac:dyDescent="0.45">
      <c r="A62" s="1">
        <v>45353</v>
      </c>
      <c r="B62" s="2">
        <v>6</v>
      </c>
      <c r="C62" s="241"/>
      <c r="D62" s="271"/>
    </row>
    <row r="63" spans="1:4" x14ac:dyDescent="0.45">
      <c r="A63" s="1">
        <v>45354</v>
      </c>
      <c r="B63" s="2">
        <v>8</v>
      </c>
      <c r="C63" s="241"/>
      <c r="D63" s="271"/>
    </row>
    <row r="64" spans="1:4" x14ac:dyDescent="0.45">
      <c r="A64" s="1">
        <v>45355</v>
      </c>
      <c r="B64" s="2">
        <v>6</v>
      </c>
      <c r="C64" s="241"/>
      <c r="D64" s="271"/>
    </row>
    <row r="65" spans="1:4" x14ac:dyDescent="0.45">
      <c r="A65" s="1">
        <v>45356</v>
      </c>
      <c r="B65" s="2">
        <v>4</v>
      </c>
      <c r="C65" s="241"/>
      <c r="D65" s="271"/>
    </row>
    <row r="66" spans="1:4" x14ac:dyDescent="0.45">
      <c r="A66" s="1">
        <v>45357</v>
      </c>
      <c r="B66" s="2">
        <v>4</v>
      </c>
      <c r="C66" s="241"/>
      <c r="D66" s="271"/>
    </row>
    <row r="67" spans="1:4" x14ac:dyDescent="0.45">
      <c r="A67" s="1">
        <v>45358</v>
      </c>
      <c r="B67" s="2">
        <v>6</v>
      </c>
      <c r="C67" s="241"/>
      <c r="D67" s="271"/>
    </row>
    <row r="68" spans="1:4" x14ac:dyDescent="0.45">
      <c r="A68" s="1">
        <v>45359</v>
      </c>
      <c r="B68" s="2">
        <v>6</v>
      </c>
      <c r="C68" s="241"/>
      <c r="D68" s="271"/>
    </row>
    <row r="69" spans="1:4" x14ac:dyDescent="0.45">
      <c r="A69" s="1">
        <v>45360</v>
      </c>
      <c r="B69" s="2">
        <v>6</v>
      </c>
      <c r="C69" s="241"/>
      <c r="D69" s="271"/>
    </row>
    <row r="70" spans="1:4" x14ac:dyDescent="0.45">
      <c r="A70" s="1">
        <v>45361</v>
      </c>
      <c r="B70" s="2">
        <v>6</v>
      </c>
      <c r="C70" s="241"/>
      <c r="D70" s="271"/>
    </row>
    <row r="71" spans="1:4" x14ac:dyDescent="0.45">
      <c r="A71" s="1">
        <v>45362</v>
      </c>
      <c r="B71" s="2">
        <v>4</v>
      </c>
      <c r="C71" s="241"/>
      <c r="D71" s="271"/>
    </row>
    <row r="72" spans="1:4" x14ac:dyDescent="0.45">
      <c r="A72" s="1">
        <v>45363</v>
      </c>
      <c r="B72" s="2">
        <v>6</v>
      </c>
      <c r="C72" s="241"/>
      <c r="D72" s="271"/>
    </row>
    <row r="73" spans="1:4" x14ac:dyDescent="0.45">
      <c r="A73" s="1">
        <v>45364</v>
      </c>
      <c r="B73" s="2">
        <v>6</v>
      </c>
      <c r="C73" s="241"/>
      <c r="D73" s="271"/>
    </row>
    <row r="74" spans="1:4" x14ac:dyDescent="0.45">
      <c r="A74" s="1">
        <v>45365</v>
      </c>
      <c r="B74" s="2">
        <v>4</v>
      </c>
      <c r="C74" s="241"/>
      <c r="D74" s="271"/>
    </row>
    <row r="75" spans="1:4" x14ac:dyDescent="0.45">
      <c r="A75" s="1">
        <v>45366</v>
      </c>
      <c r="B75" s="2">
        <v>6</v>
      </c>
      <c r="C75" s="241"/>
      <c r="D75" s="271"/>
    </row>
    <row r="76" spans="1:4" x14ac:dyDescent="0.45">
      <c r="A76" s="1">
        <v>45367</v>
      </c>
      <c r="B76" s="2">
        <v>6</v>
      </c>
      <c r="C76" s="241"/>
      <c r="D76" s="271"/>
    </row>
    <row r="77" spans="1:4" x14ac:dyDescent="0.45">
      <c r="A77" s="1">
        <v>45368</v>
      </c>
      <c r="B77" s="2">
        <v>4</v>
      </c>
      <c r="C77" s="241"/>
      <c r="D77" s="271"/>
    </row>
    <row r="78" spans="1:4" x14ac:dyDescent="0.45">
      <c r="A78" s="1">
        <v>45369</v>
      </c>
      <c r="B78" s="2">
        <v>6</v>
      </c>
      <c r="C78" s="241"/>
      <c r="D78" s="271"/>
    </row>
    <row r="79" spans="1:4" x14ac:dyDescent="0.45">
      <c r="A79" s="1">
        <v>45370</v>
      </c>
      <c r="B79" s="2">
        <v>2</v>
      </c>
      <c r="C79" s="241"/>
      <c r="D79" s="271"/>
    </row>
    <row r="80" spans="1:4" x14ac:dyDescent="0.45">
      <c r="A80" s="1">
        <v>45371</v>
      </c>
      <c r="B80" s="2">
        <v>8</v>
      </c>
      <c r="C80" s="241"/>
      <c r="D80" s="271"/>
    </row>
    <row r="81" spans="1:4" x14ac:dyDescent="0.45">
      <c r="A81" s="1">
        <v>45372</v>
      </c>
      <c r="B81" s="2">
        <v>6</v>
      </c>
      <c r="C81" s="241"/>
      <c r="D81" s="271"/>
    </row>
    <row r="82" spans="1:4" x14ac:dyDescent="0.45">
      <c r="A82" s="1">
        <v>45373</v>
      </c>
      <c r="B82" s="2">
        <v>8</v>
      </c>
      <c r="C82" s="241"/>
      <c r="D82" s="271"/>
    </row>
    <row r="83" spans="1:4" x14ac:dyDescent="0.45">
      <c r="A83" s="1">
        <v>45374</v>
      </c>
      <c r="B83" s="2">
        <v>6</v>
      </c>
      <c r="C83" s="241"/>
      <c r="D83" s="271"/>
    </row>
    <row r="84" spans="1:4" x14ac:dyDescent="0.45">
      <c r="A84" s="1">
        <v>45375</v>
      </c>
      <c r="B84" s="2">
        <v>2</v>
      </c>
      <c r="C84" s="241"/>
      <c r="D84" s="271"/>
    </row>
    <row r="85" spans="1:4" x14ac:dyDescent="0.45">
      <c r="A85" s="1">
        <v>45376</v>
      </c>
      <c r="B85" s="2">
        <v>8</v>
      </c>
      <c r="C85" s="241"/>
      <c r="D85" s="271"/>
    </row>
    <row r="86" spans="1:4" x14ac:dyDescent="0.45">
      <c r="A86" s="1">
        <v>45377</v>
      </c>
      <c r="B86" s="2">
        <v>6</v>
      </c>
      <c r="C86" s="241"/>
      <c r="D86" s="271"/>
    </row>
    <row r="87" spans="1:4" x14ac:dyDescent="0.45">
      <c r="A87" s="1">
        <v>45378</v>
      </c>
      <c r="B87" s="2">
        <v>4</v>
      </c>
      <c r="C87" s="241"/>
      <c r="D87" s="271"/>
    </row>
    <row r="88" spans="1:4" x14ac:dyDescent="0.45">
      <c r="A88" s="1">
        <v>45379</v>
      </c>
      <c r="B88" s="2">
        <v>6</v>
      </c>
      <c r="C88" s="241"/>
      <c r="D88" s="271"/>
    </row>
    <row r="89" spans="1:4" x14ac:dyDescent="0.45">
      <c r="A89" s="1">
        <v>45380</v>
      </c>
      <c r="B89" s="2">
        <v>4</v>
      </c>
      <c r="C89" s="241"/>
      <c r="D89" s="271"/>
    </row>
    <row r="90" spans="1:4" x14ac:dyDescent="0.45">
      <c r="A90" s="1">
        <v>45381</v>
      </c>
      <c r="B90" s="2">
        <v>6</v>
      </c>
      <c r="C90" s="241"/>
      <c r="D90" s="271"/>
    </row>
    <row r="91" spans="1:4" x14ac:dyDescent="0.45">
      <c r="A91" s="1">
        <v>45382</v>
      </c>
      <c r="B91" s="2">
        <v>6</v>
      </c>
      <c r="C91" s="241"/>
      <c r="D91" s="271"/>
    </row>
    <row r="92" spans="1:4" x14ac:dyDescent="0.45">
      <c r="A92" s="1">
        <v>45383</v>
      </c>
      <c r="B92" s="2">
        <v>4</v>
      </c>
      <c r="C92" s="241">
        <f>AVERAGE(B92:B121)</f>
        <v>4.4666666666666668</v>
      </c>
      <c r="D92" s="271"/>
    </row>
    <row r="93" spans="1:4" x14ac:dyDescent="0.45">
      <c r="A93" s="1">
        <v>45384</v>
      </c>
      <c r="B93" s="2">
        <v>4</v>
      </c>
      <c r="C93" s="241"/>
      <c r="D93" s="271"/>
    </row>
    <row r="94" spans="1:4" x14ac:dyDescent="0.45">
      <c r="A94" s="1">
        <v>45385</v>
      </c>
      <c r="B94" s="2">
        <v>4</v>
      </c>
      <c r="C94" s="241"/>
      <c r="D94" s="271"/>
    </row>
    <row r="95" spans="1:4" x14ac:dyDescent="0.45">
      <c r="A95" s="1">
        <v>45386</v>
      </c>
      <c r="B95" s="2">
        <v>4</v>
      </c>
      <c r="C95" s="241"/>
      <c r="D95" s="271"/>
    </row>
    <row r="96" spans="1:4" x14ac:dyDescent="0.45">
      <c r="A96" s="1">
        <v>45387</v>
      </c>
      <c r="B96" s="2">
        <v>0</v>
      </c>
      <c r="C96" s="241"/>
      <c r="D96" s="271"/>
    </row>
    <row r="97" spans="1:10" x14ac:dyDescent="0.45">
      <c r="A97" s="1">
        <v>45388</v>
      </c>
      <c r="B97" s="2">
        <v>2</v>
      </c>
      <c r="C97" s="241"/>
      <c r="D97" s="271"/>
    </row>
    <row r="98" spans="1:10" x14ac:dyDescent="0.45">
      <c r="A98" s="1">
        <v>45389</v>
      </c>
      <c r="B98" s="2">
        <v>4</v>
      </c>
      <c r="C98" s="241"/>
      <c r="D98" s="271"/>
    </row>
    <row r="99" spans="1:10" x14ac:dyDescent="0.45">
      <c r="A99" s="1">
        <v>45390</v>
      </c>
      <c r="B99" s="2">
        <v>4</v>
      </c>
      <c r="C99" s="241"/>
      <c r="D99" s="271"/>
    </row>
    <row r="100" spans="1:10" x14ac:dyDescent="0.45">
      <c r="A100" s="1">
        <v>45391</v>
      </c>
      <c r="B100" s="2">
        <v>6</v>
      </c>
      <c r="C100" s="241"/>
      <c r="D100" s="271"/>
    </row>
    <row r="101" spans="1:10" x14ac:dyDescent="0.45">
      <c r="A101" s="1">
        <v>45392</v>
      </c>
      <c r="B101" s="2">
        <v>2</v>
      </c>
      <c r="C101" s="241"/>
      <c r="D101" s="271"/>
    </row>
    <row r="102" spans="1:10" x14ac:dyDescent="0.45">
      <c r="A102" s="1">
        <v>45393</v>
      </c>
      <c r="B102" s="2">
        <v>0</v>
      </c>
      <c r="C102" s="241"/>
      <c r="D102" s="271"/>
    </row>
    <row r="103" spans="1:10" x14ac:dyDescent="0.45">
      <c r="A103" s="1">
        <v>45394</v>
      </c>
      <c r="B103" s="2">
        <v>6</v>
      </c>
      <c r="C103" s="241"/>
      <c r="D103" s="271"/>
    </row>
    <row r="104" spans="1:10" x14ac:dyDescent="0.45">
      <c r="A104" s="1">
        <v>45395</v>
      </c>
      <c r="B104" s="2">
        <v>6</v>
      </c>
      <c r="C104" s="241"/>
      <c r="D104" s="271"/>
    </row>
    <row r="105" spans="1:10" x14ac:dyDescent="0.45">
      <c r="A105" s="1">
        <v>45396</v>
      </c>
      <c r="B105" s="2">
        <v>4</v>
      </c>
      <c r="C105" s="241"/>
      <c r="D105" s="271"/>
    </row>
    <row r="106" spans="1:10" x14ac:dyDescent="0.45">
      <c r="A106" s="1">
        <v>45397</v>
      </c>
      <c r="B106" s="2">
        <v>6</v>
      </c>
      <c r="C106" s="241"/>
      <c r="D106" s="271"/>
    </row>
    <row r="107" spans="1:10" x14ac:dyDescent="0.45">
      <c r="A107" s="1">
        <v>45398</v>
      </c>
      <c r="B107" s="2">
        <v>4</v>
      </c>
      <c r="C107" s="241"/>
      <c r="D107" s="271"/>
    </row>
    <row r="108" spans="1:10" x14ac:dyDescent="0.45">
      <c r="A108" s="1">
        <v>45399</v>
      </c>
      <c r="B108" s="2">
        <v>8</v>
      </c>
      <c r="C108" s="241"/>
      <c r="D108" s="271"/>
      <c r="J108" s="3" t="s">
        <v>22</v>
      </c>
    </row>
    <row r="109" spans="1:10" x14ac:dyDescent="0.45">
      <c r="A109" s="1">
        <v>45400</v>
      </c>
      <c r="B109" s="2">
        <v>6</v>
      </c>
      <c r="C109" s="241"/>
      <c r="D109" s="271"/>
    </row>
    <row r="110" spans="1:10" x14ac:dyDescent="0.45">
      <c r="A110" s="1">
        <v>45401</v>
      </c>
      <c r="B110" s="2">
        <v>6</v>
      </c>
      <c r="C110" s="241"/>
      <c r="D110" s="271"/>
    </row>
    <row r="111" spans="1:10" x14ac:dyDescent="0.45">
      <c r="A111" s="1">
        <v>45402</v>
      </c>
      <c r="B111" s="2">
        <v>4</v>
      </c>
      <c r="C111" s="241"/>
      <c r="D111" s="271"/>
    </row>
    <row r="112" spans="1:10" x14ac:dyDescent="0.45">
      <c r="A112" s="1">
        <v>45403</v>
      </c>
      <c r="B112" s="2">
        <v>6</v>
      </c>
      <c r="C112" s="241"/>
      <c r="D112" s="271"/>
    </row>
    <row r="113" spans="1:4" x14ac:dyDescent="0.45">
      <c r="A113" s="1">
        <v>45404</v>
      </c>
      <c r="B113" s="2">
        <v>6</v>
      </c>
      <c r="C113" s="241"/>
      <c r="D113" s="271"/>
    </row>
    <row r="114" spans="1:4" x14ac:dyDescent="0.45">
      <c r="A114" s="1">
        <v>45405</v>
      </c>
      <c r="B114" s="2">
        <v>4</v>
      </c>
      <c r="C114" s="241"/>
      <c r="D114" s="271"/>
    </row>
    <row r="115" spans="1:4" x14ac:dyDescent="0.45">
      <c r="A115" s="1">
        <v>45406</v>
      </c>
      <c r="B115" s="2">
        <v>6</v>
      </c>
      <c r="C115" s="241"/>
      <c r="D115" s="271"/>
    </row>
    <row r="116" spans="1:4" x14ac:dyDescent="0.45">
      <c r="A116" s="1">
        <v>45407</v>
      </c>
      <c r="B116" s="2">
        <v>4</v>
      </c>
      <c r="C116" s="241"/>
      <c r="D116" s="271"/>
    </row>
    <row r="117" spans="1:4" x14ac:dyDescent="0.45">
      <c r="A117" s="1">
        <v>45408</v>
      </c>
      <c r="B117" s="2">
        <v>4</v>
      </c>
      <c r="C117" s="241"/>
      <c r="D117" s="271"/>
    </row>
    <row r="118" spans="1:4" x14ac:dyDescent="0.45">
      <c r="A118" s="1">
        <v>45409</v>
      </c>
      <c r="B118" s="2">
        <v>4</v>
      </c>
      <c r="C118" s="241"/>
      <c r="D118" s="271"/>
    </row>
    <row r="119" spans="1:4" x14ac:dyDescent="0.45">
      <c r="A119" s="1">
        <v>45410</v>
      </c>
      <c r="B119" s="2">
        <v>4</v>
      </c>
      <c r="C119" s="241"/>
      <c r="D119" s="271"/>
    </row>
    <row r="120" spans="1:4" x14ac:dyDescent="0.45">
      <c r="A120" s="1">
        <v>45411</v>
      </c>
      <c r="B120" s="2">
        <v>6</v>
      </c>
      <c r="C120" s="241"/>
      <c r="D120" s="271"/>
    </row>
    <row r="121" spans="1:4" x14ac:dyDescent="0.45">
      <c r="A121" s="1">
        <v>45412</v>
      </c>
      <c r="B121" s="2">
        <v>6</v>
      </c>
      <c r="C121" s="241"/>
      <c r="D121" s="271"/>
    </row>
    <row r="122" spans="1:4" x14ac:dyDescent="0.45">
      <c r="A122" s="1">
        <v>45413</v>
      </c>
      <c r="B122" s="2">
        <v>8</v>
      </c>
      <c r="C122" s="272">
        <f>AVERAGE(B122:B152)</f>
        <v>6.129032258064516</v>
      </c>
      <c r="D122" s="271"/>
    </row>
    <row r="123" spans="1:4" x14ac:dyDescent="0.45">
      <c r="A123" s="1">
        <v>45414</v>
      </c>
      <c r="B123" s="2">
        <v>6</v>
      </c>
      <c r="C123" s="273"/>
      <c r="D123" s="271"/>
    </row>
    <row r="124" spans="1:4" x14ac:dyDescent="0.45">
      <c r="A124" s="1">
        <v>45415</v>
      </c>
      <c r="B124" s="2">
        <v>6</v>
      </c>
      <c r="C124" s="273"/>
      <c r="D124" s="271"/>
    </row>
    <row r="125" spans="1:4" x14ac:dyDescent="0.45">
      <c r="A125" s="1">
        <v>45416</v>
      </c>
      <c r="B125" s="2">
        <v>10</v>
      </c>
      <c r="C125" s="273"/>
      <c r="D125" s="271"/>
    </row>
    <row r="126" spans="1:4" x14ac:dyDescent="0.45">
      <c r="A126" s="1">
        <v>45417</v>
      </c>
      <c r="B126" s="2">
        <v>6</v>
      </c>
      <c r="C126" s="273"/>
      <c r="D126" s="271"/>
    </row>
    <row r="127" spans="1:4" x14ac:dyDescent="0.45">
      <c r="A127" s="1">
        <v>45418</v>
      </c>
      <c r="B127" s="2">
        <v>4</v>
      </c>
      <c r="C127" s="273"/>
      <c r="D127" s="271"/>
    </row>
    <row r="128" spans="1:4" x14ac:dyDescent="0.45">
      <c r="A128" s="1">
        <v>45419</v>
      </c>
      <c r="B128" s="2">
        <v>6</v>
      </c>
      <c r="C128" s="273"/>
      <c r="D128" s="271"/>
    </row>
    <row r="129" spans="1:4" x14ac:dyDescent="0.45">
      <c r="A129" s="1">
        <v>45420</v>
      </c>
      <c r="B129" s="2">
        <v>6</v>
      </c>
      <c r="C129" s="273"/>
      <c r="D129" s="271"/>
    </row>
    <row r="130" spans="1:4" x14ac:dyDescent="0.45">
      <c r="A130" s="1">
        <v>45421</v>
      </c>
      <c r="B130" s="2">
        <v>6</v>
      </c>
      <c r="C130" s="273"/>
      <c r="D130" s="271"/>
    </row>
    <row r="131" spans="1:4" x14ac:dyDescent="0.45">
      <c r="A131" s="1">
        <v>45422</v>
      </c>
      <c r="B131" s="2">
        <v>8</v>
      </c>
      <c r="C131" s="273"/>
      <c r="D131" s="271"/>
    </row>
    <row r="132" spans="1:4" x14ac:dyDescent="0.45">
      <c r="A132" s="1">
        <v>45423</v>
      </c>
      <c r="B132" s="2">
        <v>8</v>
      </c>
      <c r="C132" s="273"/>
      <c r="D132" s="271"/>
    </row>
    <row r="133" spans="1:4" x14ac:dyDescent="0.45">
      <c r="A133" s="1">
        <v>45424</v>
      </c>
      <c r="B133" s="2">
        <v>6</v>
      </c>
      <c r="C133" s="273"/>
      <c r="D133" s="271"/>
    </row>
    <row r="134" spans="1:4" x14ac:dyDescent="0.45">
      <c r="A134" s="1">
        <v>45425</v>
      </c>
      <c r="B134" s="2">
        <v>6</v>
      </c>
      <c r="C134" s="273"/>
      <c r="D134" s="271"/>
    </row>
    <row r="135" spans="1:4" x14ac:dyDescent="0.45">
      <c r="A135" s="1">
        <v>45426</v>
      </c>
      <c r="B135" s="2">
        <v>6</v>
      </c>
      <c r="C135" s="273"/>
      <c r="D135" s="271"/>
    </row>
    <row r="136" spans="1:4" x14ac:dyDescent="0.45">
      <c r="A136" s="1">
        <v>45427</v>
      </c>
      <c r="B136" s="2">
        <v>6</v>
      </c>
      <c r="C136" s="273"/>
      <c r="D136" s="271"/>
    </row>
    <row r="137" spans="1:4" x14ac:dyDescent="0.45">
      <c r="A137" s="1">
        <v>45428</v>
      </c>
      <c r="B137" s="2">
        <v>4</v>
      </c>
      <c r="C137" s="273"/>
      <c r="D137" s="271"/>
    </row>
    <row r="138" spans="1:4" x14ac:dyDescent="0.45">
      <c r="A138" s="1">
        <v>45429</v>
      </c>
      <c r="B138" s="2">
        <v>4</v>
      </c>
      <c r="C138" s="273"/>
      <c r="D138" s="271"/>
    </row>
    <row r="139" spans="1:4" x14ac:dyDescent="0.45">
      <c r="A139" s="1">
        <v>45430</v>
      </c>
      <c r="B139" s="2">
        <v>6</v>
      </c>
      <c r="C139" s="273"/>
      <c r="D139" s="271"/>
    </row>
    <row r="140" spans="1:4" x14ac:dyDescent="0.45">
      <c r="A140" s="1">
        <v>45431</v>
      </c>
      <c r="B140" s="2">
        <v>4</v>
      </c>
      <c r="C140" s="273"/>
      <c r="D140" s="271"/>
    </row>
    <row r="141" spans="1:4" x14ac:dyDescent="0.45">
      <c r="A141" s="1">
        <v>45432</v>
      </c>
      <c r="B141" s="2">
        <v>4</v>
      </c>
      <c r="C141" s="273"/>
      <c r="D141" s="271"/>
    </row>
    <row r="142" spans="1:4" x14ac:dyDescent="0.45">
      <c r="A142" s="1">
        <v>45433</v>
      </c>
      <c r="B142" s="2">
        <v>6</v>
      </c>
      <c r="C142" s="273"/>
      <c r="D142" s="271"/>
    </row>
    <row r="143" spans="1:4" x14ac:dyDescent="0.45">
      <c r="A143" s="1">
        <v>45434</v>
      </c>
      <c r="B143" s="2">
        <v>6</v>
      </c>
      <c r="C143" s="273"/>
      <c r="D143" s="271"/>
    </row>
    <row r="144" spans="1:4" x14ac:dyDescent="0.45">
      <c r="A144" s="1">
        <v>45435</v>
      </c>
      <c r="B144" s="2">
        <v>8</v>
      </c>
      <c r="C144" s="273"/>
      <c r="D144" s="271"/>
    </row>
    <row r="145" spans="1:4" x14ac:dyDescent="0.45">
      <c r="A145" s="1">
        <v>45436</v>
      </c>
      <c r="B145" s="2">
        <v>8</v>
      </c>
      <c r="C145" s="273"/>
      <c r="D145" s="271"/>
    </row>
    <row r="146" spans="1:4" x14ac:dyDescent="0.45">
      <c r="A146" s="1">
        <v>45437</v>
      </c>
      <c r="B146" s="2">
        <v>8</v>
      </c>
      <c r="C146" s="273"/>
      <c r="D146" s="271"/>
    </row>
    <row r="147" spans="1:4" x14ac:dyDescent="0.45">
      <c r="A147" s="1">
        <v>45438</v>
      </c>
      <c r="B147" s="2">
        <v>6</v>
      </c>
      <c r="C147" s="273"/>
      <c r="D147" s="271"/>
    </row>
    <row r="148" spans="1:4" x14ac:dyDescent="0.45">
      <c r="A148" s="1">
        <v>45439</v>
      </c>
      <c r="B148" s="2">
        <v>4</v>
      </c>
      <c r="C148" s="273"/>
      <c r="D148" s="271"/>
    </row>
    <row r="149" spans="1:4" x14ac:dyDescent="0.45">
      <c r="A149" s="1">
        <v>45440</v>
      </c>
      <c r="B149" s="2">
        <v>6</v>
      </c>
      <c r="C149" s="273"/>
      <c r="D149" s="271"/>
    </row>
    <row r="150" spans="1:4" x14ac:dyDescent="0.45">
      <c r="A150" s="1">
        <v>45441</v>
      </c>
      <c r="B150" s="2">
        <v>6</v>
      </c>
      <c r="C150" s="273"/>
      <c r="D150" s="271"/>
    </row>
    <row r="151" spans="1:4" x14ac:dyDescent="0.45">
      <c r="A151" s="1">
        <v>45442</v>
      </c>
      <c r="B151" s="2">
        <v>6</v>
      </c>
      <c r="C151" s="273"/>
      <c r="D151" s="271"/>
    </row>
    <row r="152" spans="1:4" x14ac:dyDescent="0.45">
      <c r="A152" s="1">
        <v>45443</v>
      </c>
      <c r="B152" s="2">
        <v>6</v>
      </c>
      <c r="C152" s="270"/>
      <c r="D152" s="271"/>
    </row>
    <row r="153" spans="1:4" x14ac:dyDescent="0.45">
      <c r="A153" s="1">
        <v>45444</v>
      </c>
      <c r="B153" s="2">
        <v>6</v>
      </c>
      <c r="C153" s="272">
        <f>AVERAGE(B153:B182)</f>
        <v>5.333333333333333</v>
      </c>
      <c r="D153" s="271"/>
    </row>
    <row r="154" spans="1:4" x14ac:dyDescent="0.45">
      <c r="A154" s="1">
        <v>45445</v>
      </c>
      <c r="B154" s="2">
        <v>6</v>
      </c>
      <c r="C154" s="273"/>
      <c r="D154" s="271"/>
    </row>
    <row r="155" spans="1:4" x14ac:dyDescent="0.45">
      <c r="A155" s="1">
        <v>45446</v>
      </c>
      <c r="B155" s="2">
        <v>4</v>
      </c>
      <c r="C155" s="273"/>
      <c r="D155" s="271"/>
    </row>
    <row r="156" spans="1:4" x14ac:dyDescent="0.45">
      <c r="A156" s="1">
        <v>45447</v>
      </c>
      <c r="B156" s="2">
        <v>8</v>
      </c>
      <c r="C156" s="273"/>
      <c r="D156" s="271"/>
    </row>
    <row r="157" spans="1:4" x14ac:dyDescent="0.45">
      <c r="A157" s="1">
        <v>45448</v>
      </c>
      <c r="B157" s="2">
        <v>10</v>
      </c>
      <c r="C157" s="273"/>
      <c r="D157" s="271"/>
    </row>
    <row r="158" spans="1:4" x14ac:dyDescent="0.45">
      <c r="A158" s="1">
        <v>45449</v>
      </c>
      <c r="B158" s="2">
        <v>6</v>
      </c>
      <c r="C158" s="273"/>
      <c r="D158" s="271"/>
    </row>
    <row r="159" spans="1:4" x14ac:dyDescent="0.45">
      <c r="A159" s="1">
        <v>45450</v>
      </c>
      <c r="B159" s="2">
        <v>4</v>
      </c>
      <c r="C159" s="273"/>
      <c r="D159" s="271"/>
    </row>
    <row r="160" spans="1:4" x14ac:dyDescent="0.45">
      <c r="A160" s="1">
        <v>45451</v>
      </c>
      <c r="B160" s="2">
        <v>6</v>
      </c>
      <c r="C160" s="273"/>
      <c r="D160" s="271"/>
    </row>
    <row r="161" spans="1:4" x14ac:dyDescent="0.45">
      <c r="A161" s="1">
        <v>45452</v>
      </c>
      <c r="B161" s="2">
        <v>6</v>
      </c>
      <c r="C161" s="273"/>
      <c r="D161" s="271"/>
    </row>
    <row r="162" spans="1:4" x14ac:dyDescent="0.45">
      <c r="A162" s="1">
        <v>45453</v>
      </c>
      <c r="B162" s="2">
        <v>6</v>
      </c>
      <c r="C162" s="273"/>
      <c r="D162" s="271"/>
    </row>
    <row r="163" spans="1:4" x14ac:dyDescent="0.45">
      <c r="A163" s="1">
        <v>45454</v>
      </c>
      <c r="B163" s="2">
        <v>0</v>
      </c>
      <c r="C163" s="273"/>
      <c r="D163" s="271"/>
    </row>
    <row r="164" spans="1:4" x14ac:dyDescent="0.45">
      <c r="A164" s="1">
        <v>45455</v>
      </c>
      <c r="B164" s="2">
        <v>4</v>
      </c>
      <c r="C164" s="273"/>
      <c r="D164" s="271"/>
    </row>
    <row r="165" spans="1:4" x14ac:dyDescent="0.45">
      <c r="A165" s="1">
        <v>45456</v>
      </c>
      <c r="B165" s="2">
        <v>4</v>
      </c>
      <c r="C165" s="273"/>
      <c r="D165" s="271"/>
    </row>
    <row r="166" spans="1:4" x14ac:dyDescent="0.45">
      <c r="A166" s="1">
        <v>45457</v>
      </c>
      <c r="B166" s="2">
        <v>4</v>
      </c>
      <c r="C166" s="273"/>
      <c r="D166" s="271"/>
    </row>
    <row r="167" spans="1:4" x14ac:dyDescent="0.45">
      <c r="A167" s="1">
        <v>45458</v>
      </c>
      <c r="B167" s="2">
        <v>6</v>
      </c>
      <c r="C167" s="273"/>
      <c r="D167" s="271"/>
    </row>
    <row r="168" spans="1:4" x14ac:dyDescent="0.45">
      <c r="A168" s="1">
        <v>45459</v>
      </c>
      <c r="B168" s="2">
        <v>6</v>
      </c>
      <c r="C168" s="273"/>
      <c r="D168" s="271"/>
    </row>
    <row r="169" spans="1:4" x14ac:dyDescent="0.45">
      <c r="A169" s="1">
        <v>45460</v>
      </c>
      <c r="B169" s="2">
        <v>4</v>
      </c>
      <c r="C169" s="273"/>
      <c r="D169" s="271"/>
    </row>
    <row r="170" spans="1:4" x14ac:dyDescent="0.45">
      <c r="A170" s="1">
        <v>45461</v>
      </c>
      <c r="B170" s="2">
        <v>4</v>
      </c>
      <c r="C170" s="273"/>
      <c r="D170" s="271"/>
    </row>
    <row r="171" spans="1:4" x14ac:dyDescent="0.45">
      <c r="A171" s="1">
        <v>45462</v>
      </c>
      <c r="B171" s="2">
        <v>10</v>
      </c>
      <c r="C171" s="273"/>
      <c r="D171" s="271"/>
    </row>
    <row r="172" spans="1:4" x14ac:dyDescent="0.45">
      <c r="A172" s="1">
        <v>45463</v>
      </c>
      <c r="B172" s="2">
        <v>2</v>
      </c>
      <c r="C172" s="273"/>
      <c r="D172" s="271"/>
    </row>
    <row r="173" spans="1:4" x14ac:dyDescent="0.45">
      <c r="A173" s="1">
        <v>45464</v>
      </c>
      <c r="B173" s="2">
        <v>2</v>
      </c>
      <c r="C173" s="273"/>
      <c r="D173" s="271"/>
    </row>
    <row r="174" spans="1:4" x14ac:dyDescent="0.45">
      <c r="A174" s="1">
        <v>45465</v>
      </c>
      <c r="B174" s="2">
        <v>4</v>
      </c>
      <c r="C174" s="273"/>
      <c r="D174" s="271"/>
    </row>
    <row r="175" spans="1:4" x14ac:dyDescent="0.45">
      <c r="A175" s="1">
        <v>45466</v>
      </c>
      <c r="B175" s="2">
        <v>4</v>
      </c>
      <c r="C175" s="273"/>
      <c r="D175" s="271"/>
    </row>
    <row r="176" spans="1:4" x14ac:dyDescent="0.45">
      <c r="A176" s="1">
        <v>45467</v>
      </c>
      <c r="B176" s="2">
        <v>6</v>
      </c>
      <c r="C176" s="273"/>
      <c r="D176" s="271"/>
    </row>
    <row r="177" spans="1:4" x14ac:dyDescent="0.45">
      <c r="A177" s="1">
        <v>45468</v>
      </c>
      <c r="B177" s="2">
        <v>4</v>
      </c>
      <c r="C177" s="273"/>
      <c r="D177" s="271"/>
    </row>
    <row r="178" spans="1:4" x14ac:dyDescent="0.45">
      <c r="A178" s="1">
        <v>45469</v>
      </c>
      <c r="B178" s="2">
        <v>4</v>
      </c>
      <c r="C178" s="273"/>
      <c r="D178" s="271"/>
    </row>
    <row r="179" spans="1:4" x14ac:dyDescent="0.45">
      <c r="A179" s="1">
        <v>45470</v>
      </c>
      <c r="B179" s="2">
        <v>6</v>
      </c>
      <c r="C179" s="273"/>
      <c r="D179" s="271"/>
    </row>
    <row r="180" spans="1:4" x14ac:dyDescent="0.45">
      <c r="A180" s="1">
        <v>45471</v>
      </c>
      <c r="B180" s="2">
        <v>10</v>
      </c>
      <c r="C180" s="273"/>
      <c r="D180" s="271"/>
    </row>
    <row r="181" spans="1:4" x14ac:dyDescent="0.45">
      <c r="A181" s="1">
        <v>45472</v>
      </c>
      <c r="B181" s="2">
        <v>8</v>
      </c>
      <c r="C181" s="273"/>
      <c r="D181" s="271"/>
    </row>
    <row r="182" spans="1:4" x14ac:dyDescent="0.45">
      <c r="A182" s="1">
        <v>45473</v>
      </c>
      <c r="B182" s="2">
        <v>6</v>
      </c>
      <c r="C182" s="270"/>
      <c r="D182" s="271"/>
    </row>
    <row r="183" spans="1:4" x14ac:dyDescent="0.45">
      <c r="A183" s="1">
        <v>45474</v>
      </c>
      <c r="B183" s="2">
        <v>6</v>
      </c>
      <c r="C183" s="272">
        <f>AVERAGE(B183:B213)</f>
        <v>5.032258064516129</v>
      </c>
      <c r="D183" s="271"/>
    </row>
    <row r="184" spans="1:4" x14ac:dyDescent="0.45">
      <c r="A184" s="1">
        <v>45475</v>
      </c>
      <c r="B184" s="2">
        <v>4</v>
      </c>
      <c r="C184" s="273"/>
      <c r="D184" s="271"/>
    </row>
    <row r="185" spans="1:4" x14ac:dyDescent="0.45">
      <c r="A185" s="1">
        <v>45476</v>
      </c>
      <c r="B185" s="2">
        <v>2</v>
      </c>
      <c r="C185" s="273"/>
      <c r="D185" s="271"/>
    </row>
    <row r="186" spans="1:4" x14ac:dyDescent="0.45">
      <c r="A186" s="1">
        <v>45477</v>
      </c>
      <c r="B186" s="2">
        <v>4</v>
      </c>
      <c r="C186" s="273"/>
      <c r="D186" s="271"/>
    </row>
    <row r="187" spans="1:4" x14ac:dyDescent="0.45">
      <c r="A187" s="1">
        <v>45478</v>
      </c>
      <c r="B187" s="2">
        <v>4</v>
      </c>
      <c r="C187" s="273"/>
      <c r="D187" s="271"/>
    </row>
    <row r="188" spans="1:4" x14ac:dyDescent="0.45">
      <c r="A188" s="1">
        <v>45479</v>
      </c>
      <c r="B188" s="2">
        <v>10</v>
      </c>
      <c r="C188" s="273"/>
      <c r="D188" s="271"/>
    </row>
    <row r="189" spans="1:4" x14ac:dyDescent="0.45">
      <c r="A189" s="1">
        <v>45480</v>
      </c>
      <c r="B189" s="2">
        <v>6</v>
      </c>
      <c r="C189" s="273"/>
      <c r="D189" s="271"/>
    </row>
    <row r="190" spans="1:4" x14ac:dyDescent="0.45">
      <c r="A190" s="1">
        <v>45481</v>
      </c>
      <c r="B190" s="2">
        <v>4</v>
      </c>
      <c r="C190" s="273"/>
      <c r="D190" s="271"/>
    </row>
    <row r="191" spans="1:4" x14ac:dyDescent="0.45">
      <c r="A191" s="1">
        <v>45482</v>
      </c>
      <c r="B191" s="2">
        <v>4</v>
      </c>
      <c r="C191" s="273"/>
      <c r="D191" s="271"/>
    </row>
    <row r="192" spans="1:4" x14ac:dyDescent="0.45">
      <c r="A192" s="1">
        <v>45483</v>
      </c>
      <c r="B192" s="2">
        <v>4</v>
      </c>
      <c r="C192" s="273"/>
      <c r="D192" s="271"/>
    </row>
    <row r="193" spans="1:4" x14ac:dyDescent="0.45">
      <c r="A193" s="1">
        <v>45484</v>
      </c>
      <c r="B193" s="2">
        <v>6</v>
      </c>
      <c r="C193" s="273"/>
      <c r="D193" s="271"/>
    </row>
    <row r="194" spans="1:4" x14ac:dyDescent="0.45">
      <c r="A194" s="1">
        <v>45485</v>
      </c>
      <c r="B194" s="2">
        <v>4</v>
      </c>
      <c r="C194" s="273"/>
      <c r="D194" s="271"/>
    </row>
    <row r="195" spans="1:4" x14ac:dyDescent="0.45">
      <c r="A195" s="1">
        <v>45486</v>
      </c>
      <c r="B195" s="2">
        <v>10</v>
      </c>
      <c r="C195" s="273"/>
      <c r="D195" s="271"/>
    </row>
    <row r="196" spans="1:4" x14ac:dyDescent="0.45">
      <c r="A196" s="1">
        <v>45487</v>
      </c>
      <c r="B196" s="2">
        <v>6</v>
      </c>
      <c r="C196" s="273"/>
      <c r="D196" s="271"/>
    </row>
    <row r="197" spans="1:4" x14ac:dyDescent="0.45">
      <c r="A197" s="1">
        <v>45488</v>
      </c>
      <c r="B197" s="2">
        <v>4</v>
      </c>
      <c r="C197" s="273"/>
      <c r="D197" s="271"/>
    </row>
    <row r="198" spans="1:4" x14ac:dyDescent="0.45">
      <c r="A198" s="1">
        <v>45489</v>
      </c>
      <c r="B198" s="2">
        <v>4</v>
      </c>
      <c r="C198" s="273"/>
      <c r="D198" s="271"/>
    </row>
    <row r="199" spans="1:4" x14ac:dyDescent="0.45">
      <c r="A199" s="1">
        <v>45490</v>
      </c>
      <c r="B199" s="2">
        <v>6</v>
      </c>
      <c r="C199" s="273"/>
      <c r="D199" s="271"/>
    </row>
    <row r="200" spans="1:4" x14ac:dyDescent="0.45">
      <c r="A200" s="1">
        <v>45491</v>
      </c>
      <c r="B200" s="2">
        <v>4</v>
      </c>
      <c r="C200" s="273"/>
      <c r="D200" s="271"/>
    </row>
    <row r="201" spans="1:4" x14ac:dyDescent="0.45">
      <c r="A201" s="1">
        <v>45492</v>
      </c>
      <c r="B201" s="2">
        <v>2</v>
      </c>
      <c r="C201" s="273"/>
      <c r="D201" s="271"/>
    </row>
    <row r="202" spans="1:4" x14ac:dyDescent="0.45">
      <c r="A202" s="1">
        <v>45493</v>
      </c>
      <c r="B202" s="2">
        <v>8</v>
      </c>
      <c r="C202" s="273"/>
      <c r="D202" s="271"/>
    </row>
    <row r="203" spans="1:4" x14ac:dyDescent="0.45">
      <c r="A203" s="1">
        <v>45494</v>
      </c>
      <c r="B203" s="2">
        <v>6</v>
      </c>
      <c r="C203" s="273"/>
      <c r="D203" s="271"/>
    </row>
    <row r="204" spans="1:4" x14ac:dyDescent="0.45">
      <c r="A204" s="1">
        <v>45495</v>
      </c>
      <c r="B204" s="2">
        <v>4</v>
      </c>
      <c r="C204" s="273"/>
      <c r="D204" s="271"/>
    </row>
    <row r="205" spans="1:4" x14ac:dyDescent="0.45">
      <c r="A205" s="1">
        <v>45496</v>
      </c>
      <c r="B205" s="2">
        <v>4</v>
      </c>
      <c r="C205" s="273"/>
      <c r="D205" s="271"/>
    </row>
    <row r="206" spans="1:4" x14ac:dyDescent="0.45">
      <c r="A206" s="1">
        <v>45497</v>
      </c>
      <c r="B206" s="2">
        <v>2</v>
      </c>
      <c r="C206" s="273"/>
      <c r="D206" s="271"/>
    </row>
    <row r="207" spans="1:4" x14ac:dyDescent="0.45">
      <c r="A207" s="1">
        <v>45498</v>
      </c>
      <c r="B207" s="2">
        <v>4</v>
      </c>
      <c r="C207" s="273"/>
      <c r="D207" s="271"/>
    </row>
    <row r="208" spans="1:4" x14ac:dyDescent="0.45">
      <c r="A208" s="1">
        <v>45499</v>
      </c>
      <c r="B208" s="2">
        <v>4</v>
      </c>
      <c r="C208" s="273"/>
      <c r="D208" s="271"/>
    </row>
    <row r="209" spans="1:4" x14ac:dyDescent="0.45">
      <c r="A209" s="1">
        <v>45500</v>
      </c>
      <c r="B209" s="2">
        <v>6</v>
      </c>
      <c r="C209" s="273"/>
      <c r="D209" s="271"/>
    </row>
    <row r="210" spans="1:4" x14ac:dyDescent="0.45">
      <c r="A210" s="1">
        <v>45501</v>
      </c>
      <c r="B210" s="2">
        <v>6</v>
      </c>
      <c r="C210" s="273"/>
      <c r="D210" s="271"/>
    </row>
    <row r="211" spans="1:4" x14ac:dyDescent="0.45">
      <c r="A211" s="1">
        <v>45502</v>
      </c>
      <c r="B211" s="2">
        <v>6</v>
      </c>
      <c r="C211" s="273"/>
      <c r="D211" s="271"/>
    </row>
    <row r="212" spans="1:4" x14ac:dyDescent="0.45">
      <c r="A212" s="1">
        <v>45503</v>
      </c>
      <c r="B212" s="2">
        <v>6</v>
      </c>
      <c r="C212" s="273"/>
      <c r="D212" s="271"/>
    </row>
    <row r="213" spans="1:4" x14ac:dyDescent="0.45">
      <c r="A213" s="1">
        <v>45504</v>
      </c>
      <c r="B213" s="2">
        <v>6</v>
      </c>
      <c r="C213" s="270"/>
      <c r="D213" s="271"/>
    </row>
    <row r="214" spans="1:4" x14ac:dyDescent="0.45">
      <c r="A214" s="1">
        <v>45505</v>
      </c>
      <c r="B214" s="2">
        <v>6</v>
      </c>
      <c r="C214" s="272">
        <f>AVERAGE(B214:B244)</f>
        <v>4.967741935483871</v>
      </c>
      <c r="D214" s="271"/>
    </row>
    <row r="215" spans="1:4" x14ac:dyDescent="0.45">
      <c r="A215" s="1">
        <v>45506</v>
      </c>
      <c r="B215" s="2">
        <v>6</v>
      </c>
      <c r="C215" s="273"/>
      <c r="D215" s="271"/>
    </row>
    <row r="216" spans="1:4" x14ac:dyDescent="0.45">
      <c r="A216" s="1">
        <v>45507</v>
      </c>
      <c r="B216" s="2">
        <v>6</v>
      </c>
      <c r="C216" s="273"/>
      <c r="D216" s="271"/>
    </row>
    <row r="217" spans="1:4" x14ac:dyDescent="0.45">
      <c r="A217" s="1">
        <v>45508</v>
      </c>
      <c r="B217" s="2">
        <v>8</v>
      </c>
      <c r="C217" s="273"/>
      <c r="D217" s="271"/>
    </row>
    <row r="218" spans="1:4" x14ac:dyDescent="0.45">
      <c r="A218" s="1">
        <v>45509</v>
      </c>
      <c r="B218" s="2">
        <v>4</v>
      </c>
      <c r="C218" s="273"/>
      <c r="D218" s="271"/>
    </row>
    <row r="219" spans="1:4" x14ac:dyDescent="0.45">
      <c r="A219" s="1">
        <v>45510</v>
      </c>
      <c r="B219" s="2">
        <v>4</v>
      </c>
      <c r="C219" s="273"/>
      <c r="D219" s="271"/>
    </row>
    <row r="220" spans="1:4" x14ac:dyDescent="0.45">
      <c r="A220" s="1">
        <v>45511</v>
      </c>
      <c r="B220" s="2">
        <v>6</v>
      </c>
      <c r="C220" s="273"/>
      <c r="D220" s="271"/>
    </row>
    <row r="221" spans="1:4" x14ac:dyDescent="0.45">
      <c r="A221" s="1">
        <v>45512</v>
      </c>
      <c r="B221" s="2">
        <v>4</v>
      </c>
      <c r="C221" s="273"/>
      <c r="D221" s="271"/>
    </row>
    <row r="222" spans="1:4" x14ac:dyDescent="0.45">
      <c r="A222" s="1">
        <v>45513</v>
      </c>
      <c r="B222" s="2">
        <v>6</v>
      </c>
      <c r="C222" s="273"/>
      <c r="D222" s="271"/>
    </row>
    <row r="223" spans="1:4" x14ac:dyDescent="0.45">
      <c r="A223" s="1">
        <v>45514</v>
      </c>
      <c r="B223" s="2">
        <v>6</v>
      </c>
      <c r="C223" s="273"/>
      <c r="D223" s="271"/>
    </row>
    <row r="224" spans="1:4" x14ac:dyDescent="0.45">
      <c r="A224" s="1">
        <v>45515</v>
      </c>
      <c r="B224" s="2">
        <v>6</v>
      </c>
      <c r="C224" s="273"/>
      <c r="D224" s="271"/>
    </row>
    <row r="225" spans="1:4" x14ac:dyDescent="0.45">
      <c r="A225" s="1">
        <v>45516</v>
      </c>
      <c r="B225" s="2">
        <v>6</v>
      </c>
      <c r="C225" s="273"/>
      <c r="D225" s="271"/>
    </row>
    <row r="226" spans="1:4" x14ac:dyDescent="0.45">
      <c r="A226" s="1">
        <v>45517</v>
      </c>
      <c r="B226" s="2">
        <v>4</v>
      </c>
      <c r="C226" s="273"/>
      <c r="D226" s="271"/>
    </row>
    <row r="227" spans="1:4" x14ac:dyDescent="0.45">
      <c r="A227" s="1">
        <v>45518</v>
      </c>
      <c r="B227" s="2">
        <v>2</v>
      </c>
      <c r="C227" s="273"/>
      <c r="D227" s="271"/>
    </row>
    <row r="228" spans="1:4" x14ac:dyDescent="0.45">
      <c r="A228" s="1">
        <v>45519</v>
      </c>
      <c r="B228" s="2">
        <v>2</v>
      </c>
      <c r="C228" s="273"/>
      <c r="D228" s="271"/>
    </row>
    <row r="229" spans="1:4" x14ac:dyDescent="0.45">
      <c r="A229" s="1">
        <v>45520</v>
      </c>
      <c r="B229" s="2">
        <v>4</v>
      </c>
      <c r="C229" s="273"/>
      <c r="D229" s="271"/>
    </row>
    <row r="230" spans="1:4" x14ac:dyDescent="0.45">
      <c r="A230" s="1">
        <v>45521</v>
      </c>
      <c r="B230" s="2">
        <v>6</v>
      </c>
      <c r="C230" s="273"/>
      <c r="D230" s="271"/>
    </row>
    <row r="231" spans="1:4" x14ac:dyDescent="0.45">
      <c r="A231" s="1">
        <v>45522</v>
      </c>
      <c r="B231" s="2">
        <v>8</v>
      </c>
      <c r="C231" s="273"/>
      <c r="D231" s="271"/>
    </row>
    <row r="232" spans="1:4" x14ac:dyDescent="0.45">
      <c r="A232" s="1">
        <v>45523</v>
      </c>
      <c r="B232" s="2">
        <v>4</v>
      </c>
      <c r="C232" s="273"/>
      <c r="D232" s="271"/>
    </row>
    <row r="233" spans="1:4" x14ac:dyDescent="0.45">
      <c r="A233" s="1">
        <v>45524</v>
      </c>
      <c r="B233" s="2">
        <v>4</v>
      </c>
      <c r="C233" s="273"/>
      <c r="D233" s="271"/>
    </row>
    <row r="234" spans="1:4" x14ac:dyDescent="0.45">
      <c r="A234" s="1">
        <v>45525</v>
      </c>
      <c r="B234" s="2">
        <v>4</v>
      </c>
      <c r="C234" s="273"/>
      <c r="D234" s="271"/>
    </row>
    <row r="235" spans="1:4" x14ac:dyDescent="0.45">
      <c r="A235" s="1">
        <v>45526</v>
      </c>
      <c r="B235" s="2">
        <v>4</v>
      </c>
      <c r="C235" s="273"/>
      <c r="D235" s="271"/>
    </row>
    <row r="236" spans="1:4" x14ac:dyDescent="0.45">
      <c r="A236" s="1">
        <v>45527</v>
      </c>
      <c r="B236" s="2">
        <v>6</v>
      </c>
      <c r="C236" s="273"/>
      <c r="D236" s="271"/>
    </row>
    <row r="237" spans="1:4" x14ac:dyDescent="0.45">
      <c r="A237" s="1">
        <v>45528</v>
      </c>
      <c r="B237" s="2">
        <v>4</v>
      </c>
      <c r="C237" s="273"/>
      <c r="D237" s="271"/>
    </row>
    <row r="238" spans="1:4" x14ac:dyDescent="0.45">
      <c r="A238" s="1">
        <v>45529</v>
      </c>
      <c r="B238" s="2">
        <v>4</v>
      </c>
      <c r="C238" s="273"/>
      <c r="D238" s="271"/>
    </row>
    <row r="239" spans="1:4" x14ac:dyDescent="0.45">
      <c r="A239" s="1">
        <v>45530</v>
      </c>
      <c r="B239" s="2">
        <v>6</v>
      </c>
      <c r="C239" s="273"/>
      <c r="D239" s="271"/>
    </row>
    <row r="240" spans="1:4" x14ac:dyDescent="0.45">
      <c r="A240" s="1">
        <v>45531</v>
      </c>
      <c r="B240" s="2">
        <v>2</v>
      </c>
      <c r="C240" s="273"/>
      <c r="D240" s="271"/>
    </row>
    <row r="241" spans="1:4" x14ac:dyDescent="0.45">
      <c r="A241" s="1">
        <v>45532</v>
      </c>
      <c r="B241" s="2">
        <v>6</v>
      </c>
      <c r="C241" s="273"/>
      <c r="D241" s="271"/>
    </row>
    <row r="242" spans="1:4" x14ac:dyDescent="0.45">
      <c r="A242" s="1">
        <v>45533</v>
      </c>
      <c r="B242" s="2">
        <v>6</v>
      </c>
      <c r="C242" s="273"/>
      <c r="D242" s="271"/>
    </row>
    <row r="243" spans="1:4" x14ac:dyDescent="0.45">
      <c r="A243" s="1">
        <v>45534</v>
      </c>
      <c r="B243" s="2">
        <v>4</v>
      </c>
      <c r="C243" s="273"/>
      <c r="D243" s="271"/>
    </row>
    <row r="244" spans="1:4" x14ac:dyDescent="0.45">
      <c r="A244" s="1">
        <v>45535</v>
      </c>
      <c r="B244" s="2">
        <v>6</v>
      </c>
      <c r="C244" s="270"/>
      <c r="D244" s="271"/>
    </row>
    <row r="245" spans="1:4" x14ac:dyDescent="0.45">
      <c r="A245" s="1">
        <v>45536</v>
      </c>
      <c r="B245" s="2">
        <v>4</v>
      </c>
      <c r="C245" s="272">
        <f>AVERAGE(B245:B274)</f>
        <v>5.2666666666666666</v>
      </c>
      <c r="D245" s="271"/>
    </row>
    <row r="246" spans="1:4" x14ac:dyDescent="0.45">
      <c r="A246" s="1">
        <v>45537</v>
      </c>
      <c r="B246" s="2">
        <v>4</v>
      </c>
      <c r="C246" s="273"/>
      <c r="D246" s="271"/>
    </row>
    <row r="247" spans="1:4" x14ac:dyDescent="0.45">
      <c r="A247" s="1">
        <v>45538</v>
      </c>
      <c r="B247" s="2">
        <v>6</v>
      </c>
      <c r="C247" s="273"/>
      <c r="D247" s="271"/>
    </row>
    <row r="248" spans="1:4" x14ac:dyDescent="0.45">
      <c r="A248" s="1">
        <v>45539</v>
      </c>
      <c r="B248" s="2">
        <v>4</v>
      </c>
      <c r="C248" s="273"/>
      <c r="D248" s="271"/>
    </row>
    <row r="249" spans="1:4" x14ac:dyDescent="0.45">
      <c r="A249" s="1">
        <v>45540</v>
      </c>
      <c r="B249" s="2">
        <v>6</v>
      </c>
      <c r="C249" s="273"/>
      <c r="D249" s="271"/>
    </row>
    <row r="250" spans="1:4" x14ac:dyDescent="0.45">
      <c r="A250" s="1">
        <v>45541</v>
      </c>
      <c r="B250" s="2">
        <v>4</v>
      </c>
      <c r="C250" s="273"/>
      <c r="D250" s="271"/>
    </row>
    <row r="251" spans="1:4" x14ac:dyDescent="0.45">
      <c r="A251" s="1">
        <v>45542</v>
      </c>
      <c r="B251" s="2">
        <v>4</v>
      </c>
      <c r="C251" s="273"/>
      <c r="D251" s="271"/>
    </row>
    <row r="252" spans="1:4" x14ac:dyDescent="0.45">
      <c r="A252" s="1">
        <v>45543</v>
      </c>
      <c r="B252" s="2">
        <v>6</v>
      </c>
      <c r="C252" s="273"/>
      <c r="D252" s="271"/>
    </row>
    <row r="253" spans="1:4" x14ac:dyDescent="0.45">
      <c r="A253" s="1">
        <v>45544</v>
      </c>
      <c r="B253" s="2">
        <v>4</v>
      </c>
      <c r="C253" s="273"/>
      <c r="D253" s="271"/>
    </row>
    <row r="254" spans="1:4" x14ac:dyDescent="0.45">
      <c r="A254" s="1">
        <v>45545</v>
      </c>
      <c r="B254" s="2">
        <v>4</v>
      </c>
      <c r="C254" s="273"/>
      <c r="D254" s="271"/>
    </row>
    <row r="255" spans="1:4" x14ac:dyDescent="0.45">
      <c r="A255" s="1">
        <v>45546</v>
      </c>
      <c r="B255" s="2">
        <v>6</v>
      </c>
      <c r="C255" s="273"/>
      <c r="D255" s="271"/>
    </row>
    <row r="256" spans="1:4" x14ac:dyDescent="0.45">
      <c r="A256" s="1">
        <v>45547</v>
      </c>
      <c r="B256" s="2">
        <v>6</v>
      </c>
      <c r="C256" s="273"/>
      <c r="D256" s="271"/>
    </row>
    <row r="257" spans="1:4" x14ac:dyDescent="0.45">
      <c r="A257" s="1">
        <v>45548</v>
      </c>
      <c r="B257" s="2">
        <v>10</v>
      </c>
      <c r="C257" s="273"/>
      <c r="D257" s="271"/>
    </row>
    <row r="258" spans="1:4" x14ac:dyDescent="0.45">
      <c r="A258" s="1">
        <v>45549</v>
      </c>
      <c r="B258" s="2">
        <v>8</v>
      </c>
      <c r="C258" s="273"/>
      <c r="D258" s="271"/>
    </row>
    <row r="259" spans="1:4" x14ac:dyDescent="0.45">
      <c r="A259" s="1">
        <v>45550</v>
      </c>
      <c r="B259" s="2">
        <v>6</v>
      </c>
      <c r="C259" s="273"/>
      <c r="D259" s="271"/>
    </row>
    <row r="260" spans="1:4" x14ac:dyDescent="0.45">
      <c r="A260" s="1">
        <v>45551</v>
      </c>
      <c r="B260" s="2">
        <v>6</v>
      </c>
      <c r="C260" s="273"/>
      <c r="D260" s="271"/>
    </row>
    <row r="261" spans="1:4" x14ac:dyDescent="0.45">
      <c r="A261" s="1">
        <v>45552</v>
      </c>
      <c r="B261" s="2">
        <v>4</v>
      </c>
      <c r="C261" s="273"/>
      <c r="D261" s="271"/>
    </row>
    <row r="262" spans="1:4" x14ac:dyDescent="0.45">
      <c r="A262" s="1">
        <v>45553</v>
      </c>
      <c r="B262" s="2">
        <v>2</v>
      </c>
      <c r="C262" s="273"/>
      <c r="D262" s="271"/>
    </row>
    <row r="263" spans="1:4" x14ac:dyDescent="0.45">
      <c r="A263" s="1">
        <v>45554</v>
      </c>
      <c r="B263" s="2">
        <v>4</v>
      </c>
      <c r="C263" s="273"/>
      <c r="D263" s="271"/>
    </row>
    <row r="264" spans="1:4" x14ac:dyDescent="0.45">
      <c r="A264" s="1">
        <v>45555</v>
      </c>
      <c r="B264" s="2">
        <v>4</v>
      </c>
      <c r="C264" s="273"/>
      <c r="D264" s="271"/>
    </row>
    <row r="265" spans="1:4" x14ac:dyDescent="0.45">
      <c r="A265" s="1">
        <v>45556</v>
      </c>
      <c r="B265" s="2">
        <v>6</v>
      </c>
      <c r="C265" s="273"/>
      <c r="D265" s="271"/>
    </row>
    <row r="266" spans="1:4" x14ac:dyDescent="0.45">
      <c r="A266" s="1">
        <v>45557</v>
      </c>
      <c r="B266" s="2">
        <v>6</v>
      </c>
      <c r="C266" s="273"/>
      <c r="D266" s="271"/>
    </row>
    <row r="267" spans="1:4" x14ac:dyDescent="0.45">
      <c r="A267" s="1">
        <v>45558</v>
      </c>
      <c r="B267" s="2">
        <v>4</v>
      </c>
      <c r="C267" s="273"/>
      <c r="D267" s="271"/>
    </row>
    <row r="268" spans="1:4" x14ac:dyDescent="0.45">
      <c r="A268" s="1">
        <v>45559</v>
      </c>
      <c r="B268" s="2">
        <v>2</v>
      </c>
      <c r="C268" s="273"/>
      <c r="D268" s="271"/>
    </row>
    <row r="269" spans="1:4" x14ac:dyDescent="0.45">
      <c r="A269" s="1">
        <v>45560</v>
      </c>
      <c r="B269" s="2">
        <v>6</v>
      </c>
      <c r="C269" s="273"/>
      <c r="D269" s="271"/>
    </row>
    <row r="270" spans="1:4" x14ac:dyDescent="0.45">
      <c r="A270" s="1">
        <v>45561</v>
      </c>
      <c r="B270" s="2">
        <v>8</v>
      </c>
      <c r="C270" s="273"/>
      <c r="D270" s="271"/>
    </row>
    <row r="271" spans="1:4" x14ac:dyDescent="0.45">
      <c r="A271" s="1">
        <v>45562</v>
      </c>
      <c r="B271" s="2">
        <v>4</v>
      </c>
      <c r="C271" s="273"/>
      <c r="D271" s="271"/>
    </row>
    <row r="272" spans="1:4" x14ac:dyDescent="0.45">
      <c r="A272" s="1">
        <v>45563</v>
      </c>
      <c r="B272" s="2">
        <v>6</v>
      </c>
      <c r="C272" s="273"/>
      <c r="D272" s="271"/>
    </row>
    <row r="273" spans="1:4" x14ac:dyDescent="0.45">
      <c r="A273" s="1">
        <v>45564</v>
      </c>
      <c r="B273" s="2">
        <v>8</v>
      </c>
      <c r="C273" s="273"/>
      <c r="D273" s="271"/>
    </row>
    <row r="274" spans="1:4" x14ac:dyDescent="0.45">
      <c r="A274" s="1">
        <v>45565</v>
      </c>
      <c r="B274" s="2">
        <v>6</v>
      </c>
      <c r="C274" s="270"/>
      <c r="D274" s="271"/>
    </row>
    <row r="275" spans="1:4" x14ac:dyDescent="0.45">
      <c r="A275" s="1">
        <v>45566</v>
      </c>
      <c r="B275" s="2">
        <v>4</v>
      </c>
      <c r="C275" s="272">
        <f>AVERAGE(B275:B305)</f>
        <v>5.612903225806452</v>
      </c>
      <c r="D275" s="271"/>
    </row>
    <row r="276" spans="1:4" x14ac:dyDescent="0.45">
      <c r="A276" s="1">
        <v>45567</v>
      </c>
      <c r="B276" s="2">
        <v>6</v>
      </c>
      <c r="C276" s="273"/>
      <c r="D276" s="271"/>
    </row>
    <row r="277" spans="1:4" x14ac:dyDescent="0.45">
      <c r="A277" s="1">
        <v>45568</v>
      </c>
      <c r="B277" s="2">
        <v>6</v>
      </c>
      <c r="C277" s="273"/>
      <c r="D277" s="271"/>
    </row>
    <row r="278" spans="1:4" x14ac:dyDescent="0.45">
      <c r="A278" s="1">
        <v>45569</v>
      </c>
      <c r="B278" s="2">
        <v>6</v>
      </c>
      <c r="C278" s="273"/>
      <c r="D278" s="271"/>
    </row>
    <row r="279" spans="1:4" x14ac:dyDescent="0.45">
      <c r="A279" s="1">
        <v>45570</v>
      </c>
      <c r="B279" s="2">
        <v>2</v>
      </c>
      <c r="C279" s="273"/>
      <c r="D279" s="271"/>
    </row>
    <row r="280" spans="1:4" x14ac:dyDescent="0.45">
      <c r="A280" s="1">
        <v>45571</v>
      </c>
      <c r="B280" s="2">
        <v>4</v>
      </c>
      <c r="C280" s="273"/>
      <c r="D280" s="271"/>
    </row>
    <row r="281" spans="1:4" x14ac:dyDescent="0.45">
      <c r="A281" s="1">
        <v>45572</v>
      </c>
      <c r="B281" s="2">
        <v>0</v>
      </c>
      <c r="C281" s="273"/>
      <c r="D281" s="271"/>
    </row>
    <row r="282" spans="1:4" x14ac:dyDescent="0.45">
      <c r="A282" s="1">
        <v>45573</v>
      </c>
      <c r="B282" s="2">
        <v>2</v>
      </c>
      <c r="C282" s="273"/>
      <c r="D282" s="271"/>
    </row>
    <row r="283" spans="1:4" x14ac:dyDescent="0.45">
      <c r="A283" s="1">
        <v>45574</v>
      </c>
      <c r="B283" s="2">
        <v>6</v>
      </c>
      <c r="C283" s="273"/>
      <c r="D283" s="271"/>
    </row>
    <row r="284" spans="1:4" x14ac:dyDescent="0.45">
      <c r="A284" s="1">
        <v>45575</v>
      </c>
      <c r="B284" s="2">
        <v>6</v>
      </c>
      <c r="C284" s="273"/>
      <c r="D284" s="271"/>
    </row>
    <row r="285" spans="1:4" x14ac:dyDescent="0.45">
      <c r="A285" s="1">
        <v>45576</v>
      </c>
      <c r="B285" s="2">
        <v>8</v>
      </c>
      <c r="C285" s="273"/>
      <c r="D285" s="271"/>
    </row>
    <row r="286" spans="1:4" x14ac:dyDescent="0.45">
      <c r="A286" s="1">
        <v>45577</v>
      </c>
      <c r="B286" s="2">
        <v>8</v>
      </c>
      <c r="C286" s="273"/>
      <c r="D286" s="271"/>
    </row>
    <row r="287" spans="1:4" x14ac:dyDescent="0.45">
      <c r="A287" s="1">
        <v>45578</v>
      </c>
      <c r="B287" s="2">
        <v>6</v>
      </c>
      <c r="C287" s="273"/>
      <c r="D287" s="271"/>
    </row>
    <row r="288" spans="1:4" x14ac:dyDescent="0.45">
      <c r="A288" s="1">
        <v>45579</v>
      </c>
      <c r="B288" s="2">
        <v>6</v>
      </c>
      <c r="C288" s="273"/>
      <c r="D288" s="271"/>
    </row>
    <row r="289" spans="1:4" x14ac:dyDescent="0.45">
      <c r="A289" s="1">
        <v>45580</v>
      </c>
      <c r="B289" s="2">
        <v>6</v>
      </c>
      <c r="C289" s="273"/>
      <c r="D289" s="271"/>
    </row>
    <row r="290" spans="1:4" x14ac:dyDescent="0.45">
      <c r="A290" s="1">
        <v>45581</v>
      </c>
      <c r="B290" s="2">
        <v>4</v>
      </c>
      <c r="C290" s="273"/>
      <c r="D290" s="271"/>
    </row>
    <row r="291" spans="1:4" x14ac:dyDescent="0.45">
      <c r="A291" s="1">
        <v>45582</v>
      </c>
      <c r="B291" s="2">
        <v>6</v>
      </c>
      <c r="C291" s="273"/>
      <c r="D291" s="271"/>
    </row>
    <row r="292" spans="1:4" x14ac:dyDescent="0.45">
      <c r="A292" s="1">
        <v>45583</v>
      </c>
      <c r="B292" s="2">
        <v>8</v>
      </c>
      <c r="C292" s="273"/>
      <c r="D292" s="271"/>
    </row>
    <row r="293" spans="1:4" x14ac:dyDescent="0.45">
      <c r="A293" s="1">
        <v>45584</v>
      </c>
      <c r="B293" s="2">
        <v>6</v>
      </c>
      <c r="C293" s="273"/>
      <c r="D293" s="271"/>
    </row>
    <row r="294" spans="1:4" x14ac:dyDescent="0.45">
      <c r="A294" s="1">
        <v>45585</v>
      </c>
      <c r="B294" s="2">
        <v>6</v>
      </c>
      <c r="C294" s="273"/>
      <c r="D294" s="271"/>
    </row>
    <row r="295" spans="1:4" x14ac:dyDescent="0.45">
      <c r="A295" s="1">
        <v>45586</v>
      </c>
      <c r="B295" s="2">
        <v>6</v>
      </c>
      <c r="C295" s="273"/>
      <c r="D295" s="271"/>
    </row>
    <row r="296" spans="1:4" x14ac:dyDescent="0.45">
      <c r="A296" s="1">
        <v>45587</v>
      </c>
      <c r="B296" s="2">
        <v>6</v>
      </c>
      <c r="C296" s="273"/>
      <c r="D296" s="271"/>
    </row>
    <row r="297" spans="1:4" x14ac:dyDescent="0.45">
      <c r="A297" s="1">
        <v>45588</v>
      </c>
      <c r="B297" s="2">
        <v>4</v>
      </c>
      <c r="C297" s="273"/>
      <c r="D297" s="271"/>
    </row>
    <row r="298" spans="1:4" x14ac:dyDescent="0.45">
      <c r="A298" s="1">
        <v>45589</v>
      </c>
      <c r="B298" s="2">
        <v>4</v>
      </c>
      <c r="C298" s="273"/>
      <c r="D298" s="271"/>
    </row>
    <row r="299" spans="1:4" x14ac:dyDescent="0.45">
      <c r="A299" s="1">
        <v>45590</v>
      </c>
      <c r="B299" s="2">
        <v>6</v>
      </c>
      <c r="C299" s="273"/>
      <c r="D299" s="271"/>
    </row>
    <row r="300" spans="1:4" x14ac:dyDescent="0.45">
      <c r="A300" s="1">
        <v>45591</v>
      </c>
      <c r="B300" s="2">
        <v>6</v>
      </c>
      <c r="C300" s="273"/>
      <c r="D300" s="271"/>
    </row>
    <row r="301" spans="1:4" x14ac:dyDescent="0.45">
      <c r="A301" s="1">
        <v>45592</v>
      </c>
      <c r="B301" s="2">
        <v>4</v>
      </c>
      <c r="C301" s="273"/>
      <c r="D301" s="271"/>
    </row>
    <row r="302" spans="1:4" x14ac:dyDescent="0.45">
      <c r="A302" s="1">
        <v>45593</v>
      </c>
      <c r="B302" s="2">
        <v>6</v>
      </c>
      <c r="C302" s="273"/>
      <c r="D302" s="271"/>
    </row>
    <row r="303" spans="1:4" x14ac:dyDescent="0.45">
      <c r="A303" s="1">
        <v>45594</v>
      </c>
      <c r="B303" s="2">
        <v>8</v>
      </c>
      <c r="C303" s="273"/>
      <c r="D303" s="271"/>
    </row>
    <row r="304" spans="1:4" x14ac:dyDescent="0.45">
      <c r="A304" s="1">
        <v>45595</v>
      </c>
      <c r="B304" s="2">
        <v>8</v>
      </c>
      <c r="C304" s="273"/>
      <c r="D304" s="271"/>
    </row>
    <row r="305" spans="1:15" x14ac:dyDescent="0.45">
      <c r="A305" s="1">
        <v>45596</v>
      </c>
      <c r="B305" s="2">
        <v>10</v>
      </c>
      <c r="C305" s="270"/>
      <c r="D305" s="271"/>
    </row>
    <row r="306" spans="1:15" x14ac:dyDescent="0.45">
      <c r="A306" s="1">
        <v>45597</v>
      </c>
      <c r="B306" s="2">
        <v>6</v>
      </c>
      <c r="C306" s="272">
        <f>AVERAGE(B306:B335)</f>
        <v>5.5333333333333332</v>
      </c>
      <c r="D306" s="271"/>
    </row>
    <row r="307" spans="1:15" x14ac:dyDescent="0.45">
      <c r="A307" s="1">
        <v>45598</v>
      </c>
      <c r="B307" s="2">
        <v>2</v>
      </c>
      <c r="C307" s="273"/>
      <c r="D307" s="271"/>
    </row>
    <row r="308" spans="1:15" x14ac:dyDescent="0.45">
      <c r="A308" s="1">
        <v>45599</v>
      </c>
      <c r="B308" s="2">
        <v>0</v>
      </c>
      <c r="C308" s="273"/>
      <c r="D308" s="271"/>
    </row>
    <row r="309" spans="1:15" x14ac:dyDescent="0.45">
      <c r="A309" s="1">
        <v>45600</v>
      </c>
      <c r="B309" s="2">
        <v>4</v>
      </c>
      <c r="C309" s="273"/>
      <c r="D309" s="271"/>
    </row>
    <row r="310" spans="1:15" x14ac:dyDescent="0.45">
      <c r="A310" s="1">
        <v>45601</v>
      </c>
      <c r="B310" s="2">
        <v>6</v>
      </c>
      <c r="C310" s="273"/>
      <c r="D310" s="271"/>
    </row>
    <row r="311" spans="1:15" x14ac:dyDescent="0.45">
      <c r="A311" s="1">
        <v>45602</v>
      </c>
      <c r="B311" s="2">
        <v>6</v>
      </c>
      <c r="C311" s="273"/>
      <c r="D311" s="271"/>
    </row>
    <row r="312" spans="1:15" x14ac:dyDescent="0.45">
      <c r="A312" s="1">
        <v>45603</v>
      </c>
      <c r="B312" s="2">
        <v>6</v>
      </c>
      <c r="C312" s="273"/>
      <c r="D312" s="271"/>
    </row>
    <row r="313" spans="1:15" x14ac:dyDescent="0.45">
      <c r="A313" s="1">
        <v>45604</v>
      </c>
      <c r="B313" s="2">
        <v>8</v>
      </c>
      <c r="C313" s="273"/>
      <c r="D313" s="271"/>
    </row>
    <row r="314" spans="1:15" x14ac:dyDescent="0.45">
      <c r="A314" s="1">
        <v>45605</v>
      </c>
      <c r="B314" s="2">
        <v>6</v>
      </c>
      <c r="C314" s="273"/>
      <c r="D314" s="271"/>
    </row>
    <row r="315" spans="1:15" x14ac:dyDescent="0.45">
      <c r="A315" s="1">
        <v>45606</v>
      </c>
      <c r="B315" s="2">
        <v>8</v>
      </c>
      <c r="C315" s="273"/>
      <c r="D315" s="271"/>
    </row>
    <row r="316" spans="1:15" x14ac:dyDescent="0.45">
      <c r="A316" s="1">
        <v>45607</v>
      </c>
      <c r="B316" s="2">
        <v>8</v>
      </c>
      <c r="C316" s="273"/>
      <c r="D316" s="271"/>
      <c r="M316" s="3"/>
      <c r="O316" s="3"/>
    </row>
    <row r="317" spans="1:15" x14ac:dyDescent="0.45">
      <c r="A317" s="1">
        <v>45608</v>
      </c>
      <c r="B317" s="2">
        <v>2</v>
      </c>
      <c r="C317" s="273"/>
      <c r="D317" s="271"/>
      <c r="M317" s="3"/>
      <c r="O317" s="3"/>
    </row>
    <row r="318" spans="1:15" x14ac:dyDescent="0.45">
      <c r="A318" s="1">
        <v>45609</v>
      </c>
      <c r="B318" s="2">
        <v>6</v>
      </c>
      <c r="C318" s="273"/>
      <c r="D318" s="271"/>
      <c r="M318" s="3"/>
      <c r="O318" s="3"/>
    </row>
    <row r="319" spans="1:15" x14ac:dyDescent="0.45">
      <c r="A319" s="1">
        <v>45610</v>
      </c>
      <c r="B319" s="2">
        <v>8</v>
      </c>
      <c r="C319" s="273"/>
      <c r="D319" s="271"/>
    </row>
    <row r="320" spans="1:15" x14ac:dyDescent="0.45">
      <c r="A320" s="1">
        <v>45611</v>
      </c>
      <c r="B320" s="2">
        <v>8</v>
      </c>
      <c r="C320" s="273"/>
      <c r="D320" s="271"/>
    </row>
    <row r="321" spans="1:4" x14ac:dyDescent="0.45">
      <c r="A321" s="1">
        <v>45612</v>
      </c>
      <c r="B321" s="2">
        <v>6</v>
      </c>
      <c r="C321" s="273"/>
      <c r="D321" s="271"/>
    </row>
    <row r="322" spans="1:4" x14ac:dyDescent="0.45">
      <c r="A322" s="1">
        <v>45613</v>
      </c>
      <c r="B322" s="2">
        <v>6</v>
      </c>
      <c r="C322" s="273"/>
      <c r="D322" s="271"/>
    </row>
    <row r="323" spans="1:4" x14ac:dyDescent="0.45">
      <c r="A323" s="1">
        <v>45614</v>
      </c>
      <c r="B323" s="2">
        <v>4</v>
      </c>
      <c r="C323" s="273"/>
      <c r="D323" s="271"/>
    </row>
    <row r="324" spans="1:4" x14ac:dyDescent="0.45">
      <c r="A324" s="1">
        <v>45615</v>
      </c>
      <c r="B324" s="2">
        <v>8</v>
      </c>
      <c r="C324" s="273"/>
      <c r="D324" s="271"/>
    </row>
    <row r="325" spans="1:4" x14ac:dyDescent="0.45">
      <c r="A325" s="1">
        <v>45616</v>
      </c>
      <c r="B325" s="2">
        <v>6</v>
      </c>
      <c r="C325" s="273"/>
      <c r="D325" s="271"/>
    </row>
    <row r="326" spans="1:4" x14ac:dyDescent="0.45">
      <c r="A326" s="1">
        <v>45617</v>
      </c>
      <c r="B326" s="2">
        <v>4</v>
      </c>
      <c r="C326" s="273"/>
      <c r="D326" s="271"/>
    </row>
    <row r="327" spans="1:4" x14ac:dyDescent="0.45">
      <c r="A327" s="1">
        <v>45618</v>
      </c>
      <c r="B327" s="2">
        <v>4</v>
      </c>
      <c r="C327" s="273"/>
      <c r="D327" s="271"/>
    </row>
    <row r="328" spans="1:4" x14ac:dyDescent="0.45">
      <c r="A328" s="1">
        <v>45619</v>
      </c>
      <c r="B328" s="2">
        <v>6</v>
      </c>
      <c r="C328" s="273"/>
      <c r="D328" s="271"/>
    </row>
    <row r="329" spans="1:4" x14ac:dyDescent="0.45">
      <c r="A329" s="1">
        <v>45620</v>
      </c>
      <c r="B329" s="2">
        <v>8</v>
      </c>
      <c r="C329" s="273"/>
      <c r="D329" s="271"/>
    </row>
    <row r="330" spans="1:4" x14ac:dyDescent="0.45">
      <c r="A330" s="1">
        <v>45621</v>
      </c>
      <c r="B330" s="2">
        <v>4</v>
      </c>
      <c r="C330" s="273"/>
      <c r="D330" s="271"/>
    </row>
    <row r="331" spans="1:4" x14ac:dyDescent="0.45">
      <c r="A331" s="1">
        <v>45622</v>
      </c>
      <c r="B331" s="2">
        <v>6</v>
      </c>
      <c r="C331" s="273"/>
      <c r="D331" s="271"/>
    </row>
    <row r="332" spans="1:4" x14ac:dyDescent="0.45">
      <c r="A332" s="1">
        <v>45623</v>
      </c>
      <c r="B332" s="2">
        <v>6</v>
      </c>
      <c r="C332" s="273"/>
      <c r="D332" s="271"/>
    </row>
    <row r="333" spans="1:4" x14ac:dyDescent="0.45">
      <c r="A333" s="1">
        <v>45624</v>
      </c>
      <c r="B333" s="2">
        <v>2</v>
      </c>
      <c r="C333" s="273"/>
      <c r="D333" s="271"/>
    </row>
    <row r="334" spans="1:4" x14ac:dyDescent="0.45">
      <c r="A334" s="1">
        <v>45625</v>
      </c>
      <c r="B334" s="2">
        <v>6</v>
      </c>
      <c r="C334" s="273"/>
      <c r="D334" s="271"/>
    </row>
    <row r="335" spans="1:4" x14ac:dyDescent="0.45">
      <c r="A335" s="1">
        <v>45626</v>
      </c>
      <c r="B335" s="2">
        <v>6</v>
      </c>
      <c r="C335" s="270"/>
      <c r="D335" s="271"/>
    </row>
    <row r="336" spans="1:4" x14ac:dyDescent="0.45">
      <c r="A336" s="1">
        <v>45627</v>
      </c>
      <c r="B336" s="2">
        <v>6</v>
      </c>
      <c r="C336" s="272">
        <f>AVERAGE(B336:B366)</f>
        <v>4.709677419354839</v>
      </c>
      <c r="D336" s="271"/>
    </row>
    <row r="337" spans="1:4" x14ac:dyDescent="0.45">
      <c r="A337" s="1">
        <v>45628</v>
      </c>
      <c r="B337" s="2">
        <v>4</v>
      </c>
      <c r="C337" s="273"/>
      <c r="D337" s="271"/>
    </row>
    <row r="338" spans="1:4" x14ac:dyDescent="0.45">
      <c r="A338" s="1">
        <v>45629</v>
      </c>
      <c r="B338" s="2">
        <v>4</v>
      </c>
      <c r="C338" s="273"/>
      <c r="D338" s="271"/>
    </row>
    <row r="339" spans="1:4" x14ac:dyDescent="0.45">
      <c r="A339" s="1">
        <v>45630</v>
      </c>
      <c r="B339" s="2">
        <v>6</v>
      </c>
      <c r="C339" s="273"/>
      <c r="D339" s="271"/>
    </row>
    <row r="340" spans="1:4" x14ac:dyDescent="0.45">
      <c r="A340" s="1">
        <v>45631</v>
      </c>
      <c r="B340" s="2">
        <v>6</v>
      </c>
      <c r="C340" s="273"/>
      <c r="D340" s="271"/>
    </row>
    <row r="341" spans="1:4" x14ac:dyDescent="0.45">
      <c r="A341" s="1">
        <v>45632</v>
      </c>
      <c r="B341" s="2">
        <v>6</v>
      </c>
      <c r="C341" s="273"/>
      <c r="D341" s="271"/>
    </row>
    <row r="342" spans="1:4" x14ac:dyDescent="0.45">
      <c r="A342" s="1">
        <v>45633</v>
      </c>
      <c r="B342" s="2">
        <v>6</v>
      </c>
      <c r="C342" s="273"/>
      <c r="D342" s="271"/>
    </row>
    <row r="343" spans="1:4" x14ac:dyDescent="0.45">
      <c r="A343" s="1">
        <v>45634</v>
      </c>
      <c r="B343" s="2">
        <v>4</v>
      </c>
      <c r="C343" s="273"/>
      <c r="D343" s="271"/>
    </row>
    <row r="344" spans="1:4" x14ac:dyDescent="0.45">
      <c r="A344" s="1">
        <v>45635</v>
      </c>
      <c r="B344" s="2">
        <v>4</v>
      </c>
      <c r="C344" s="273"/>
      <c r="D344" s="271"/>
    </row>
    <row r="345" spans="1:4" x14ac:dyDescent="0.45">
      <c r="A345" s="1">
        <v>45636</v>
      </c>
      <c r="B345" s="2">
        <v>4</v>
      </c>
      <c r="C345" s="273"/>
      <c r="D345" s="271"/>
    </row>
    <row r="346" spans="1:4" x14ac:dyDescent="0.45">
      <c r="A346" s="1">
        <v>45637</v>
      </c>
      <c r="B346" s="2">
        <v>4</v>
      </c>
      <c r="C346" s="273"/>
      <c r="D346" s="271"/>
    </row>
    <row r="347" spans="1:4" x14ac:dyDescent="0.45">
      <c r="A347" s="1">
        <v>45638</v>
      </c>
      <c r="B347" s="2">
        <v>6</v>
      </c>
      <c r="C347" s="273"/>
      <c r="D347" s="271"/>
    </row>
    <row r="348" spans="1:4" x14ac:dyDescent="0.45">
      <c r="A348" s="1">
        <v>45639</v>
      </c>
      <c r="B348" s="2">
        <v>4</v>
      </c>
      <c r="C348" s="273"/>
      <c r="D348" s="271"/>
    </row>
    <row r="349" spans="1:4" x14ac:dyDescent="0.45">
      <c r="A349" s="1">
        <v>45640</v>
      </c>
      <c r="B349" s="2">
        <v>6</v>
      </c>
      <c r="C349" s="273"/>
      <c r="D349" s="271"/>
    </row>
    <row r="350" spans="1:4" x14ac:dyDescent="0.45">
      <c r="A350" s="1">
        <v>45641</v>
      </c>
      <c r="B350" s="2">
        <v>4</v>
      </c>
      <c r="C350" s="273"/>
      <c r="D350" s="271"/>
    </row>
    <row r="351" spans="1:4" x14ac:dyDescent="0.45">
      <c r="A351" s="1">
        <v>45642</v>
      </c>
      <c r="B351" s="2">
        <v>4</v>
      </c>
      <c r="C351" s="273"/>
      <c r="D351" s="271"/>
    </row>
    <row r="352" spans="1:4" x14ac:dyDescent="0.45">
      <c r="A352" s="1">
        <v>45643</v>
      </c>
      <c r="B352" s="2">
        <v>2</v>
      </c>
      <c r="C352" s="273"/>
      <c r="D352" s="271"/>
    </row>
    <row r="353" spans="1:4" x14ac:dyDescent="0.45">
      <c r="A353" s="1">
        <v>45644</v>
      </c>
      <c r="B353" s="2">
        <v>4</v>
      </c>
      <c r="C353" s="273"/>
      <c r="D353" s="271"/>
    </row>
    <row r="354" spans="1:4" x14ac:dyDescent="0.45">
      <c r="A354" s="1">
        <v>45645</v>
      </c>
      <c r="B354" s="2">
        <v>2</v>
      </c>
      <c r="C354" s="273"/>
      <c r="D354" s="271"/>
    </row>
    <row r="355" spans="1:4" x14ac:dyDescent="0.45">
      <c r="A355" s="1">
        <v>45646</v>
      </c>
      <c r="B355" s="2">
        <v>4</v>
      </c>
      <c r="C355" s="273"/>
      <c r="D355" s="271"/>
    </row>
    <row r="356" spans="1:4" x14ac:dyDescent="0.45">
      <c r="A356" s="1">
        <v>45647</v>
      </c>
      <c r="B356" s="2">
        <v>4</v>
      </c>
      <c r="C356" s="273"/>
      <c r="D356" s="271"/>
    </row>
    <row r="357" spans="1:4" x14ac:dyDescent="0.45">
      <c r="A357" s="1">
        <v>45648</v>
      </c>
      <c r="B357" s="2">
        <v>4</v>
      </c>
      <c r="C357" s="273"/>
      <c r="D357" s="271"/>
    </row>
    <row r="358" spans="1:4" x14ac:dyDescent="0.45">
      <c r="A358" s="1">
        <v>45649</v>
      </c>
      <c r="B358" s="2">
        <v>4</v>
      </c>
      <c r="C358" s="273"/>
      <c r="D358" s="271"/>
    </row>
    <row r="359" spans="1:4" x14ac:dyDescent="0.45">
      <c r="A359" s="1">
        <v>45650</v>
      </c>
      <c r="B359" s="2">
        <v>10</v>
      </c>
      <c r="C359" s="273"/>
      <c r="D359" s="271"/>
    </row>
    <row r="360" spans="1:4" x14ac:dyDescent="0.45">
      <c r="A360" s="1">
        <v>45651</v>
      </c>
      <c r="B360" s="2">
        <v>6</v>
      </c>
      <c r="C360" s="273"/>
      <c r="D360" s="271"/>
    </row>
    <row r="361" spans="1:4" x14ac:dyDescent="0.45">
      <c r="A361" s="1">
        <v>45652</v>
      </c>
      <c r="B361" s="2">
        <v>4</v>
      </c>
      <c r="C361" s="273"/>
      <c r="D361" s="271"/>
    </row>
    <row r="362" spans="1:4" x14ac:dyDescent="0.45">
      <c r="A362" s="1">
        <v>45653</v>
      </c>
      <c r="B362" s="2">
        <v>4</v>
      </c>
      <c r="C362" s="273"/>
      <c r="D362" s="271"/>
    </row>
    <row r="363" spans="1:4" x14ac:dyDescent="0.45">
      <c r="A363" s="1">
        <v>45654</v>
      </c>
      <c r="B363" s="2">
        <v>4</v>
      </c>
      <c r="C363" s="273"/>
      <c r="D363" s="271"/>
    </row>
    <row r="364" spans="1:4" x14ac:dyDescent="0.45">
      <c r="A364" s="1">
        <v>45655</v>
      </c>
      <c r="B364" s="2">
        <v>6</v>
      </c>
      <c r="C364" s="273"/>
      <c r="D364" s="271"/>
    </row>
    <row r="365" spans="1:4" x14ac:dyDescent="0.45">
      <c r="A365" s="1">
        <v>45656</v>
      </c>
      <c r="B365" s="2">
        <v>4</v>
      </c>
      <c r="C365" s="273"/>
      <c r="D365" s="271"/>
    </row>
    <row r="366" spans="1:4" x14ac:dyDescent="0.45">
      <c r="A366" s="1">
        <v>45657</v>
      </c>
      <c r="B366" s="2">
        <v>6</v>
      </c>
      <c r="C366" s="270"/>
      <c r="D366" s="271"/>
    </row>
  </sheetData>
  <mergeCells count="20"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21"/>
  <sheetViews>
    <sheetView zoomScale="80" workbookViewId="0">
      <selection activeCell="E22" sqref="E22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80" t="s">
        <v>52</v>
      </c>
      <c r="B1" s="280"/>
      <c r="C1" s="280"/>
      <c r="D1" s="280"/>
      <c r="E1" s="91"/>
      <c r="G1" s="279" t="s">
        <v>53</v>
      </c>
      <c r="H1" s="279"/>
      <c r="I1" s="279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5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2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2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2" x14ac:dyDescent="0.5">
      <c r="G19" s="188" t="s">
        <v>509</v>
      </c>
      <c r="H19" s="188">
        <v>4</v>
      </c>
      <c r="I19" s="188" t="s">
        <v>475</v>
      </c>
      <c r="J19" s="188">
        <v>5</v>
      </c>
    </row>
    <row r="20" spans="7:12" x14ac:dyDescent="0.5">
      <c r="G20" s="188" t="s">
        <v>510</v>
      </c>
      <c r="H20" s="188">
        <v>3.9</v>
      </c>
      <c r="I20" s="188" t="s">
        <v>475</v>
      </c>
      <c r="J20" s="188">
        <v>5</v>
      </c>
    </row>
    <row r="21" spans="7:12" ht="43" x14ac:dyDescent="0.5">
      <c r="K21" t="s">
        <v>337</v>
      </c>
      <c r="L21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tabSelected="1" zoomScale="62" zoomScaleNormal="90" workbookViewId="0">
      <selection activeCell="I26" sqref="I26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  <col min="18" max="18" width="10.05859375" bestFit="1" customWidth="1"/>
    <col min="22" max="22" width="10.234375" bestFit="1" customWidth="1"/>
  </cols>
  <sheetData>
    <row r="1" spans="1:25" x14ac:dyDescent="0.5">
      <c r="A1" s="281" t="s">
        <v>55</v>
      </c>
      <c r="B1" s="281"/>
      <c r="C1" s="281"/>
      <c r="D1" s="281"/>
      <c r="E1" s="283" t="s">
        <v>56</v>
      </c>
      <c r="F1" s="283"/>
      <c r="G1" s="283"/>
      <c r="H1" s="283"/>
      <c r="I1" s="64"/>
      <c r="J1" s="61" t="s">
        <v>26</v>
      </c>
      <c r="K1" s="62" t="s">
        <v>183</v>
      </c>
      <c r="O1" s="281" t="s">
        <v>55</v>
      </c>
      <c r="P1" s="281"/>
      <c r="Q1" s="281"/>
      <c r="R1" s="281"/>
      <c r="S1" s="283" t="s">
        <v>56</v>
      </c>
      <c r="T1" s="283"/>
      <c r="U1" s="283"/>
      <c r="V1" s="283"/>
      <c r="X1" s="61" t="s">
        <v>26</v>
      </c>
      <c r="Y1" s="62" t="s">
        <v>183</v>
      </c>
    </row>
    <row r="2" spans="1:25" x14ac:dyDescent="0.5">
      <c r="A2" s="34" t="s">
        <v>26</v>
      </c>
      <c r="B2" s="282" t="s">
        <v>27</v>
      </c>
      <c r="C2" s="282"/>
      <c r="D2" s="65" t="s">
        <v>187</v>
      </c>
      <c r="E2" s="35" t="s">
        <v>57</v>
      </c>
      <c r="F2" s="282" t="s">
        <v>27</v>
      </c>
      <c r="G2" s="282"/>
      <c r="H2" s="75" t="s">
        <v>187</v>
      </c>
      <c r="J2" s="31" t="s">
        <v>454</v>
      </c>
      <c r="K2" s="31">
        <v>1</v>
      </c>
      <c r="O2" s="34" t="s">
        <v>26</v>
      </c>
      <c r="P2" s="282" t="s">
        <v>27</v>
      </c>
      <c r="Q2" s="282"/>
      <c r="R2" s="65" t="s">
        <v>187</v>
      </c>
      <c r="S2" s="35" t="s">
        <v>57</v>
      </c>
      <c r="T2" s="282" t="s">
        <v>27</v>
      </c>
      <c r="U2" s="282"/>
      <c r="V2" s="75" t="s">
        <v>187</v>
      </c>
      <c r="X2" s="31" t="s">
        <v>184</v>
      </c>
      <c r="Y2" s="31" t="s">
        <v>296</v>
      </c>
    </row>
    <row r="3" spans="1:25" x14ac:dyDescent="0.5">
      <c r="A3" s="76" t="s">
        <v>523</v>
      </c>
      <c r="B3" s="31">
        <v>8.9</v>
      </c>
      <c r="C3" s="31"/>
      <c r="D3" s="63">
        <v>46100</v>
      </c>
      <c r="E3" s="31" t="s">
        <v>441</v>
      </c>
      <c r="F3" s="31">
        <v>7.2</v>
      </c>
      <c r="G3" s="31"/>
      <c r="H3" s="63">
        <v>46025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/>
      <c r="B4" s="31"/>
      <c r="C4" s="31"/>
      <c r="D4" s="63"/>
      <c r="E4" s="31" t="s">
        <v>442</v>
      </c>
      <c r="F4" s="31">
        <v>6.8</v>
      </c>
      <c r="G4" s="31"/>
      <c r="H4" s="63">
        <v>46027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31"/>
      <c r="B5" s="31"/>
      <c r="C5" s="31"/>
      <c r="D5" s="63"/>
      <c r="E5" s="31" t="s">
        <v>443</v>
      </c>
      <c r="F5" s="31">
        <v>7.1</v>
      </c>
      <c r="G5" s="31"/>
      <c r="H5" s="63">
        <v>46033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/>
      <c r="B6" s="31"/>
      <c r="C6" s="31"/>
      <c r="D6" s="63"/>
      <c r="E6" s="31" t="s">
        <v>449</v>
      </c>
      <c r="F6" s="31">
        <v>8.5</v>
      </c>
      <c r="G6" s="31"/>
      <c r="H6" s="63">
        <v>46039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/>
      <c r="B7" s="31"/>
      <c r="C7" s="31"/>
      <c r="D7" s="63"/>
      <c r="E7" s="31" t="s">
        <v>456</v>
      </c>
      <c r="F7" s="31">
        <v>7.8</v>
      </c>
      <c r="G7" s="31"/>
      <c r="H7" s="63">
        <v>46046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/>
      <c r="B8" s="31"/>
      <c r="C8" s="31"/>
      <c r="D8" s="63"/>
      <c r="E8" s="31" t="s">
        <v>457</v>
      </c>
      <c r="F8" s="31">
        <v>8</v>
      </c>
      <c r="G8" s="31"/>
      <c r="H8" s="63">
        <v>46046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 t="s">
        <v>421</v>
      </c>
      <c r="F9" s="31">
        <v>8.4</v>
      </c>
      <c r="G9" s="31"/>
      <c r="H9" s="63">
        <v>46052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E10" s="171" t="s">
        <v>503</v>
      </c>
      <c r="F10" s="171">
        <v>8.1</v>
      </c>
      <c r="H10" s="172">
        <v>46077</v>
      </c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E11" s="171" t="s">
        <v>504</v>
      </c>
      <c r="F11" s="171">
        <v>7</v>
      </c>
      <c r="H11" s="172">
        <v>46079</v>
      </c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E12" s="171" t="s">
        <v>505</v>
      </c>
      <c r="F12" s="171">
        <v>7.6</v>
      </c>
      <c r="H12" s="172">
        <v>46088</v>
      </c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E13" s="171" t="s">
        <v>506</v>
      </c>
      <c r="F13" s="171">
        <v>7.3</v>
      </c>
      <c r="H13" s="172">
        <v>46089</v>
      </c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E14" s="329" t="s">
        <v>522</v>
      </c>
      <c r="F14" s="329">
        <v>8</v>
      </c>
      <c r="H14" s="172">
        <v>46094</v>
      </c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13:22" x14ac:dyDescent="0.5"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13:22" x14ac:dyDescent="0.5"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13:22" x14ac:dyDescent="0.5"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13:22" x14ac:dyDescent="0.5"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13:22" x14ac:dyDescent="0.5"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13:22" x14ac:dyDescent="0.5"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13:22" x14ac:dyDescent="0.5"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13:22" x14ac:dyDescent="0.5">
      <c r="S24" s="31" t="s">
        <v>292</v>
      </c>
      <c r="T24" s="31">
        <v>6.8</v>
      </c>
      <c r="U24" s="31"/>
      <c r="V24" s="63">
        <v>45818</v>
      </c>
    </row>
    <row r="25" spans="13:22" x14ac:dyDescent="0.5">
      <c r="S25" s="31" t="s">
        <v>300</v>
      </c>
      <c r="T25" s="31">
        <v>8.4</v>
      </c>
      <c r="U25" s="31" t="s">
        <v>61</v>
      </c>
      <c r="V25" s="63">
        <v>45823</v>
      </c>
    </row>
    <row r="26" spans="13:22" x14ac:dyDescent="0.5">
      <c r="S26" s="31" t="s">
        <v>306</v>
      </c>
      <c r="T26" s="31">
        <v>8</v>
      </c>
      <c r="U26" s="31"/>
      <c r="V26" s="63">
        <v>45856</v>
      </c>
    </row>
    <row r="27" spans="13:22" x14ac:dyDescent="0.5">
      <c r="S27" s="31" t="s">
        <v>344</v>
      </c>
      <c r="T27" s="31">
        <v>7.2</v>
      </c>
      <c r="U27" s="31"/>
      <c r="V27" s="63">
        <v>45863</v>
      </c>
    </row>
    <row r="28" spans="13:22" x14ac:dyDescent="0.5">
      <c r="S28" s="31" t="s">
        <v>66</v>
      </c>
      <c r="T28" s="31">
        <v>7.5</v>
      </c>
      <c r="U28" s="31" t="s">
        <v>61</v>
      </c>
      <c r="V28" s="63">
        <v>45872</v>
      </c>
    </row>
    <row r="29" spans="13:22" x14ac:dyDescent="0.5">
      <c r="S29" s="31" t="s">
        <v>65</v>
      </c>
      <c r="T29" s="31">
        <v>9</v>
      </c>
      <c r="U29" s="31"/>
      <c r="V29" s="63">
        <v>45872</v>
      </c>
    </row>
    <row r="30" spans="13:22" x14ac:dyDescent="0.5">
      <c r="S30" s="31" t="s">
        <v>349</v>
      </c>
      <c r="T30" s="31">
        <v>7</v>
      </c>
      <c r="U30" s="31"/>
      <c r="V30" s="63">
        <v>45879</v>
      </c>
    </row>
    <row r="31" spans="13:22" x14ac:dyDescent="0.5">
      <c r="S31" s="31" t="s">
        <v>382</v>
      </c>
      <c r="T31" s="31">
        <v>7.2</v>
      </c>
      <c r="U31" s="31"/>
      <c r="V31" s="63">
        <v>45886</v>
      </c>
    </row>
    <row r="32" spans="13:22" x14ac:dyDescent="0.5">
      <c r="S32" s="31" t="s">
        <v>353</v>
      </c>
      <c r="T32" s="31">
        <v>8</v>
      </c>
      <c r="U32" s="31"/>
      <c r="V32" s="63">
        <v>45891</v>
      </c>
    </row>
    <row r="33" spans="13:22" x14ac:dyDescent="0.5">
      <c r="S33" s="31" t="s">
        <v>362</v>
      </c>
      <c r="T33" s="31">
        <v>8</v>
      </c>
      <c r="U33" s="31"/>
      <c r="V33" s="63">
        <v>45912</v>
      </c>
    </row>
    <row r="34" spans="13:22" x14ac:dyDescent="0.5">
      <c r="S34" s="31" t="s">
        <v>361</v>
      </c>
      <c r="T34" s="31">
        <v>7.4</v>
      </c>
      <c r="U34" s="31"/>
      <c r="V34" s="63">
        <v>45915</v>
      </c>
    </row>
    <row r="35" spans="13:22" x14ac:dyDescent="0.5">
      <c r="S35" s="31" t="s">
        <v>363</v>
      </c>
      <c r="T35" s="31">
        <v>8.1999999999999993</v>
      </c>
      <c r="U35" s="31"/>
      <c r="V35" s="63">
        <v>45918</v>
      </c>
    </row>
    <row r="36" spans="13:22" x14ac:dyDescent="0.5">
      <c r="S36" s="31" t="s">
        <v>409</v>
      </c>
      <c r="T36" s="31">
        <v>8.3000000000000007</v>
      </c>
      <c r="U36" s="31"/>
      <c r="V36" s="63">
        <v>45921</v>
      </c>
    </row>
    <row r="37" spans="13:22" x14ac:dyDescent="0.5">
      <c r="M37" t="s">
        <v>218</v>
      </c>
      <c r="S37" s="31" t="s">
        <v>377</v>
      </c>
      <c r="T37" s="31">
        <v>8.1999999999999993</v>
      </c>
      <c r="U37" s="31"/>
      <c r="V37" s="63">
        <v>45923</v>
      </c>
    </row>
    <row r="38" spans="13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3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3:22" x14ac:dyDescent="0.5">
      <c r="S40" s="171" t="s">
        <v>420</v>
      </c>
      <c r="T40" s="171">
        <v>7.7</v>
      </c>
      <c r="V40" s="172">
        <v>46003</v>
      </c>
    </row>
    <row r="41" spans="13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3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3:22" x14ac:dyDescent="0.5">
      <c r="S43" s="171" t="s">
        <v>424</v>
      </c>
      <c r="T43" s="171">
        <v>8.1999999999999993</v>
      </c>
      <c r="V43" s="172">
        <v>46016</v>
      </c>
    </row>
    <row r="44" spans="13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1:P4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81" t="s">
        <v>55</v>
      </c>
      <c r="B1" s="281"/>
      <c r="C1" s="281"/>
      <c r="D1" s="283" t="s">
        <v>56</v>
      </c>
      <c r="E1" s="283"/>
      <c r="F1" s="283"/>
    </row>
    <row r="2" spans="1:6" x14ac:dyDescent="0.5">
      <c r="A2" s="34" t="s">
        <v>26</v>
      </c>
      <c r="B2" s="282" t="s">
        <v>27</v>
      </c>
      <c r="C2" s="282"/>
      <c r="D2" s="35" t="s">
        <v>57</v>
      </c>
      <c r="E2" s="282" t="s">
        <v>27</v>
      </c>
      <c r="F2" s="282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Z40"/>
  <sheetViews>
    <sheetView topLeftCell="F1" zoomScale="77" zoomScaleNormal="100" workbookViewId="0">
      <selection activeCell="Y2" sqref="Y2"/>
    </sheetView>
  </sheetViews>
  <sheetFormatPr defaultRowHeight="14.35" x14ac:dyDescent="0.5"/>
  <cols>
    <col min="1" max="1" width="3.9375" style="99" bestFit="1" customWidth="1"/>
    <col min="2" max="2" width="9.9375" bestFit="1" customWidth="1"/>
    <col min="3" max="3" width="9.9375" style="39" bestFit="1" customWidth="1"/>
    <col min="4" max="4" width="7.17578125" style="39" bestFit="1" customWidth="1"/>
    <col min="5" max="5" width="9.05859375" style="97" bestFit="1" customWidth="1"/>
    <col min="6" max="6" width="13.76171875" bestFit="1" customWidth="1"/>
    <col min="7" max="7" width="7.5273437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17578125" customWidth="1"/>
    <col min="14" max="14" width="20.1171875" bestFit="1" customWidth="1"/>
    <col min="15" max="15" width="14.8203125" style="184" customWidth="1"/>
    <col min="20" max="20" width="10.05859375" bestFit="1" customWidth="1"/>
    <col min="21" max="21" width="5.52734375" bestFit="1" customWidth="1"/>
    <col min="22" max="22" width="11.234375" customWidth="1"/>
    <col min="23" max="23" width="4.17578125" bestFit="1" customWidth="1"/>
    <col min="25" max="25" width="10" bestFit="1" customWidth="1"/>
  </cols>
  <sheetData>
    <row r="1" spans="1:26" x14ac:dyDescent="0.5">
      <c r="A1" s="43"/>
      <c r="B1" s="287" t="s">
        <v>107</v>
      </c>
      <c r="C1" s="287"/>
      <c r="D1" s="287"/>
      <c r="E1" s="287"/>
      <c r="F1" s="287"/>
      <c r="G1" s="287"/>
      <c r="H1" s="43"/>
      <c r="I1" s="43"/>
      <c r="J1" s="41"/>
      <c r="K1" s="41"/>
      <c r="L1" s="41"/>
      <c r="T1" s="189" t="s">
        <v>511</v>
      </c>
      <c r="U1" s="189" t="s">
        <v>512</v>
      </c>
      <c r="V1" s="189" t="s">
        <v>109</v>
      </c>
      <c r="W1" s="189" t="s">
        <v>110</v>
      </c>
      <c r="X1" s="189" t="s">
        <v>112</v>
      </c>
      <c r="Y1" s="189" t="s">
        <v>516</v>
      </c>
      <c r="Z1" s="189" t="s">
        <v>518</v>
      </c>
    </row>
    <row r="2" spans="1:26" x14ac:dyDescent="0.5">
      <c r="A2" s="177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  <c r="T2" s="63">
        <v>46093</v>
      </c>
      <c r="U2" s="190" t="s">
        <v>513</v>
      </c>
      <c r="V2" s="31" t="s">
        <v>514</v>
      </c>
      <c r="W2" s="31" t="s">
        <v>515</v>
      </c>
      <c r="X2" s="31">
        <v>902</v>
      </c>
      <c r="Y2" s="31" t="s">
        <v>517</v>
      </c>
      <c r="Z2" s="31" t="s">
        <v>519</v>
      </c>
    </row>
    <row r="3" spans="1:26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291">
        <f>AVERAGE(G3:G25)</f>
        <v>8492.2727272727279</v>
      </c>
      <c r="I3" s="43">
        <v>2275</v>
      </c>
      <c r="J3" s="41" t="s">
        <v>137</v>
      </c>
      <c r="K3" s="41" t="s">
        <v>145</v>
      </c>
      <c r="L3" s="178" t="s">
        <v>145</v>
      </c>
    </row>
    <row r="4" spans="1:26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292"/>
      <c r="I4" s="43">
        <v>2275</v>
      </c>
      <c r="J4" s="41" t="s">
        <v>135</v>
      </c>
      <c r="K4" s="41" t="s">
        <v>144</v>
      </c>
      <c r="L4" s="178" t="s">
        <v>148</v>
      </c>
    </row>
    <row r="5" spans="1:26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292"/>
      <c r="I5" s="43">
        <v>2275</v>
      </c>
      <c r="J5" s="41" t="s">
        <v>136</v>
      </c>
      <c r="K5" s="41" t="s">
        <v>144</v>
      </c>
      <c r="L5" s="178" t="s">
        <v>149</v>
      </c>
    </row>
    <row r="6" spans="1:26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292"/>
      <c r="I6" s="43">
        <v>2275</v>
      </c>
      <c r="J6" s="41" t="s">
        <v>137</v>
      </c>
      <c r="K6" s="41" t="s">
        <v>140</v>
      </c>
      <c r="L6" s="178" t="s">
        <v>148</v>
      </c>
    </row>
    <row r="7" spans="1:26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292"/>
      <c r="I7" s="43">
        <v>2275</v>
      </c>
      <c r="J7" s="41" t="s">
        <v>137</v>
      </c>
      <c r="K7" s="41" t="s">
        <v>140</v>
      </c>
      <c r="L7" s="178" t="s">
        <v>149</v>
      </c>
      <c r="N7" s="40" t="s">
        <v>375</v>
      </c>
      <c r="O7" s="185" t="s">
        <v>376</v>
      </c>
    </row>
    <row r="8" spans="1:26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292"/>
      <c r="I8" s="43">
        <v>2275</v>
      </c>
      <c r="J8" s="41" t="s">
        <v>141</v>
      </c>
      <c r="K8" s="41" t="s">
        <v>140</v>
      </c>
      <c r="L8" s="179" t="s">
        <v>151</v>
      </c>
      <c r="N8" s="31" t="s">
        <v>116</v>
      </c>
      <c r="O8" s="183">
        <v>1</v>
      </c>
    </row>
    <row r="9" spans="1:26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292"/>
      <c r="I9" s="43">
        <v>2275</v>
      </c>
      <c r="J9" s="41" t="s">
        <v>142</v>
      </c>
      <c r="K9" s="41" t="s">
        <v>140</v>
      </c>
      <c r="L9" s="178" t="s">
        <v>150</v>
      </c>
      <c r="N9" s="41" t="s">
        <v>117</v>
      </c>
      <c r="O9" s="183">
        <f>COUNTIF(F4:F26,N9)</f>
        <v>7</v>
      </c>
    </row>
    <row r="10" spans="1:26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292"/>
      <c r="I10" s="43">
        <v>2360</v>
      </c>
      <c r="J10" s="41" t="s">
        <v>137</v>
      </c>
      <c r="K10" s="41" t="s">
        <v>143</v>
      </c>
      <c r="L10" s="178" t="s">
        <v>152</v>
      </c>
      <c r="N10" s="41" t="s">
        <v>118</v>
      </c>
      <c r="O10" s="183">
        <f>COUNTIF(F5:F27,N10)</f>
        <v>4</v>
      </c>
    </row>
    <row r="11" spans="1:26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292"/>
      <c r="I11" s="43">
        <v>2275</v>
      </c>
      <c r="J11" s="41" t="s">
        <v>134</v>
      </c>
      <c r="K11" s="41" t="s">
        <v>144</v>
      </c>
      <c r="L11" s="178" t="s">
        <v>149</v>
      </c>
      <c r="N11" s="41" t="s">
        <v>119</v>
      </c>
      <c r="O11" s="183">
        <f>COUNTIF(F6:F28,N11)</f>
        <v>6</v>
      </c>
    </row>
    <row r="12" spans="1:26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292"/>
      <c r="I12" s="43">
        <v>2275</v>
      </c>
      <c r="J12" s="41" t="s">
        <v>133</v>
      </c>
      <c r="K12" s="41" t="s">
        <v>144</v>
      </c>
      <c r="L12" s="178" t="s">
        <v>148</v>
      </c>
      <c r="N12" s="41" t="s">
        <v>356</v>
      </c>
      <c r="O12" s="183">
        <f>COUNTIF(F7:F29,N12)</f>
        <v>5</v>
      </c>
    </row>
    <row r="13" spans="1:26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292"/>
      <c r="I13" s="43">
        <v>2275</v>
      </c>
      <c r="J13" s="41" t="s">
        <v>131</v>
      </c>
      <c r="K13" s="41" t="s">
        <v>144</v>
      </c>
      <c r="L13" s="178" t="s">
        <v>146</v>
      </c>
    </row>
    <row r="14" spans="1:26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292"/>
      <c r="I14" s="43">
        <v>2275</v>
      </c>
      <c r="J14" s="41" t="s">
        <v>132</v>
      </c>
      <c r="K14" s="41" t="s">
        <v>143</v>
      </c>
      <c r="L14" s="178" t="s">
        <v>147</v>
      </c>
    </row>
    <row r="15" spans="1:26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292"/>
      <c r="I15" s="43">
        <v>2275</v>
      </c>
      <c r="J15" s="41" t="s">
        <v>131</v>
      </c>
      <c r="K15" s="41" t="s">
        <v>139</v>
      </c>
      <c r="L15" s="178" t="s">
        <v>146</v>
      </c>
    </row>
    <row r="16" spans="1:26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292"/>
      <c r="I16" s="43">
        <v>2275</v>
      </c>
      <c r="J16" s="41" t="s">
        <v>137</v>
      </c>
      <c r="K16" s="41" t="s">
        <v>144</v>
      </c>
      <c r="L16" s="178" t="s">
        <v>215</v>
      </c>
    </row>
    <row r="17" spans="1:14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292"/>
      <c r="I17" s="43">
        <v>2275</v>
      </c>
      <c r="J17" s="41" t="s">
        <v>132</v>
      </c>
      <c r="K17" s="41" t="s">
        <v>140</v>
      </c>
      <c r="L17" s="179" t="s">
        <v>303</v>
      </c>
    </row>
    <row r="18" spans="1:14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292"/>
      <c r="I18" s="43">
        <v>2275</v>
      </c>
      <c r="J18" s="41" t="s">
        <v>134</v>
      </c>
      <c r="K18" s="41" t="s">
        <v>144</v>
      </c>
      <c r="L18" s="179" t="s">
        <v>357</v>
      </c>
    </row>
    <row r="19" spans="1:14" x14ac:dyDescent="0.5">
      <c r="A19" s="285">
        <v>17</v>
      </c>
      <c r="B19" s="170">
        <v>45941</v>
      </c>
      <c r="C19" s="41" t="s">
        <v>114</v>
      </c>
      <c r="D19" s="41" t="s">
        <v>366</v>
      </c>
      <c r="E19" s="289" t="s">
        <v>123</v>
      </c>
      <c r="F19" s="98" t="s">
        <v>118</v>
      </c>
      <c r="G19" s="285">
        <v>11466</v>
      </c>
      <c r="H19" s="292"/>
      <c r="I19" s="43">
        <v>1756</v>
      </c>
      <c r="J19" s="41" t="s">
        <v>367</v>
      </c>
      <c r="K19" s="285" t="s">
        <v>144</v>
      </c>
      <c r="L19" s="179" t="s">
        <v>368</v>
      </c>
    </row>
    <row r="20" spans="1:14" x14ac:dyDescent="0.5">
      <c r="A20" s="286"/>
      <c r="B20" s="170">
        <v>45941</v>
      </c>
      <c r="C20" s="41" t="s">
        <v>366</v>
      </c>
      <c r="D20" s="41" t="s">
        <v>115</v>
      </c>
      <c r="E20" s="290"/>
      <c r="F20" s="98" t="s">
        <v>118</v>
      </c>
      <c r="G20" s="286"/>
      <c r="H20" s="292"/>
      <c r="I20" s="43">
        <v>517</v>
      </c>
      <c r="J20" s="41" t="s">
        <v>131</v>
      </c>
      <c r="K20" s="286"/>
      <c r="L20" s="179" t="s">
        <v>369</v>
      </c>
    </row>
    <row r="21" spans="1:14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292"/>
      <c r="I21" s="43">
        <v>2275</v>
      </c>
      <c r="J21" s="41" t="s">
        <v>142</v>
      </c>
      <c r="K21" s="148" t="s">
        <v>139</v>
      </c>
      <c r="L21" s="179" t="s">
        <v>404</v>
      </c>
    </row>
    <row r="22" spans="1:14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292"/>
      <c r="I22" s="43">
        <v>2275</v>
      </c>
      <c r="J22" s="41" t="s">
        <v>134</v>
      </c>
      <c r="K22" s="148" t="s">
        <v>144</v>
      </c>
      <c r="L22" s="179" t="s">
        <v>423</v>
      </c>
    </row>
    <row r="23" spans="1:14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292"/>
      <c r="I23" s="43">
        <v>2275</v>
      </c>
      <c r="J23" s="41" t="s">
        <v>135</v>
      </c>
      <c r="K23" s="148" t="s">
        <v>144</v>
      </c>
      <c r="L23" s="179" t="s">
        <v>404</v>
      </c>
    </row>
    <row r="24" spans="1:14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292"/>
      <c r="I24" s="43">
        <v>2275</v>
      </c>
      <c r="J24" s="41" t="s">
        <v>470</v>
      </c>
      <c r="K24" s="148" t="s">
        <v>144</v>
      </c>
      <c r="L24" s="179" t="s">
        <v>471</v>
      </c>
    </row>
    <row r="25" spans="1:14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293"/>
      <c r="I25" s="43">
        <v>342</v>
      </c>
      <c r="J25" s="41" t="s">
        <v>476</v>
      </c>
      <c r="K25" s="148" t="s">
        <v>144</v>
      </c>
      <c r="L25" s="179" t="s">
        <v>477</v>
      </c>
    </row>
    <row r="26" spans="1:14" x14ac:dyDescent="0.5">
      <c r="A26" s="43"/>
      <c r="B26" s="288" t="s">
        <v>121</v>
      </c>
      <c r="C26" s="288"/>
      <c r="D26" s="288"/>
      <c r="E26" s="288"/>
      <c r="F26" s="288"/>
      <c r="G26" s="40">
        <f>SUM(G3:G25)</f>
        <v>186830</v>
      </c>
      <c r="H26" s="43"/>
      <c r="I26" s="40">
        <f>SUM(I3:I25)</f>
        <v>48200</v>
      </c>
      <c r="J26" s="41"/>
      <c r="K26" s="41"/>
      <c r="L26" s="41"/>
    </row>
    <row r="27" spans="1:14" x14ac:dyDescent="0.5">
      <c r="I27" s="38"/>
    </row>
    <row r="28" spans="1:14" x14ac:dyDescent="0.5">
      <c r="I28" s="38"/>
    </row>
    <row r="32" spans="1:14" x14ac:dyDescent="0.5">
      <c r="N32" t="s">
        <v>370</v>
      </c>
    </row>
    <row r="35" spans="14:18" x14ac:dyDescent="0.5">
      <c r="Q35" s="284" t="s">
        <v>474</v>
      </c>
      <c r="R35" s="284"/>
    </row>
    <row r="36" spans="14:18" x14ac:dyDescent="0.5">
      <c r="N36" s="175" t="s">
        <v>427</v>
      </c>
      <c r="O36" s="186" t="s">
        <v>428</v>
      </c>
      <c r="P36" s="175" t="s">
        <v>429</v>
      </c>
      <c r="Q36" s="175" t="s">
        <v>472</v>
      </c>
      <c r="R36" s="175" t="s">
        <v>473</v>
      </c>
    </row>
    <row r="37" spans="14:18" x14ac:dyDescent="0.5">
      <c r="N37" t="s">
        <v>371</v>
      </c>
      <c r="O37" s="187">
        <v>28.56</v>
      </c>
      <c r="P37" s="174">
        <v>77.102999999999994</v>
      </c>
      <c r="Q37">
        <v>11</v>
      </c>
      <c r="R37">
        <v>10</v>
      </c>
    </row>
    <row r="38" spans="14:18" x14ac:dyDescent="0.5">
      <c r="N38" t="s">
        <v>372</v>
      </c>
      <c r="O38" s="187">
        <v>10.151999999999999</v>
      </c>
      <c r="P38" s="174">
        <v>76.402000000000001</v>
      </c>
      <c r="Q38">
        <v>9</v>
      </c>
      <c r="R38">
        <v>11</v>
      </c>
    </row>
    <row r="39" spans="14:18" x14ac:dyDescent="0.5">
      <c r="N39" t="s">
        <v>373</v>
      </c>
      <c r="O39" s="187">
        <v>12.994</v>
      </c>
      <c r="P39" s="174">
        <v>80.180999999999997</v>
      </c>
      <c r="Q39">
        <v>1</v>
      </c>
      <c r="R39">
        <v>1</v>
      </c>
    </row>
    <row r="40" spans="14:18" x14ac:dyDescent="0.5">
      <c r="N40" t="s">
        <v>374</v>
      </c>
      <c r="O40" s="187">
        <v>8.4819999999999993</v>
      </c>
      <c r="P40">
        <v>76.92</v>
      </c>
      <c r="Q40">
        <v>1</v>
      </c>
      <c r="R40">
        <v>0</v>
      </c>
    </row>
  </sheetData>
  <mergeCells count="8">
    <mergeCell ref="Q35:R35"/>
    <mergeCell ref="K19:K20"/>
    <mergeCell ref="B1:G1"/>
    <mergeCell ref="B26:F26"/>
    <mergeCell ref="A19:A20"/>
    <mergeCell ref="E19:E20"/>
    <mergeCell ref="G19:G20"/>
    <mergeCell ref="H3:H25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0">
        <f>AVERAGE(B2)</f>
        <v>9.74</v>
      </c>
    </row>
    <row r="3" spans="1:5" x14ac:dyDescent="0.5">
      <c r="A3" s="32" t="s">
        <v>159</v>
      </c>
      <c r="B3" s="32">
        <v>9.43</v>
      </c>
      <c r="C3" s="180">
        <f>AVERAGE(B2:B3)</f>
        <v>9.5850000000000009</v>
      </c>
    </row>
    <row r="4" spans="1:5" x14ac:dyDescent="0.5">
      <c r="A4" s="32" t="s">
        <v>160</v>
      </c>
      <c r="B4" s="32">
        <v>9.58</v>
      </c>
      <c r="C4" s="180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0">
        <f>AVERAGE(B2:B5)</f>
        <v>9.5724999999999998</v>
      </c>
    </row>
    <row r="6" spans="1:5" x14ac:dyDescent="0.5">
      <c r="A6" s="32" t="s">
        <v>162</v>
      </c>
      <c r="B6" s="32">
        <v>9.91</v>
      </c>
      <c r="C6" s="180">
        <f>AVERAGE(B2:B6)</f>
        <v>9.64</v>
      </c>
    </row>
    <row r="7" spans="1:5" x14ac:dyDescent="0.5">
      <c r="A7" s="32" t="s">
        <v>163</v>
      </c>
      <c r="B7" s="32">
        <v>9.7799999999999994</v>
      </c>
      <c r="C7" s="180">
        <f>AVERAGE(B2:B7)</f>
        <v>9.663333333333334</v>
      </c>
    </row>
    <row r="8" spans="1:5" x14ac:dyDescent="0.5">
      <c r="A8" s="32" t="s">
        <v>164</v>
      </c>
      <c r="B8" s="32">
        <v>10</v>
      </c>
      <c r="C8" s="180">
        <f>AVERAGE(B2:B8)</f>
        <v>9.7114285714285717</v>
      </c>
    </row>
    <row r="9" spans="1:5" x14ac:dyDescent="0.5">
      <c r="A9" s="32" t="s">
        <v>165</v>
      </c>
      <c r="B9" s="32"/>
      <c r="C9" s="180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97" zoomScaleNormal="85" workbookViewId="0">
      <selection activeCell="N23" sqref="N23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294"/>
      <c r="F1" s="295"/>
      <c r="G1" s="295"/>
      <c r="H1" s="295"/>
      <c r="I1" s="295"/>
      <c r="J1" s="295"/>
      <c r="K1" s="296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284"/>
      <c r="F2" s="306" t="s">
        <v>156</v>
      </c>
      <c r="G2" s="306"/>
      <c r="H2" s="284"/>
      <c r="I2" s="284"/>
      <c r="J2" s="297"/>
      <c r="K2" s="298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284"/>
      <c r="F3" s="306"/>
      <c r="G3" s="306"/>
      <c r="H3" s="284"/>
      <c r="I3" s="284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284"/>
      <c r="F4" s="307">
        <f>D9/B9</f>
        <v>10</v>
      </c>
      <c r="G4" s="307"/>
      <c r="H4" s="284"/>
      <c r="I4" s="284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284"/>
      <c r="F5" s="307"/>
      <c r="G5" s="307"/>
      <c r="H5" s="284"/>
      <c r="I5" s="284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284"/>
      <c r="F6" s="312" t="s">
        <v>157</v>
      </c>
      <c r="G6" s="313"/>
      <c r="H6" s="284"/>
      <c r="I6" s="284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284"/>
      <c r="F7" s="314"/>
      <c r="G7" s="315"/>
      <c r="H7" s="284"/>
      <c r="I7" s="284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284"/>
      <c r="F8" s="308">
        <f>M12/L12</f>
        <v>9.741236559139784</v>
      </c>
      <c r="G8" s="309"/>
      <c r="H8" s="284"/>
      <c r="I8" s="284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284"/>
      <c r="F9" s="310"/>
      <c r="G9" s="311"/>
      <c r="H9" s="284"/>
      <c r="I9" s="284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300"/>
      <c r="B10" s="301"/>
      <c r="C10" s="301"/>
      <c r="D10" s="301"/>
      <c r="E10" s="284"/>
      <c r="F10" s="301"/>
      <c r="G10" s="301"/>
      <c r="H10" s="284"/>
      <c r="I10" s="284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302"/>
      <c r="B11" s="284"/>
      <c r="C11" s="284"/>
      <c r="D11" s="284"/>
      <c r="E11" s="284"/>
      <c r="F11" s="284"/>
      <c r="G11" s="284"/>
      <c r="H11" s="284"/>
      <c r="I11" s="284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302"/>
      <c r="B12" s="284"/>
      <c r="C12" s="284"/>
      <c r="D12" s="284"/>
      <c r="E12" s="284"/>
      <c r="F12" s="284" t="s">
        <v>271</v>
      </c>
      <c r="G12" s="284">
        <v>9.74</v>
      </c>
      <c r="H12" s="284"/>
      <c r="I12" s="284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302"/>
      <c r="B13" s="284"/>
      <c r="C13" s="284"/>
      <c r="D13" s="284"/>
      <c r="E13" s="284"/>
      <c r="F13" s="284"/>
      <c r="G13" s="284"/>
      <c r="H13" s="284"/>
      <c r="I13" s="284"/>
      <c r="J13" s="301"/>
      <c r="K13" s="304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303"/>
      <c r="B14" s="299"/>
      <c r="C14" s="299"/>
      <c r="D14" s="299"/>
      <c r="E14" s="299"/>
      <c r="F14" s="85" t="s">
        <v>272</v>
      </c>
      <c r="G14" s="85">
        <f>(G12-F8)*100/G12</f>
        <v>-1.2695679053221987E-2</v>
      </c>
      <c r="H14" s="299"/>
      <c r="I14" s="299"/>
      <c r="J14" s="299"/>
      <c r="K14" s="305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316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317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318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319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320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321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322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323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324"/>
      <c r="B9" s="127" t="s">
        <v>237</v>
      </c>
      <c r="C9" s="128"/>
      <c r="D9" s="128"/>
      <c r="E9" s="128"/>
      <c r="F9" s="128"/>
      <c r="G9" s="129"/>
    </row>
    <row r="10" spans="1:7" x14ac:dyDescent="0.5">
      <c r="A10" s="325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326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327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328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480</v>
      </c>
      <c r="G19" s="79" t="s">
        <v>481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343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2">
        <v>2027</v>
      </c>
      <c r="G44" s="182">
        <v>8.1999999999999993</v>
      </c>
      <c r="H44" s="181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2">
        <v>2028</v>
      </c>
      <c r="G45" s="182">
        <v>8.5</v>
      </c>
      <c r="H45" s="182" t="s">
        <v>482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2">
        <v>2029</v>
      </c>
      <c r="G46" s="182">
        <v>7.2</v>
      </c>
      <c r="H46" s="182" t="s">
        <v>483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2">
        <v>2030</v>
      </c>
      <c r="G47" s="182">
        <v>8.6999999999999993</v>
      </c>
      <c r="H47" s="182" t="s">
        <v>484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2">
        <v>2031</v>
      </c>
      <c r="G48" s="182">
        <v>9</v>
      </c>
      <c r="H48" s="182" t="s">
        <v>485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2">
        <v>2032</v>
      </c>
      <c r="G49" s="182">
        <v>6.8</v>
      </c>
      <c r="H49" s="182" t="s">
        <v>486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2">
        <v>2033</v>
      </c>
      <c r="G50" s="182">
        <v>8.9</v>
      </c>
      <c r="H50" s="182" t="s">
        <v>487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2">
        <v>2034</v>
      </c>
      <c r="G51" s="182">
        <v>9.1999999999999993</v>
      </c>
      <c r="H51" s="182" t="s">
        <v>488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2">
        <v>2035</v>
      </c>
      <c r="G52" s="182">
        <v>7.5</v>
      </c>
      <c r="H52" s="182" t="s">
        <v>489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2">
        <v>2036</v>
      </c>
      <c r="G53" s="182">
        <v>9.3000000000000007</v>
      </c>
      <c r="H53" s="182" t="s">
        <v>490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2">
        <v>2037</v>
      </c>
      <c r="G54" s="182">
        <v>9</v>
      </c>
      <c r="H54" s="182" t="s">
        <v>491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2">
        <v>2038</v>
      </c>
      <c r="G55" s="182">
        <v>7.8</v>
      </c>
      <c r="H55" s="182" t="s">
        <v>492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2">
        <v>2039</v>
      </c>
      <c r="G56" s="182">
        <v>9.4</v>
      </c>
      <c r="H56" s="182" t="s">
        <v>493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2">
        <v>2040</v>
      </c>
      <c r="G57" s="182">
        <v>9.5</v>
      </c>
      <c r="H57" s="182" t="s">
        <v>494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2">
        <v>2041</v>
      </c>
      <c r="G58" s="182">
        <v>8.8000000000000007</v>
      </c>
      <c r="H58" s="182" t="s">
        <v>495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2">
        <v>2042</v>
      </c>
      <c r="G59" s="182">
        <v>9.3000000000000007</v>
      </c>
      <c r="H59" s="182" t="s">
        <v>496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2">
        <v>2043</v>
      </c>
      <c r="G60" s="182">
        <v>8.9</v>
      </c>
      <c r="H60" s="182" t="s">
        <v>497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2">
        <v>2044</v>
      </c>
      <c r="G61" s="182">
        <v>9.6</v>
      </c>
      <c r="H61" s="182" t="s">
        <v>498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2">
        <v>2045</v>
      </c>
      <c r="G62" s="182">
        <v>9.4</v>
      </c>
      <c r="H62" s="182" t="s">
        <v>499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2">
        <v>2046</v>
      </c>
      <c r="G63" s="182">
        <v>9.6999999999999993</v>
      </c>
      <c r="H63" s="182" t="s">
        <v>500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2" t="s">
        <v>501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HI2026</vt:lpstr>
      <vt:lpstr>HI2025</vt:lpstr>
      <vt:lpstr>HI2024</vt:lpstr>
      <vt:lpstr>Friends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2026-03-21T10:00:04Z</dcterms:modified>
</cp:coreProperties>
</file>