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A25\SEMVI\Trigger\Happiness-Index\"/>
    </mc:Choice>
  </mc:AlternateContent>
  <xr:revisionPtr revIDLastSave="0" documentId="13_ncr:1_{7C08A127-CAFD-4158-AA87-6C55409F861A}" xr6:coauthVersionLast="47" xr6:coauthVersionMax="47" xr10:uidLastSave="{00000000-0000-0000-0000-000000000000}"/>
  <bookViews>
    <workbookView xWindow="-93" yWindow="-93" windowWidth="19386" windowHeight="12186" tabRatio="917" xr2:uid="{00000000-000D-0000-FFFF-FFFF00000000}"/>
  </bookViews>
  <sheets>
    <sheet name="HI2026" sheetId="11" r:id="rId1"/>
    <sheet name="HI2025" sheetId="7" r:id="rId2"/>
    <sheet name="HI2024" sheetId="1" r:id="rId3"/>
    <sheet name="Sheet3" sheetId="12" r:id="rId4"/>
    <sheet name="Friends" sheetId="3" r:id="rId5"/>
    <sheet name="Movies2025" sheetId="8" r:id="rId6"/>
    <sheet name="Movies2024" sheetId="4" r:id="rId7"/>
    <sheet name="FlightDetails" sheetId="5" r:id="rId8"/>
    <sheet name="Sheet1" sheetId="6" r:id="rId9"/>
    <sheet name="Sheet2" sheetId="10" r:id="rId10"/>
    <sheet name="Table1" sheetId="9" r:id="rId11"/>
    <sheet name="Sheet4" sheetId="13" r:id="rId12"/>
  </sheets>
  <definedNames>
    <definedName name="_xlnm._FilterDatabase" localSheetId="4" hidden="1">Friends!$G$2:$J$2</definedName>
    <definedName name="_xlnm._FilterDatabase" localSheetId="0" hidden="1">'HI2026'!$AY$24:$AZ$35</definedName>
    <definedName name="_xlnm._FilterDatabase" localSheetId="6" hidden="1">Movies2024!$A$2:$C$2</definedName>
    <definedName name="_xlnm._FilterDatabase" localSheetId="8" hidden="1">Sheet1!$D$13:$E$25</definedName>
    <definedName name="f">'HI2025'!$F$1048576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5" i="11" l="1"/>
  <c r="O14" i="11" s="1"/>
  <c r="W13" i="11" s="1"/>
  <c r="D245" i="11"/>
  <c r="O13" i="11" s="1"/>
  <c r="N87" i="11"/>
  <c r="N86" i="11"/>
  <c r="N85" i="11"/>
  <c r="N84" i="11"/>
  <c r="N83" i="11"/>
  <c r="N82" i="11"/>
  <c r="N81" i="11"/>
  <c r="T13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33" i="11"/>
  <c r="BH34" i="11"/>
  <c r="BH35" i="11"/>
  <c r="BH36" i="11"/>
  <c r="BH37" i="11"/>
  <c r="BH38" i="11"/>
  <c r="BH39" i="11"/>
  <c r="BH40" i="11"/>
  <c r="BH41" i="11"/>
  <c r="BH42" i="11"/>
  <c r="BH43" i="11"/>
  <c r="BH44" i="11"/>
  <c r="BH45" i="11"/>
  <c r="BH46" i="11"/>
  <c r="BH47" i="11"/>
  <c r="BH48" i="11"/>
  <c r="BH49" i="11"/>
  <c r="BH50" i="11"/>
  <c r="BH51" i="11"/>
  <c r="BH52" i="11"/>
  <c r="BH53" i="11"/>
  <c r="BH54" i="11"/>
  <c r="BH55" i="11"/>
  <c r="BH56" i="11"/>
  <c r="BH57" i="11"/>
  <c r="BH58" i="11"/>
  <c r="BH59" i="11"/>
  <c r="BH60" i="11"/>
  <c r="BH61" i="11"/>
  <c r="BH62" i="11"/>
  <c r="BH63" i="11"/>
  <c r="BH64" i="11"/>
  <c r="BH65" i="11"/>
  <c r="BH66" i="11"/>
  <c r="BH67" i="11"/>
  <c r="BH68" i="11"/>
  <c r="BH69" i="11"/>
  <c r="BH70" i="11"/>
  <c r="BH71" i="11"/>
  <c r="BH72" i="11"/>
  <c r="BH73" i="11"/>
  <c r="BH74" i="11"/>
  <c r="BH75" i="11"/>
  <c r="BH76" i="11"/>
  <c r="BH77" i="11"/>
  <c r="BH78" i="11"/>
  <c r="BH79" i="11"/>
  <c r="BH80" i="11"/>
  <c r="BH81" i="11"/>
  <c r="BH82" i="11"/>
  <c r="BH83" i="11"/>
  <c r="BH84" i="11"/>
  <c r="BH85" i="11"/>
  <c r="BH86" i="11"/>
  <c r="BH87" i="11"/>
  <c r="BH88" i="11"/>
  <c r="BH89" i="11"/>
  <c r="BH90" i="11"/>
  <c r="BH91" i="11"/>
  <c r="BH92" i="11"/>
  <c r="BH93" i="11"/>
  <c r="BH94" i="11"/>
  <c r="BH95" i="11"/>
  <c r="BH96" i="11"/>
  <c r="BH97" i="11"/>
  <c r="BH98" i="11"/>
  <c r="BH99" i="11"/>
  <c r="BH100" i="11"/>
  <c r="BH101" i="11"/>
  <c r="BH102" i="11"/>
  <c r="BH103" i="11"/>
  <c r="BH104" i="11"/>
  <c r="BH105" i="11"/>
  <c r="BH106" i="11"/>
  <c r="BH107" i="11"/>
  <c r="BH108" i="11"/>
  <c r="BH109" i="11"/>
  <c r="BH110" i="11"/>
  <c r="BH111" i="11"/>
  <c r="BH112" i="11"/>
  <c r="BH113" i="11"/>
  <c r="BH114" i="11"/>
  <c r="BH115" i="11"/>
  <c r="BH116" i="11"/>
  <c r="BH117" i="11"/>
  <c r="BH118" i="11"/>
  <c r="BH119" i="11"/>
  <c r="BH120" i="11"/>
  <c r="BH121" i="11"/>
  <c r="BH122" i="11"/>
  <c r="BH123" i="11"/>
  <c r="BH124" i="11"/>
  <c r="BH125" i="11"/>
  <c r="BH126" i="11"/>
  <c r="BH127" i="11"/>
  <c r="BH128" i="11"/>
  <c r="BH129" i="11"/>
  <c r="BH130" i="11"/>
  <c r="BH131" i="11"/>
  <c r="BH132" i="11"/>
  <c r="BH133" i="11"/>
  <c r="BH134" i="11"/>
  <c r="BH135" i="11"/>
  <c r="BH136" i="11"/>
  <c r="BH137" i="11"/>
  <c r="BH138" i="11"/>
  <c r="BH139" i="11"/>
  <c r="BH140" i="11"/>
  <c r="BH141" i="11"/>
  <c r="BH142" i="11"/>
  <c r="BH143" i="11"/>
  <c r="BH144" i="11"/>
  <c r="BH145" i="11"/>
  <c r="BH146" i="11"/>
  <c r="BH147" i="11"/>
  <c r="BH148" i="11"/>
  <c r="BH149" i="11"/>
  <c r="BH150" i="11"/>
  <c r="BH151" i="11"/>
  <c r="BH152" i="11"/>
  <c r="BH153" i="11"/>
  <c r="BH154" i="11"/>
  <c r="BH155" i="11"/>
  <c r="BH156" i="11"/>
  <c r="BH157" i="11"/>
  <c r="BH158" i="11"/>
  <c r="BH159" i="11"/>
  <c r="BH160" i="11"/>
  <c r="BH161" i="11"/>
  <c r="BH162" i="11"/>
  <c r="BH163" i="11"/>
  <c r="BH164" i="11"/>
  <c r="BH165" i="11"/>
  <c r="BH166" i="11"/>
  <c r="BH167" i="11"/>
  <c r="BH168" i="11"/>
  <c r="BH169" i="11"/>
  <c r="BH170" i="11"/>
  <c r="BH171" i="11"/>
  <c r="BH172" i="11"/>
  <c r="BH173" i="11"/>
  <c r="BH174" i="11"/>
  <c r="BH175" i="11"/>
  <c r="BH176" i="11"/>
  <c r="BH177" i="11"/>
  <c r="BH178" i="11"/>
  <c r="BH179" i="11"/>
  <c r="BH180" i="11"/>
  <c r="BH181" i="11"/>
  <c r="BH182" i="11"/>
  <c r="BH183" i="11"/>
  <c r="BH184" i="11"/>
  <c r="BH185" i="11"/>
  <c r="BH186" i="11"/>
  <c r="BH187" i="11"/>
  <c r="BH188" i="11"/>
  <c r="BH189" i="11"/>
  <c r="BH190" i="11"/>
  <c r="BH191" i="11"/>
  <c r="BH192" i="11"/>
  <c r="BH193" i="11"/>
  <c r="BH194" i="11"/>
  <c r="BH195" i="11"/>
  <c r="BH196" i="11"/>
  <c r="BH197" i="11"/>
  <c r="BH198" i="11"/>
  <c r="BH199" i="11"/>
  <c r="BH200" i="11"/>
  <c r="BH201" i="11"/>
  <c r="BH202" i="11"/>
  <c r="BH203" i="11"/>
  <c r="BH204" i="11"/>
  <c r="BH205" i="11"/>
  <c r="BH206" i="11"/>
  <c r="BH207" i="11"/>
  <c r="BH208" i="11"/>
  <c r="BH209" i="11"/>
  <c r="BH210" i="11"/>
  <c r="BH211" i="11"/>
  <c r="BH212" i="11"/>
  <c r="BH213" i="11"/>
  <c r="BH214" i="11"/>
  <c r="BH215" i="11"/>
  <c r="BH216" i="11"/>
  <c r="BH217" i="11"/>
  <c r="BH218" i="11"/>
  <c r="BH219" i="11"/>
  <c r="BH220" i="11"/>
  <c r="BH221" i="11"/>
  <c r="BH222" i="11"/>
  <c r="BH223" i="11"/>
  <c r="BH224" i="11"/>
  <c r="BH225" i="11"/>
  <c r="BH226" i="11"/>
  <c r="BH227" i="11"/>
  <c r="BH228" i="11"/>
  <c r="BH229" i="11"/>
  <c r="BH230" i="11"/>
  <c r="BH231" i="11"/>
  <c r="BH232" i="11"/>
  <c r="BH233" i="11"/>
  <c r="BH234" i="11"/>
  <c r="BH235" i="11"/>
  <c r="BH236" i="11"/>
  <c r="BH237" i="11"/>
  <c r="BH238" i="11"/>
  <c r="BH239" i="11"/>
  <c r="BH240" i="11"/>
  <c r="BH241" i="11"/>
  <c r="BH242" i="11"/>
  <c r="BH243" i="11"/>
  <c r="BH244" i="11"/>
  <c r="BH245" i="11"/>
  <c r="BH246" i="11"/>
  <c r="BH247" i="11"/>
  <c r="BH248" i="11"/>
  <c r="BH249" i="11"/>
  <c r="BH250" i="11"/>
  <c r="BH251" i="11"/>
  <c r="BH252" i="11"/>
  <c r="BH253" i="11"/>
  <c r="BH254" i="11"/>
  <c r="BH255" i="11"/>
  <c r="BH256" i="11"/>
  <c r="BH257" i="11"/>
  <c r="BH258" i="11"/>
  <c r="BH259" i="11"/>
  <c r="BH260" i="11"/>
  <c r="BH261" i="11"/>
  <c r="BH262" i="11"/>
  <c r="BH263" i="11"/>
  <c r="BH264" i="11"/>
  <c r="BH265" i="11"/>
  <c r="BH266" i="11"/>
  <c r="BH267" i="11"/>
  <c r="BH268" i="11"/>
  <c r="BH269" i="11"/>
  <c r="BH270" i="11"/>
  <c r="BH271" i="11"/>
  <c r="BH272" i="11"/>
  <c r="BH273" i="11"/>
  <c r="BH274" i="11"/>
  <c r="BH275" i="11"/>
  <c r="BH276" i="11"/>
  <c r="BH277" i="11"/>
  <c r="BH278" i="11"/>
  <c r="BH279" i="11"/>
  <c r="BH280" i="11"/>
  <c r="BH281" i="11"/>
  <c r="BH282" i="11"/>
  <c r="BH283" i="11"/>
  <c r="BH284" i="11"/>
  <c r="BH285" i="11"/>
  <c r="BH286" i="11"/>
  <c r="BH287" i="11"/>
  <c r="BH288" i="11"/>
  <c r="BH289" i="11"/>
  <c r="BH290" i="11"/>
  <c r="BH291" i="11"/>
  <c r="BH292" i="11"/>
  <c r="BH293" i="11"/>
  <c r="BH294" i="11"/>
  <c r="BH295" i="11"/>
  <c r="BH296" i="11"/>
  <c r="BH297" i="11"/>
  <c r="BH298" i="11"/>
  <c r="BH299" i="11"/>
  <c r="BH300" i="11"/>
  <c r="BH301" i="11"/>
  <c r="BH302" i="11"/>
  <c r="BH303" i="11"/>
  <c r="BH304" i="11"/>
  <c r="BH305" i="11"/>
  <c r="BH306" i="11"/>
  <c r="BH307" i="11"/>
  <c r="BH308" i="11"/>
  <c r="BH309" i="11"/>
  <c r="BH310" i="11"/>
  <c r="BH311" i="11"/>
  <c r="BH312" i="11"/>
  <c r="BH313" i="11"/>
  <c r="BH314" i="11"/>
  <c r="BH315" i="11"/>
  <c r="BH316" i="11"/>
  <c r="BH317" i="11"/>
  <c r="BH318" i="11"/>
  <c r="BH319" i="11"/>
  <c r="BH320" i="11"/>
  <c r="BH321" i="11"/>
  <c r="BH322" i="11"/>
  <c r="BH323" i="11"/>
  <c r="BH324" i="11"/>
  <c r="BH325" i="11"/>
  <c r="BH326" i="11"/>
  <c r="BH327" i="11"/>
  <c r="BH328" i="11"/>
  <c r="BH329" i="11"/>
  <c r="BH330" i="11"/>
  <c r="BH331" i="11"/>
  <c r="BH332" i="11"/>
  <c r="BH333" i="11"/>
  <c r="BH334" i="11"/>
  <c r="BH335" i="11"/>
  <c r="BH336" i="11"/>
  <c r="BH337" i="11"/>
  <c r="BH338" i="11"/>
  <c r="BH339" i="11"/>
  <c r="BH340" i="11"/>
  <c r="BH341" i="11"/>
  <c r="BH342" i="11"/>
  <c r="BH343" i="11"/>
  <c r="BH344" i="11"/>
  <c r="BH345" i="11"/>
  <c r="BH346" i="11"/>
  <c r="BH347" i="11"/>
  <c r="BH348" i="11"/>
  <c r="BH349" i="11"/>
  <c r="BH350" i="11"/>
  <c r="BH351" i="11"/>
  <c r="BH352" i="11"/>
  <c r="BH353" i="11"/>
  <c r="BH354" i="11"/>
  <c r="BH355" i="11"/>
  <c r="BH356" i="11"/>
  <c r="BH357" i="11"/>
  <c r="BH358" i="11"/>
  <c r="BH359" i="11"/>
  <c r="BH360" i="11"/>
  <c r="BH361" i="11"/>
  <c r="BH362" i="11"/>
  <c r="BH363" i="11"/>
  <c r="BH364" i="11"/>
  <c r="BH365" i="11"/>
  <c r="BH366" i="11"/>
  <c r="BH2" i="11"/>
  <c r="AG21" i="11"/>
  <c r="AG20" i="11"/>
  <c r="I30" i="5"/>
  <c r="O10" i="5"/>
  <c r="G30" i="5"/>
  <c r="M13" i="7"/>
  <c r="M14" i="7"/>
  <c r="M15" i="7"/>
  <c r="M16" i="7"/>
  <c r="T12" i="11"/>
  <c r="T11" i="11"/>
  <c r="V12" i="11"/>
  <c r="V11" i="11"/>
  <c r="D214" i="11"/>
  <c r="O12" i="11" s="1"/>
  <c r="AG19" i="11"/>
  <c r="D183" i="11"/>
  <c r="O11" i="11" s="1"/>
  <c r="AG18" i="11"/>
  <c r="H3" i="5"/>
  <c r="O13" i="5"/>
  <c r="O12" i="5"/>
  <c r="T10" i="11"/>
  <c r="D153" i="11"/>
  <c r="O10" i="11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T9" i="11"/>
  <c r="B2" i="12"/>
  <c r="AG17" i="11"/>
  <c r="D122" i="11"/>
  <c r="O9" i="11" s="1"/>
  <c r="T8" i="11"/>
  <c r="AG16" i="11"/>
  <c r="D92" i="11"/>
  <c r="O8" i="11" s="1"/>
  <c r="D2" i="11"/>
  <c r="T7" i="11"/>
  <c r="AG15" i="11"/>
  <c r="D61" i="11"/>
  <c r="O7" i="11" s="1"/>
  <c r="R34" i="11"/>
  <c r="T6" i="11"/>
  <c r="D33" i="11"/>
  <c r="O6" i="11" s="1"/>
  <c r="U5" i="11"/>
  <c r="T5" i="11"/>
  <c r="C8" i="6"/>
  <c r="C7" i="6"/>
  <c r="C6" i="6"/>
  <c r="C5" i="6"/>
  <c r="T14" i="11"/>
  <c r="T15" i="11"/>
  <c r="T16" i="11"/>
  <c r="BC366" i="11"/>
  <c r="BB366" i="11"/>
  <c r="BA366" i="11"/>
  <c r="AZ363" i="11"/>
  <c r="AY363" i="11"/>
  <c r="AX366" i="11"/>
  <c r="AW366" i="11"/>
  <c r="AV366" i="11"/>
  <c r="AU366" i="11"/>
  <c r="AT366" i="11"/>
  <c r="AS366" i="11"/>
  <c r="AR366" i="11"/>
  <c r="AQ366" i="11"/>
  <c r="AL366" i="11"/>
  <c r="BC365" i="11"/>
  <c r="BB365" i="11"/>
  <c r="BA365" i="11"/>
  <c r="AZ362" i="11"/>
  <c r="AY362" i="11"/>
  <c r="AX365" i="11"/>
  <c r="AW365" i="11"/>
  <c r="AV365" i="11"/>
  <c r="AU365" i="11"/>
  <c r="AT365" i="11"/>
  <c r="AS365" i="11"/>
  <c r="AR365" i="11"/>
  <c r="AQ365" i="11"/>
  <c r="AL365" i="11"/>
  <c r="BC364" i="11"/>
  <c r="BB364" i="11"/>
  <c r="BA364" i="11"/>
  <c r="AZ361" i="11"/>
  <c r="AY361" i="11"/>
  <c r="AX364" i="11"/>
  <c r="AW364" i="11"/>
  <c r="AV364" i="11"/>
  <c r="AU364" i="11"/>
  <c r="AT364" i="11"/>
  <c r="AS364" i="11"/>
  <c r="AR364" i="11"/>
  <c r="AQ364" i="11"/>
  <c r="AL364" i="11"/>
  <c r="BC363" i="11"/>
  <c r="BB363" i="11"/>
  <c r="BA363" i="11"/>
  <c r="AZ360" i="11"/>
  <c r="AY360" i="11"/>
  <c r="AX363" i="11"/>
  <c r="AW363" i="11"/>
  <c r="AV363" i="11"/>
  <c r="AU363" i="11"/>
  <c r="AT363" i="11"/>
  <c r="AS363" i="11"/>
  <c r="AR363" i="11"/>
  <c r="AQ363" i="11"/>
  <c r="AL363" i="11"/>
  <c r="BC362" i="11"/>
  <c r="BB362" i="11"/>
  <c r="BA362" i="11"/>
  <c r="AZ359" i="11"/>
  <c r="AY359" i="11"/>
  <c r="AX362" i="11"/>
  <c r="AW362" i="11"/>
  <c r="AV362" i="11"/>
  <c r="AU362" i="11"/>
  <c r="AT362" i="11"/>
  <c r="AS362" i="11"/>
  <c r="AR362" i="11"/>
  <c r="AQ362" i="11"/>
  <c r="AL362" i="11"/>
  <c r="BC361" i="11"/>
  <c r="BB361" i="11"/>
  <c r="BA361" i="11"/>
  <c r="AZ358" i="11"/>
  <c r="AY358" i="11"/>
  <c r="AX361" i="11"/>
  <c r="AW361" i="11"/>
  <c r="AV361" i="11"/>
  <c r="AU361" i="11"/>
  <c r="AT361" i="11"/>
  <c r="AS361" i="11"/>
  <c r="AR361" i="11"/>
  <c r="AQ361" i="11"/>
  <c r="AL361" i="11"/>
  <c r="BC360" i="11"/>
  <c r="BB360" i="11"/>
  <c r="BA360" i="11"/>
  <c r="AZ357" i="11"/>
  <c r="AY357" i="11"/>
  <c r="AX360" i="11"/>
  <c r="AW360" i="11"/>
  <c r="AV360" i="11"/>
  <c r="AU360" i="11"/>
  <c r="AT360" i="11"/>
  <c r="AS360" i="11"/>
  <c r="AR360" i="11"/>
  <c r="AQ360" i="11"/>
  <c r="AL360" i="11"/>
  <c r="BC359" i="11"/>
  <c r="BB359" i="11"/>
  <c r="BA359" i="11"/>
  <c r="AZ356" i="11"/>
  <c r="AY356" i="11"/>
  <c r="AX359" i="11"/>
  <c r="AW359" i="11"/>
  <c r="AV359" i="11"/>
  <c r="AU359" i="11"/>
  <c r="AT359" i="11"/>
  <c r="AS359" i="11"/>
  <c r="AR359" i="11"/>
  <c r="AQ359" i="11"/>
  <c r="AL359" i="11"/>
  <c r="BC358" i="11"/>
  <c r="BB358" i="11"/>
  <c r="BA358" i="11"/>
  <c r="AZ355" i="11"/>
  <c r="AY355" i="11"/>
  <c r="AX358" i="11"/>
  <c r="AW358" i="11"/>
  <c r="AV358" i="11"/>
  <c r="AU358" i="11"/>
  <c r="AT358" i="11"/>
  <c r="AS358" i="11"/>
  <c r="AR358" i="11"/>
  <c r="AQ358" i="11"/>
  <c r="AL358" i="11"/>
  <c r="BC357" i="11"/>
  <c r="BB357" i="11"/>
  <c r="BA357" i="11"/>
  <c r="AZ354" i="11"/>
  <c r="AY354" i="11"/>
  <c r="AX357" i="11"/>
  <c r="AW357" i="11"/>
  <c r="AV357" i="11"/>
  <c r="AU357" i="11"/>
  <c r="AT357" i="11"/>
  <c r="AS357" i="11"/>
  <c r="AR357" i="11"/>
  <c r="AQ357" i="11"/>
  <c r="AL357" i="11"/>
  <c r="BC356" i="11"/>
  <c r="BB356" i="11"/>
  <c r="BA356" i="11"/>
  <c r="AZ353" i="11"/>
  <c r="AY353" i="11"/>
  <c r="AX356" i="11"/>
  <c r="AW356" i="11"/>
  <c r="AV356" i="11"/>
  <c r="AU356" i="11"/>
  <c r="AT356" i="11"/>
  <c r="AS356" i="11"/>
  <c r="AR356" i="11"/>
  <c r="AQ356" i="11"/>
  <c r="AL356" i="11"/>
  <c r="BC355" i="11"/>
  <c r="BB355" i="11"/>
  <c r="BA355" i="11"/>
  <c r="AZ352" i="11"/>
  <c r="AY352" i="11"/>
  <c r="AX355" i="11"/>
  <c r="AW355" i="11"/>
  <c r="AV355" i="11"/>
  <c r="AU355" i="11"/>
  <c r="AT355" i="11"/>
  <c r="AS355" i="11"/>
  <c r="AR355" i="11"/>
  <c r="AQ355" i="11"/>
  <c r="AL355" i="11"/>
  <c r="BC354" i="11"/>
  <c r="BB354" i="11"/>
  <c r="BA354" i="11"/>
  <c r="AZ351" i="11"/>
  <c r="AY351" i="11"/>
  <c r="AX354" i="11"/>
  <c r="AW354" i="11"/>
  <c r="AV354" i="11"/>
  <c r="AU354" i="11"/>
  <c r="AT354" i="11"/>
  <c r="AS354" i="11"/>
  <c r="AR354" i="11"/>
  <c r="AQ354" i="11"/>
  <c r="AL354" i="11"/>
  <c r="BC353" i="11"/>
  <c r="BB353" i="11"/>
  <c r="BA353" i="11"/>
  <c r="AZ350" i="11"/>
  <c r="AY350" i="11"/>
  <c r="AX353" i="11"/>
  <c r="AW353" i="11"/>
  <c r="AV353" i="11"/>
  <c r="AU353" i="11"/>
  <c r="AT353" i="11"/>
  <c r="AS353" i="11"/>
  <c r="AR353" i="11"/>
  <c r="AQ353" i="11"/>
  <c r="AL353" i="11"/>
  <c r="BC352" i="11"/>
  <c r="BB352" i="11"/>
  <c r="BA352" i="11"/>
  <c r="AZ349" i="11"/>
  <c r="AY349" i="11"/>
  <c r="AX352" i="11"/>
  <c r="AW352" i="11"/>
  <c r="AV352" i="11"/>
  <c r="AU352" i="11"/>
  <c r="AT352" i="11"/>
  <c r="AS352" i="11"/>
  <c r="AR352" i="11"/>
  <c r="AQ352" i="11"/>
  <c r="AL352" i="11"/>
  <c r="BC351" i="11"/>
  <c r="BB351" i="11"/>
  <c r="BA351" i="11"/>
  <c r="AZ348" i="11"/>
  <c r="AY348" i="11"/>
  <c r="AX351" i="11"/>
  <c r="AW351" i="11"/>
  <c r="AV351" i="11"/>
  <c r="AU351" i="11"/>
  <c r="AT351" i="11"/>
  <c r="AS351" i="11"/>
  <c r="AR351" i="11"/>
  <c r="AQ351" i="11"/>
  <c r="AL351" i="11"/>
  <c r="BC350" i="11"/>
  <c r="BB350" i="11"/>
  <c r="BA350" i="11"/>
  <c r="AZ347" i="11"/>
  <c r="AY347" i="11"/>
  <c r="AX350" i="11"/>
  <c r="AW350" i="11"/>
  <c r="AV350" i="11"/>
  <c r="AU350" i="11"/>
  <c r="AT350" i="11"/>
  <c r="AS350" i="11"/>
  <c r="AR350" i="11"/>
  <c r="AQ350" i="11"/>
  <c r="AL350" i="11"/>
  <c r="BC349" i="11"/>
  <c r="BB349" i="11"/>
  <c r="BA349" i="11"/>
  <c r="AZ346" i="11"/>
  <c r="AY346" i="11"/>
  <c r="AX349" i="11"/>
  <c r="AW349" i="11"/>
  <c r="AV349" i="11"/>
  <c r="AU349" i="11"/>
  <c r="AT349" i="11"/>
  <c r="AS349" i="11"/>
  <c r="AR349" i="11"/>
  <c r="AQ349" i="11"/>
  <c r="AL349" i="11"/>
  <c r="BC348" i="11"/>
  <c r="BB348" i="11"/>
  <c r="BA348" i="11"/>
  <c r="AZ345" i="11"/>
  <c r="AY345" i="11"/>
  <c r="AX348" i="11"/>
  <c r="AW348" i="11"/>
  <c r="AV348" i="11"/>
  <c r="AU348" i="11"/>
  <c r="AT348" i="11"/>
  <c r="AS348" i="11"/>
  <c r="AR348" i="11"/>
  <c r="AQ348" i="11"/>
  <c r="AL348" i="11"/>
  <c r="BC347" i="11"/>
  <c r="BB347" i="11"/>
  <c r="BA347" i="11"/>
  <c r="AZ344" i="11"/>
  <c r="AY344" i="11"/>
  <c r="AX347" i="11"/>
  <c r="AW347" i="11"/>
  <c r="AV347" i="11"/>
  <c r="AU347" i="11"/>
  <c r="AT347" i="11"/>
  <c r="AS347" i="11"/>
  <c r="AR347" i="11"/>
  <c r="AQ347" i="11"/>
  <c r="AL347" i="11"/>
  <c r="BC346" i="11"/>
  <c r="BB346" i="11"/>
  <c r="BA346" i="11"/>
  <c r="AZ343" i="11"/>
  <c r="AY343" i="11"/>
  <c r="AX346" i="11"/>
  <c r="AW346" i="11"/>
  <c r="AV346" i="11"/>
  <c r="AU346" i="11"/>
  <c r="AT346" i="11"/>
  <c r="AS346" i="11"/>
  <c r="AR346" i="11"/>
  <c r="AQ346" i="11"/>
  <c r="AL346" i="11"/>
  <c r="BC345" i="11"/>
  <c r="BB345" i="11"/>
  <c r="BA345" i="11"/>
  <c r="AZ342" i="11"/>
  <c r="AY342" i="11"/>
  <c r="AX345" i="11"/>
  <c r="AW345" i="11"/>
  <c r="AV345" i="11"/>
  <c r="AU345" i="11"/>
  <c r="AT345" i="11"/>
  <c r="AS345" i="11"/>
  <c r="AR345" i="11"/>
  <c r="AQ345" i="11"/>
  <c r="AL345" i="11"/>
  <c r="BC344" i="11"/>
  <c r="BB344" i="11"/>
  <c r="BA344" i="11"/>
  <c r="AZ341" i="11"/>
  <c r="AY341" i="11"/>
  <c r="AX344" i="11"/>
  <c r="AW344" i="11"/>
  <c r="AV344" i="11"/>
  <c r="AU344" i="11"/>
  <c r="AT344" i="11"/>
  <c r="AS344" i="11"/>
  <c r="AR344" i="11"/>
  <c r="AQ344" i="11"/>
  <c r="AL344" i="11"/>
  <c r="BC343" i="11"/>
  <c r="BB343" i="11"/>
  <c r="BA343" i="11"/>
  <c r="AZ340" i="11"/>
  <c r="AY340" i="11"/>
  <c r="AX343" i="11"/>
  <c r="AW343" i="11"/>
  <c r="AV343" i="11"/>
  <c r="AU343" i="11"/>
  <c r="AT343" i="11"/>
  <c r="AS343" i="11"/>
  <c r="AR343" i="11"/>
  <c r="AQ343" i="11"/>
  <c r="AL343" i="11"/>
  <c r="BC342" i="11"/>
  <c r="BB342" i="11"/>
  <c r="BA342" i="11"/>
  <c r="AZ339" i="11"/>
  <c r="AY339" i="11"/>
  <c r="AX342" i="11"/>
  <c r="AW342" i="11"/>
  <c r="AV342" i="11"/>
  <c r="AU342" i="11"/>
  <c r="AT342" i="11"/>
  <c r="AS342" i="11"/>
  <c r="AR342" i="11"/>
  <c r="AQ342" i="11"/>
  <c r="AL342" i="11"/>
  <c r="BC341" i="11"/>
  <c r="BB341" i="11"/>
  <c r="BA341" i="11"/>
  <c r="AZ338" i="11"/>
  <c r="AY338" i="11"/>
  <c r="AX341" i="11"/>
  <c r="AW341" i="11"/>
  <c r="AV341" i="11"/>
  <c r="AU341" i="11"/>
  <c r="AT341" i="11"/>
  <c r="AS341" i="11"/>
  <c r="AR341" i="11"/>
  <c r="AQ341" i="11"/>
  <c r="AL341" i="11"/>
  <c r="BC340" i="11"/>
  <c r="BB340" i="11"/>
  <c r="BA340" i="11"/>
  <c r="AZ337" i="11"/>
  <c r="AY337" i="11"/>
  <c r="AX340" i="11"/>
  <c r="AW340" i="11"/>
  <c r="AV340" i="11"/>
  <c r="AU340" i="11"/>
  <c r="AT340" i="11"/>
  <c r="AS340" i="11"/>
  <c r="AR340" i="11"/>
  <c r="AQ340" i="11"/>
  <c r="AL340" i="11"/>
  <c r="BC339" i="11"/>
  <c r="BB339" i="11"/>
  <c r="BA339" i="11"/>
  <c r="AZ336" i="11"/>
  <c r="AY336" i="11"/>
  <c r="AX339" i="11"/>
  <c r="AW339" i="11"/>
  <c r="AV339" i="11"/>
  <c r="AU339" i="11"/>
  <c r="AT339" i="11"/>
  <c r="AS339" i="11"/>
  <c r="AR339" i="11"/>
  <c r="AQ339" i="11"/>
  <c r="AL339" i="11"/>
  <c r="BC338" i="11"/>
  <c r="BB338" i="11"/>
  <c r="BA338" i="11"/>
  <c r="AZ335" i="11"/>
  <c r="AY335" i="11"/>
  <c r="AX338" i="11"/>
  <c r="AW338" i="11"/>
  <c r="AV338" i="11"/>
  <c r="AU338" i="11"/>
  <c r="AT338" i="11"/>
  <c r="AS338" i="11"/>
  <c r="AR338" i="11"/>
  <c r="AQ338" i="11"/>
  <c r="AL338" i="11"/>
  <c r="BC337" i="11"/>
  <c r="BB337" i="11"/>
  <c r="BA337" i="11"/>
  <c r="AZ334" i="11"/>
  <c r="AY334" i="11"/>
  <c r="AX337" i="11"/>
  <c r="AW337" i="11"/>
  <c r="AV337" i="11"/>
  <c r="AU337" i="11"/>
  <c r="AT337" i="11"/>
  <c r="AS337" i="11"/>
  <c r="AR337" i="11"/>
  <c r="AQ337" i="11"/>
  <c r="AL337" i="11"/>
  <c r="BC336" i="11"/>
  <c r="BB336" i="11"/>
  <c r="BA336" i="11"/>
  <c r="AZ333" i="11"/>
  <c r="AY333" i="11"/>
  <c r="AX336" i="11"/>
  <c r="AW336" i="11"/>
  <c r="AV336" i="11"/>
  <c r="AU336" i="11"/>
  <c r="AT336" i="11"/>
  <c r="AS336" i="11"/>
  <c r="AR336" i="11"/>
  <c r="AQ336" i="11"/>
  <c r="AL336" i="11"/>
  <c r="BC335" i="11"/>
  <c r="BB335" i="11"/>
  <c r="BA335" i="11"/>
  <c r="AZ332" i="11"/>
  <c r="AY332" i="11"/>
  <c r="AX335" i="11"/>
  <c r="AW335" i="11"/>
  <c r="AV335" i="11"/>
  <c r="AU335" i="11"/>
  <c r="AT335" i="11"/>
  <c r="AS335" i="11"/>
  <c r="AR335" i="11"/>
  <c r="AQ335" i="11"/>
  <c r="AL335" i="11"/>
  <c r="BC334" i="11"/>
  <c r="BB334" i="11"/>
  <c r="BA334" i="11"/>
  <c r="AZ331" i="11"/>
  <c r="AY331" i="11"/>
  <c r="AX334" i="11"/>
  <c r="AW334" i="11"/>
  <c r="AV334" i="11"/>
  <c r="AU334" i="11"/>
  <c r="AT334" i="11"/>
  <c r="AS334" i="11"/>
  <c r="AR334" i="11"/>
  <c r="AQ334" i="11"/>
  <c r="AL334" i="11"/>
  <c r="BC333" i="11"/>
  <c r="BB333" i="11"/>
  <c r="BA333" i="11"/>
  <c r="AZ330" i="11"/>
  <c r="AY330" i="11"/>
  <c r="AX333" i="11"/>
  <c r="AW333" i="11"/>
  <c r="AV333" i="11"/>
  <c r="AU333" i="11"/>
  <c r="AT333" i="11"/>
  <c r="AS333" i="11"/>
  <c r="AR333" i="11"/>
  <c r="AQ333" i="11"/>
  <c r="AL333" i="11"/>
  <c r="BC332" i="11"/>
  <c r="BB332" i="11"/>
  <c r="BA332" i="11"/>
  <c r="AZ329" i="11"/>
  <c r="AY329" i="11"/>
  <c r="AX332" i="11"/>
  <c r="AW332" i="11"/>
  <c r="AV332" i="11"/>
  <c r="AU332" i="11"/>
  <c r="AT332" i="11"/>
  <c r="AS332" i="11"/>
  <c r="AR332" i="11"/>
  <c r="AQ332" i="11"/>
  <c r="AL332" i="11"/>
  <c r="BC331" i="11"/>
  <c r="BB331" i="11"/>
  <c r="BA331" i="11"/>
  <c r="AZ328" i="11"/>
  <c r="AY328" i="11"/>
  <c r="AX331" i="11"/>
  <c r="AW331" i="11"/>
  <c r="AV331" i="11"/>
  <c r="AU331" i="11"/>
  <c r="AT331" i="11"/>
  <c r="AS331" i="11"/>
  <c r="AR331" i="11"/>
  <c r="AQ331" i="11"/>
  <c r="AL331" i="11"/>
  <c r="BC330" i="11"/>
  <c r="BB330" i="11"/>
  <c r="BA330" i="11"/>
  <c r="AZ327" i="11"/>
  <c r="AY327" i="11"/>
  <c r="AX330" i="11"/>
  <c r="AW330" i="11"/>
  <c r="AV330" i="11"/>
  <c r="AU330" i="11"/>
  <c r="AT330" i="11"/>
  <c r="AS330" i="11"/>
  <c r="AR330" i="11"/>
  <c r="AQ330" i="11"/>
  <c r="AL330" i="11"/>
  <c r="BC329" i="11"/>
  <c r="BB329" i="11"/>
  <c r="BA329" i="11"/>
  <c r="AZ326" i="11"/>
  <c r="AY326" i="11"/>
  <c r="AX329" i="11"/>
  <c r="AW329" i="11"/>
  <c r="AV329" i="11"/>
  <c r="AU329" i="11"/>
  <c r="AT329" i="11"/>
  <c r="AS329" i="11"/>
  <c r="AR329" i="11"/>
  <c r="AQ329" i="11"/>
  <c r="AL329" i="11"/>
  <c r="BC328" i="11"/>
  <c r="BB328" i="11"/>
  <c r="BA328" i="11"/>
  <c r="AZ325" i="11"/>
  <c r="AY325" i="11"/>
  <c r="AX328" i="11"/>
  <c r="AW328" i="11"/>
  <c r="AV328" i="11"/>
  <c r="AU328" i="11"/>
  <c r="AT328" i="11"/>
  <c r="AS328" i="11"/>
  <c r="AR328" i="11"/>
  <c r="AQ328" i="11"/>
  <c r="AL328" i="11"/>
  <c r="BC327" i="11"/>
  <c r="BB327" i="11"/>
  <c r="BA327" i="11"/>
  <c r="AZ324" i="11"/>
  <c r="AY324" i="11"/>
  <c r="AX327" i="11"/>
  <c r="AW327" i="11"/>
  <c r="AV327" i="11"/>
  <c r="AU327" i="11"/>
  <c r="AT327" i="11"/>
  <c r="AS327" i="11"/>
  <c r="AR327" i="11"/>
  <c r="AQ327" i="11"/>
  <c r="AL327" i="11"/>
  <c r="BC326" i="11"/>
  <c r="BB326" i="11"/>
  <c r="BA326" i="11"/>
  <c r="AZ323" i="11"/>
  <c r="AY323" i="11"/>
  <c r="AX326" i="11"/>
  <c r="AW326" i="11"/>
  <c r="AV326" i="11"/>
  <c r="AU326" i="11"/>
  <c r="AT326" i="11"/>
  <c r="AS326" i="11"/>
  <c r="AR326" i="11"/>
  <c r="AQ326" i="11"/>
  <c r="AL326" i="11"/>
  <c r="BC325" i="11"/>
  <c r="BB325" i="11"/>
  <c r="BA325" i="11"/>
  <c r="AZ322" i="11"/>
  <c r="AY322" i="11"/>
  <c r="AX325" i="11"/>
  <c r="AW325" i="11"/>
  <c r="AV325" i="11"/>
  <c r="AU325" i="11"/>
  <c r="AT325" i="11"/>
  <c r="AS325" i="11"/>
  <c r="AR325" i="11"/>
  <c r="AQ325" i="11"/>
  <c r="AL325" i="11"/>
  <c r="BC324" i="11"/>
  <c r="BB324" i="11"/>
  <c r="BA324" i="11"/>
  <c r="AZ321" i="11"/>
  <c r="AY321" i="11"/>
  <c r="AX324" i="11"/>
  <c r="AW324" i="11"/>
  <c r="AV324" i="11"/>
  <c r="AU324" i="11"/>
  <c r="AT324" i="11"/>
  <c r="AS324" i="11"/>
  <c r="AR324" i="11"/>
  <c r="AQ324" i="11"/>
  <c r="AL324" i="11"/>
  <c r="BC323" i="11"/>
  <c r="BB323" i="11"/>
  <c r="BA323" i="11"/>
  <c r="AZ320" i="11"/>
  <c r="AY320" i="11"/>
  <c r="AX323" i="11"/>
  <c r="AW323" i="11"/>
  <c r="AV323" i="11"/>
  <c r="AU323" i="11"/>
  <c r="AT323" i="11"/>
  <c r="AS323" i="11"/>
  <c r="AR323" i="11"/>
  <c r="AQ323" i="11"/>
  <c r="AL323" i="11"/>
  <c r="BC322" i="11"/>
  <c r="BB322" i="11"/>
  <c r="BA322" i="11"/>
  <c r="AZ319" i="11"/>
  <c r="AY319" i="11"/>
  <c r="AX322" i="11"/>
  <c r="AW322" i="11"/>
  <c r="AV322" i="11"/>
  <c r="AU322" i="11"/>
  <c r="AT322" i="11"/>
  <c r="AS322" i="11"/>
  <c r="AR322" i="11"/>
  <c r="AQ322" i="11"/>
  <c r="AL322" i="11"/>
  <c r="BC321" i="11"/>
  <c r="BB321" i="11"/>
  <c r="BA321" i="11"/>
  <c r="AZ318" i="11"/>
  <c r="AY318" i="11"/>
  <c r="AX321" i="11"/>
  <c r="AW321" i="11"/>
  <c r="AV321" i="11"/>
  <c r="AU321" i="11"/>
  <c r="AT321" i="11"/>
  <c r="AS321" i="11"/>
  <c r="AR321" i="11"/>
  <c r="AQ321" i="11"/>
  <c r="AL321" i="11"/>
  <c r="BC320" i="11"/>
  <c r="BB320" i="11"/>
  <c r="BA320" i="11"/>
  <c r="AZ317" i="11"/>
  <c r="AY317" i="11"/>
  <c r="AX320" i="11"/>
  <c r="AW320" i="11"/>
  <c r="AV320" i="11"/>
  <c r="AU320" i="11"/>
  <c r="AT320" i="11"/>
  <c r="AS320" i="11"/>
  <c r="AR320" i="11"/>
  <c r="AQ320" i="11"/>
  <c r="AL320" i="11"/>
  <c r="BC319" i="11"/>
  <c r="BB319" i="11"/>
  <c r="BA319" i="11"/>
  <c r="AZ316" i="11"/>
  <c r="AY316" i="11"/>
  <c r="AX319" i="11"/>
  <c r="AW319" i="11"/>
  <c r="AV319" i="11"/>
  <c r="AU319" i="11"/>
  <c r="AT319" i="11"/>
  <c r="AS319" i="11"/>
  <c r="AR319" i="11"/>
  <c r="AQ319" i="11"/>
  <c r="AL319" i="11"/>
  <c r="BC318" i="11"/>
  <c r="BB318" i="11"/>
  <c r="BA318" i="11"/>
  <c r="AZ315" i="11"/>
  <c r="AY315" i="11"/>
  <c r="AX318" i="11"/>
  <c r="AW318" i="11"/>
  <c r="AV318" i="11"/>
  <c r="AU318" i="11"/>
  <c r="AT318" i="11"/>
  <c r="AS318" i="11"/>
  <c r="AR318" i="11"/>
  <c r="AQ318" i="11"/>
  <c r="AL318" i="11"/>
  <c r="BC317" i="11"/>
  <c r="BB317" i="11"/>
  <c r="BA317" i="11"/>
  <c r="AZ314" i="11"/>
  <c r="AY314" i="11"/>
  <c r="AX317" i="11"/>
  <c r="AW317" i="11"/>
  <c r="AV317" i="11"/>
  <c r="AU317" i="11"/>
  <c r="AT317" i="11"/>
  <c r="AS317" i="11"/>
  <c r="AR317" i="11"/>
  <c r="AQ317" i="11"/>
  <c r="AL317" i="11"/>
  <c r="BC316" i="11"/>
  <c r="BB316" i="11"/>
  <c r="BA316" i="11"/>
  <c r="AZ313" i="11"/>
  <c r="AY313" i="11"/>
  <c r="AX316" i="11"/>
  <c r="AW316" i="11"/>
  <c r="AV316" i="11"/>
  <c r="AU316" i="11"/>
  <c r="AT316" i="11"/>
  <c r="AS316" i="11"/>
  <c r="AR316" i="11"/>
  <c r="AQ316" i="11"/>
  <c r="AL316" i="11"/>
  <c r="BC315" i="11"/>
  <c r="BB315" i="11"/>
  <c r="BA315" i="11"/>
  <c r="AZ312" i="11"/>
  <c r="AY312" i="11"/>
  <c r="AX315" i="11"/>
  <c r="AW315" i="11"/>
  <c r="AV315" i="11"/>
  <c r="AU315" i="11"/>
  <c r="AT315" i="11"/>
  <c r="AS315" i="11"/>
  <c r="AR315" i="11"/>
  <c r="AQ315" i="11"/>
  <c r="AL315" i="11"/>
  <c r="BC314" i="11"/>
  <c r="BB314" i="11"/>
  <c r="BA314" i="11"/>
  <c r="AZ311" i="11"/>
  <c r="AY311" i="11"/>
  <c r="AX314" i="11"/>
  <c r="AW314" i="11"/>
  <c r="AV314" i="11"/>
  <c r="AU314" i="11"/>
  <c r="AT314" i="11"/>
  <c r="AS314" i="11"/>
  <c r="AR314" i="11"/>
  <c r="AQ314" i="11"/>
  <c r="AL314" i="11"/>
  <c r="BC313" i="11"/>
  <c r="BB313" i="11"/>
  <c r="BA313" i="11"/>
  <c r="AZ310" i="11"/>
  <c r="AY310" i="11"/>
  <c r="AX313" i="11"/>
  <c r="AW313" i="11"/>
  <c r="AV313" i="11"/>
  <c r="AU313" i="11"/>
  <c r="AT313" i="11"/>
  <c r="AS313" i="11"/>
  <c r="AR313" i="11"/>
  <c r="AQ313" i="11"/>
  <c r="AL313" i="11"/>
  <c r="BC312" i="11"/>
  <c r="BB312" i="11"/>
  <c r="BA312" i="11"/>
  <c r="AZ309" i="11"/>
  <c r="AY309" i="11"/>
  <c r="AX312" i="11"/>
  <c r="AW312" i="11"/>
  <c r="AV312" i="11"/>
  <c r="AU312" i="11"/>
  <c r="AT312" i="11"/>
  <c r="AS312" i="11"/>
  <c r="AR312" i="11"/>
  <c r="AQ312" i="11"/>
  <c r="AL312" i="11"/>
  <c r="BC311" i="11"/>
  <c r="BB311" i="11"/>
  <c r="BA311" i="11"/>
  <c r="AZ308" i="11"/>
  <c r="AY308" i="11"/>
  <c r="AX311" i="11"/>
  <c r="AW311" i="11"/>
  <c r="AV311" i="11"/>
  <c r="AU311" i="11"/>
  <c r="AT311" i="11"/>
  <c r="AS311" i="11"/>
  <c r="AR311" i="11"/>
  <c r="AQ311" i="11"/>
  <c r="AL311" i="11"/>
  <c r="BC310" i="11"/>
  <c r="BB310" i="11"/>
  <c r="BA310" i="11"/>
  <c r="AZ307" i="11"/>
  <c r="AY307" i="11"/>
  <c r="AX310" i="11"/>
  <c r="AW310" i="11"/>
  <c r="AV310" i="11"/>
  <c r="AU310" i="11"/>
  <c r="AT310" i="11"/>
  <c r="AS310" i="11"/>
  <c r="AR310" i="11"/>
  <c r="AQ310" i="11"/>
  <c r="AL310" i="11"/>
  <c r="BC309" i="11"/>
  <c r="BB309" i="11"/>
  <c r="BA309" i="11"/>
  <c r="AZ306" i="11"/>
  <c r="AY306" i="11"/>
  <c r="AX309" i="11"/>
  <c r="AW309" i="11"/>
  <c r="AV309" i="11"/>
  <c r="AU309" i="11"/>
  <c r="AT309" i="11"/>
  <c r="AS309" i="11"/>
  <c r="AR309" i="11"/>
  <c r="AQ309" i="11"/>
  <c r="AL309" i="11"/>
  <c r="BC308" i="11"/>
  <c r="BB308" i="11"/>
  <c r="BA308" i="11"/>
  <c r="AZ305" i="11"/>
  <c r="AY305" i="11"/>
  <c r="AX308" i="11"/>
  <c r="AW308" i="11"/>
  <c r="AV308" i="11"/>
  <c r="AU308" i="11"/>
  <c r="AT308" i="11"/>
  <c r="AS308" i="11"/>
  <c r="AR308" i="11"/>
  <c r="AQ308" i="11"/>
  <c r="AL308" i="11"/>
  <c r="BC307" i="11"/>
  <c r="BB307" i="11"/>
  <c r="BA307" i="11"/>
  <c r="AZ304" i="11"/>
  <c r="AY304" i="11"/>
  <c r="AX307" i="11"/>
  <c r="AW307" i="11"/>
  <c r="AV307" i="11"/>
  <c r="AU307" i="11"/>
  <c r="AT307" i="11"/>
  <c r="AS307" i="11"/>
  <c r="AR307" i="11"/>
  <c r="AQ307" i="11"/>
  <c r="AL307" i="11"/>
  <c r="BC306" i="11"/>
  <c r="BB306" i="11"/>
  <c r="BA306" i="11"/>
  <c r="AZ303" i="11"/>
  <c r="AY303" i="11"/>
  <c r="AX306" i="11"/>
  <c r="AW306" i="11"/>
  <c r="AV306" i="11"/>
  <c r="AU306" i="11"/>
  <c r="AT306" i="11"/>
  <c r="AS306" i="11"/>
  <c r="AR306" i="11"/>
  <c r="AQ306" i="11"/>
  <c r="AL306" i="11"/>
  <c r="BC305" i="11"/>
  <c r="BB305" i="11"/>
  <c r="BA305" i="11"/>
  <c r="AZ302" i="11"/>
  <c r="AL305" i="11"/>
  <c r="BC304" i="11"/>
  <c r="BB304" i="11"/>
  <c r="BA304" i="11"/>
  <c r="AZ301" i="11"/>
  <c r="AL304" i="11"/>
  <c r="BC303" i="11"/>
  <c r="BB303" i="11"/>
  <c r="BA303" i="11"/>
  <c r="AZ300" i="11"/>
  <c r="AL303" i="11"/>
  <c r="BC302" i="11"/>
  <c r="BB302" i="11"/>
  <c r="BA302" i="11"/>
  <c r="AZ299" i="11"/>
  <c r="AL302" i="11"/>
  <c r="BC301" i="11"/>
  <c r="BB301" i="11"/>
  <c r="BA301" i="11"/>
  <c r="AZ298" i="11"/>
  <c r="AL301" i="11"/>
  <c r="BC300" i="11"/>
  <c r="BB300" i="11"/>
  <c r="BA300" i="11"/>
  <c r="AZ297" i="11"/>
  <c r="AL300" i="11"/>
  <c r="BC299" i="11"/>
  <c r="BB299" i="11"/>
  <c r="BA299" i="11"/>
  <c r="AZ296" i="11"/>
  <c r="AL299" i="11"/>
  <c r="BC298" i="11"/>
  <c r="BB298" i="11"/>
  <c r="BA298" i="11"/>
  <c r="AZ295" i="11"/>
  <c r="AL298" i="11"/>
  <c r="BC297" i="11"/>
  <c r="BB297" i="11"/>
  <c r="BA297" i="11"/>
  <c r="AZ294" i="11"/>
  <c r="AL297" i="11"/>
  <c r="BC296" i="11"/>
  <c r="BB296" i="11"/>
  <c r="BA296" i="11"/>
  <c r="AZ293" i="11"/>
  <c r="AL296" i="11"/>
  <c r="BC295" i="11"/>
  <c r="BB295" i="11"/>
  <c r="BA295" i="11"/>
  <c r="AZ292" i="11"/>
  <c r="AL295" i="11"/>
  <c r="BC294" i="11"/>
  <c r="BB294" i="11"/>
  <c r="BA294" i="11"/>
  <c r="AZ291" i="11"/>
  <c r="AL294" i="11"/>
  <c r="BC293" i="11"/>
  <c r="BB293" i="11"/>
  <c r="BA293" i="11"/>
  <c r="AZ290" i="11"/>
  <c r="AL293" i="11"/>
  <c r="BC292" i="11"/>
  <c r="BB292" i="11"/>
  <c r="BA292" i="11"/>
  <c r="AZ289" i="11"/>
  <c r="AL292" i="11"/>
  <c r="BC291" i="11"/>
  <c r="BB291" i="11"/>
  <c r="BA291" i="11"/>
  <c r="AZ288" i="11"/>
  <c r="AL291" i="11"/>
  <c r="BC290" i="11"/>
  <c r="BB290" i="11"/>
  <c r="BA290" i="11"/>
  <c r="AZ287" i="11"/>
  <c r="AL290" i="11"/>
  <c r="BC289" i="11"/>
  <c r="BB289" i="11"/>
  <c r="BA289" i="11"/>
  <c r="AZ286" i="11"/>
  <c r="AL289" i="11"/>
  <c r="BC288" i="11"/>
  <c r="BB288" i="11"/>
  <c r="BA288" i="11"/>
  <c r="AZ285" i="11"/>
  <c r="AL288" i="11"/>
  <c r="BC287" i="11"/>
  <c r="BB287" i="11"/>
  <c r="BA287" i="11"/>
  <c r="AZ284" i="11"/>
  <c r="AL287" i="11"/>
  <c r="AL286" i="11"/>
  <c r="BC283" i="11"/>
  <c r="BB283" i="11"/>
  <c r="BA283" i="11"/>
  <c r="AZ283" i="11"/>
  <c r="AL283" i="11"/>
  <c r="BC282" i="11"/>
  <c r="BB282" i="11"/>
  <c r="BA282" i="11"/>
  <c r="AZ282" i="11"/>
  <c r="AL282" i="11"/>
  <c r="BC281" i="11"/>
  <c r="BB281" i="11"/>
  <c r="BA281" i="11"/>
  <c r="AZ281" i="11"/>
  <c r="AL281" i="11"/>
  <c r="BC280" i="11"/>
  <c r="BB280" i="11"/>
  <c r="BA280" i="11"/>
  <c r="AZ280" i="11"/>
  <c r="AL280" i="11"/>
  <c r="BC279" i="11"/>
  <c r="BB279" i="11"/>
  <c r="BA279" i="11"/>
  <c r="AZ279" i="11"/>
  <c r="AL279" i="11"/>
  <c r="BC278" i="11"/>
  <c r="BB278" i="11"/>
  <c r="BA278" i="11"/>
  <c r="AZ278" i="11"/>
  <c r="AL278" i="11"/>
  <c r="BC277" i="11"/>
  <c r="BB277" i="11"/>
  <c r="BA277" i="11"/>
  <c r="AZ277" i="11"/>
  <c r="AL277" i="11"/>
  <c r="BC276" i="11"/>
  <c r="BB276" i="11"/>
  <c r="BA276" i="11"/>
  <c r="AZ276" i="11"/>
  <c r="AL276" i="11"/>
  <c r="BC275" i="11"/>
  <c r="BB275" i="11"/>
  <c r="BA275" i="11"/>
  <c r="AZ275" i="11"/>
  <c r="AL275" i="11"/>
  <c r="BC274" i="11"/>
  <c r="BB274" i="11"/>
  <c r="BA274" i="11"/>
  <c r="AZ274" i="11"/>
  <c r="AL274" i="11"/>
  <c r="BC273" i="11"/>
  <c r="BB273" i="11"/>
  <c r="BA273" i="11"/>
  <c r="AZ273" i="11"/>
  <c r="AL273" i="11"/>
  <c r="BC272" i="11"/>
  <c r="BB272" i="11"/>
  <c r="BA272" i="11"/>
  <c r="AZ272" i="11"/>
  <c r="AL272" i="11"/>
  <c r="BC271" i="11"/>
  <c r="BB271" i="11"/>
  <c r="BA271" i="11"/>
  <c r="AZ271" i="11"/>
  <c r="AL271" i="11"/>
  <c r="BC270" i="11"/>
  <c r="BB270" i="11"/>
  <c r="BA270" i="11"/>
  <c r="AZ270" i="11"/>
  <c r="AY270" i="11"/>
  <c r="AX270" i="11"/>
  <c r="AW270" i="11"/>
  <c r="AV270" i="11"/>
  <c r="AU270" i="11"/>
  <c r="AT270" i="11"/>
  <c r="AS270" i="11"/>
  <c r="AR270" i="11"/>
  <c r="AQ270" i="11"/>
  <c r="AL270" i="11"/>
  <c r="BC269" i="11"/>
  <c r="BB269" i="11"/>
  <c r="BA269" i="11"/>
  <c r="AZ269" i="11"/>
  <c r="AY269" i="11"/>
  <c r="AX269" i="11"/>
  <c r="AW269" i="11"/>
  <c r="AV269" i="11"/>
  <c r="AU269" i="11"/>
  <c r="AT269" i="11"/>
  <c r="AS269" i="11"/>
  <c r="AR269" i="11"/>
  <c r="AQ269" i="11"/>
  <c r="AL269" i="11"/>
  <c r="BC268" i="11"/>
  <c r="BB268" i="11"/>
  <c r="BA268" i="11"/>
  <c r="AZ268" i="11"/>
  <c r="AY268" i="11"/>
  <c r="AX268" i="11"/>
  <c r="AW268" i="11"/>
  <c r="AV268" i="11"/>
  <c r="AU268" i="11"/>
  <c r="AT268" i="11"/>
  <c r="AS268" i="11"/>
  <c r="AR268" i="11"/>
  <c r="AQ268" i="11"/>
  <c r="AL268" i="11"/>
  <c r="BC267" i="11"/>
  <c r="BB267" i="11"/>
  <c r="BA267" i="11"/>
  <c r="AZ267" i="11"/>
  <c r="AY267" i="11"/>
  <c r="AX267" i="11"/>
  <c r="AW267" i="11"/>
  <c r="AV267" i="11"/>
  <c r="AU267" i="11"/>
  <c r="AT267" i="11"/>
  <c r="AS267" i="11"/>
  <c r="AR267" i="11"/>
  <c r="AQ267" i="11"/>
  <c r="AL267" i="11"/>
  <c r="BC266" i="11"/>
  <c r="BB266" i="11"/>
  <c r="BA266" i="11"/>
  <c r="AZ266" i="11"/>
  <c r="AY266" i="11"/>
  <c r="AX266" i="11"/>
  <c r="AW266" i="11"/>
  <c r="AV266" i="11"/>
  <c r="AU266" i="11"/>
  <c r="AT266" i="11"/>
  <c r="AS266" i="11"/>
  <c r="AR266" i="11"/>
  <c r="AQ266" i="11"/>
  <c r="AL266" i="11"/>
  <c r="BC265" i="11"/>
  <c r="BB265" i="11"/>
  <c r="BA265" i="11"/>
  <c r="AZ265" i="11"/>
  <c r="AY265" i="11"/>
  <c r="AX265" i="11"/>
  <c r="AW265" i="11"/>
  <c r="AV265" i="11"/>
  <c r="AU265" i="11"/>
  <c r="AT265" i="11"/>
  <c r="AS265" i="11"/>
  <c r="AR265" i="11"/>
  <c r="AQ265" i="11"/>
  <c r="AL265" i="11"/>
  <c r="BC264" i="11"/>
  <c r="BB264" i="11"/>
  <c r="BA264" i="11"/>
  <c r="AZ264" i="11"/>
  <c r="AY264" i="11"/>
  <c r="AX264" i="11"/>
  <c r="AW264" i="11"/>
  <c r="AV264" i="11"/>
  <c r="AU264" i="11"/>
  <c r="AT264" i="11"/>
  <c r="AS264" i="11"/>
  <c r="AR264" i="11"/>
  <c r="AQ264" i="11"/>
  <c r="AL264" i="11"/>
  <c r="BC263" i="11"/>
  <c r="BB263" i="11"/>
  <c r="BA263" i="11"/>
  <c r="AZ263" i="11"/>
  <c r="AY263" i="11"/>
  <c r="AX263" i="11"/>
  <c r="AW263" i="11"/>
  <c r="AV263" i="11"/>
  <c r="AU263" i="11"/>
  <c r="AT263" i="11"/>
  <c r="AS263" i="11"/>
  <c r="AR263" i="11"/>
  <c r="AQ263" i="11"/>
  <c r="AL263" i="11"/>
  <c r="BC262" i="11"/>
  <c r="BB262" i="11"/>
  <c r="BA262" i="11"/>
  <c r="AZ262" i="11"/>
  <c r="AY262" i="11"/>
  <c r="AX262" i="11"/>
  <c r="AW262" i="11"/>
  <c r="AV262" i="11"/>
  <c r="AU262" i="11"/>
  <c r="AT262" i="11"/>
  <c r="AS262" i="11"/>
  <c r="AR262" i="11"/>
  <c r="AQ262" i="11"/>
  <c r="AL262" i="11"/>
  <c r="BC261" i="11"/>
  <c r="BB261" i="11"/>
  <c r="BA261" i="11"/>
  <c r="AZ261" i="11"/>
  <c r="AY261" i="11"/>
  <c r="AX261" i="11"/>
  <c r="AW261" i="11"/>
  <c r="AV261" i="11"/>
  <c r="AU261" i="11"/>
  <c r="AT261" i="11"/>
  <c r="AS261" i="11"/>
  <c r="AR261" i="11"/>
  <c r="AQ261" i="11"/>
  <c r="AL261" i="11"/>
  <c r="BC260" i="11"/>
  <c r="BB260" i="11"/>
  <c r="BA260" i="11"/>
  <c r="AZ260" i="11"/>
  <c r="AY260" i="11"/>
  <c r="AX260" i="11"/>
  <c r="AW260" i="11"/>
  <c r="AV260" i="11"/>
  <c r="AU260" i="11"/>
  <c r="AT260" i="11"/>
  <c r="AS260" i="11"/>
  <c r="AR260" i="11"/>
  <c r="AQ260" i="11"/>
  <c r="AL260" i="11"/>
  <c r="BC259" i="11"/>
  <c r="BB259" i="11"/>
  <c r="BA259" i="11"/>
  <c r="AZ259" i="11"/>
  <c r="AY259" i="11"/>
  <c r="AX259" i="11"/>
  <c r="AW259" i="11"/>
  <c r="AV259" i="11"/>
  <c r="AU259" i="11"/>
  <c r="AT259" i="11"/>
  <c r="AS259" i="11"/>
  <c r="AR259" i="11"/>
  <c r="AQ259" i="11"/>
  <c r="AL259" i="11"/>
  <c r="BC258" i="11"/>
  <c r="BB258" i="11"/>
  <c r="BA258" i="11"/>
  <c r="AZ258" i="11"/>
  <c r="AY258" i="11"/>
  <c r="AX258" i="11"/>
  <c r="AW258" i="11"/>
  <c r="AV258" i="11"/>
  <c r="AU258" i="11"/>
  <c r="AT258" i="11"/>
  <c r="AS258" i="11"/>
  <c r="AR258" i="11"/>
  <c r="AQ258" i="11"/>
  <c r="AL258" i="11"/>
  <c r="BC257" i="11"/>
  <c r="BB257" i="11"/>
  <c r="BA257" i="11"/>
  <c r="AZ257" i="11"/>
  <c r="AY257" i="11"/>
  <c r="AX257" i="11"/>
  <c r="AW257" i="11"/>
  <c r="AV257" i="11"/>
  <c r="AU257" i="11"/>
  <c r="AT257" i="11"/>
  <c r="AS257" i="11"/>
  <c r="AR257" i="11"/>
  <c r="AQ257" i="11"/>
  <c r="AL257" i="11"/>
  <c r="BC256" i="11"/>
  <c r="BB256" i="11"/>
  <c r="BA256" i="11"/>
  <c r="AZ256" i="11"/>
  <c r="AY256" i="11"/>
  <c r="AX256" i="11"/>
  <c r="AW256" i="11"/>
  <c r="AV256" i="11"/>
  <c r="AU256" i="11"/>
  <c r="AT256" i="11"/>
  <c r="AS256" i="11"/>
  <c r="AR256" i="11"/>
  <c r="AQ256" i="11"/>
  <c r="AL256" i="11"/>
  <c r="BC255" i="11"/>
  <c r="BB255" i="11"/>
  <c r="BA255" i="11"/>
  <c r="AZ255" i="11"/>
  <c r="AY255" i="11"/>
  <c r="AX255" i="11"/>
  <c r="AW255" i="11"/>
  <c r="AV255" i="11"/>
  <c r="AU255" i="11"/>
  <c r="AT255" i="11"/>
  <c r="AS255" i="11"/>
  <c r="AR255" i="11"/>
  <c r="AQ255" i="11"/>
  <c r="AL255" i="11"/>
  <c r="BC254" i="11"/>
  <c r="BB254" i="11"/>
  <c r="BA254" i="11"/>
  <c r="AZ254" i="11"/>
  <c r="AY254" i="11"/>
  <c r="AX254" i="11"/>
  <c r="AW254" i="11"/>
  <c r="AV254" i="11"/>
  <c r="AU254" i="11"/>
  <c r="AT254" i="11"/>
  <c r="AS254" i="11"/>
  <c r="AR254" i="11"/>
  <c r="AQ254" i="11"/>
  <c r="AL254" i="11"/>
  <c r="BC253" i="11"/>
  <c r="BB253" i="11"/>
  <c r="BA253" i="11"/>
  <c r="AZ253" i="11"/>
  <c r="AY253" i="11"/>
  <c r="AX253" i="11"/>
  <c r="AW253" i="11"/>
  <c r="AV253" i="11"/>
  <c r="AU253" i="11"/>
  <c r="AT253" i="11"/>
  <c r="AS253" i="11"/>
  <c r="AR253" i="11"/>
  <c r="AQ253" i="11"/>
  <c r="AL253" i="11"/>
  <c r="BC252" i="11"/>
  <c r="BB252" i="11"/>
  <c r="BA252" i="11"/>
  <c r="AZ252" i="11"/>
  <c r="AY252" i="11"/>
  <c r="AX252" i="11"/>
  <c r="AW252" i="11"/>
  <c r="AV252" i="11"/>
  <c r="AU252" i="11"/>
  <c r="AT252" i="11"/>
  <c r="AS252" i="11"/>
  <c r="AR252" i="11"/>
  <c r="AQ252" i="11"/>
  <c r="AL252" i="11"/>
  <c r="BC251" i="11"/>
  <c r="BB251" i="11"/>
  <c r="BA251" i="11"/>
  <c r="AZ251" i="11"/>
  <c r="AY251" i="11"/>
  <c r="AX251" i="11"/>
  <c r="AW251" i="11"/>
  <c r="AV251" i="11"/>
  <c r="AU251" i="11"/>
  <c r="AT251" i="11"/>
  <c r="AS251" i="11"/>
  <c r="AR251" i="11"/>
  <c r="AQ251" i="11"/>
  <c r="AL251" i="11"/>
  <c r="BC250" i="11"/>
  <c r="BB250" i="11"/>
  <c r="BA250" i="11"/>
  <c r="AZ250" i="11"/>
  <c r="AY250" i="11"/>
  <c r="AX250" i="11"/>
  <c r="AW250" i="11"/>
  <c r="AV250" i="11"/>
  <c r="AU250" i="11"/>
  <c r="AT250" i="11"/>
  <c r="AS250" i="11"/>
  <c r="AR250" i="11"/>
  <c r="AQ250" i="11"/>
  <c r="AL250" i="11"/>
  <c r="BC249" i="11"/>
  <c r="BB249" i="11"/>
  <c r="BA249" i="11"/>
  <c r="AZ249" i="11"/>
  <c r="AY249" i="11"/>
  <c r="AX249" i="11"/>
  <c r="AW249" i="11"/>
  <c r="AV249" i="11"/>
  <c r="AU249" i="11"/>
  <c r="AT249" i="11"/>
  <c r="AS249" i="11"/>
  <c r="AR249" i="11"/>
  <c r="AQ249" i="11"/>
  <c r="AL249" i="11"/>
  <c r="BC248" i="11"/>
  <c r="BB248" i="11"/>
  <c r="BA248" i="11"/>
  <c r="AZ248" i="11"/>
  <c r="AY248" i="11"/>
  <c r="AX248" i="11"/>
  <c r="AW248" i="11"/>
  <c r="AV248" i="11"/>
  <c r="AU248" i="11"/>
  <c r="AT248" i="11"/>
  <c r="AS248" i="11"/>
  <c r="AR248" i="11"/>
  <c r="AQ248" i="11"/>
  <c r="AL248" i="11"/>
  <c r="BC247" i="11"/>
  <c r="BB247" i="11"/>
  <c r="BA247" i="11"/>
  <c r="AZ247" i="11"/>
  <c r="AY247" i="11"/>
  <c r="AX247" i="11"/>
  <c r="AW247" i="11"/>
  <c r="AV247" i="11"/>
  <c r="AU247" i="11"/>
  <c r="AT247" i="11"/>
  <c r="AS247" i="11"/>
  <c r="AR247" i="11"/>
  <c r="AQ247" i="11"/>
  <c r="AL247" i="11"/>
  <c r="BC246" i="11"/>
  <c r="BB246" i="11"/>
  <c r="BA246" i="11"/>
  <c r="AZ246" i="11"/>
  <c r="AY246" i="11"/>
  <c r="AX246" i="11"/>
  <c r="AW246" i="11"/>
  <c r="AV246" i="11"/>
  <c r="AU246" i="11"/>
  <c r="AT246" i="11"/>
  <c r="AS246" i="11"/>
  <c r="AR246" i="11"/>
  <c r="AQ246" i="11"/>
  <c r="AL246" i="11"/>
  <c r="BC245" i="11"/>
  <c r="BB245" i="11"/>
  <c r="BA245" i="11"/>
  <c r="AZ245" i="11"/>
  <c r="AY245" i="11"/>
  <c r="AX245" i="11"/>
  <c r="AW245" i="11"/>
  <c r="AV245" i="11"/>
  <c r="AU245" i="11"/>
  <c r="AT245" i="11"/>
  <c r="AS245" i="11"/>
  <c r="AR245" i="11"/>
  <c r="AQ245" i="11"/>
  <c r="AL245" i="11"/>
  <c r="BC244" i="11"/>
  <c r="BB244" i="11"/>
  <c r="BA244" i="11"/>
  <c r="AZ244" i="11"/>
  <c r="AY244" i="11"/>
  <c r="AX244" i="11"/>
  <c r="AW244" i="11"/>
  <c r="AV244" i="11"/>
  <c r="AU244" i="11"/>
  <c r="AT244" i="11"/>
  <c r="AS244" i="11"/>
  <c r="AR244" i="11"/>
  <c r="AQ244" i="11"/>
  <c r="AL244" i="11"/>
  <c r="BC243" i="11"/>
  <c r="BB243" i="11"/>
  <c r="BA243" i="11"/>
  <c r="AZ243" i="11"/>
  <c r="AY243" i="11"/>
  <c r="AX243" i="11"/>
  <c r="AW243" i="11"/>
  <c r="AV243" i="11"/>
  <c r="AU243" i="11"/>
  <c r="AT243" i="11"/>
  <c r="AS243" i="11"/>
  <c r="AR243" i="11"/>
  <c r="AQ243" i="11"/>
  <c r="AL243" i="11"/>
  <c r="BC242" i="11"/>
  <c r="BB242" i="11"/>
  <c r="BA242" i="11"/>
  <c r="AZ242" i="11"/>
  <c r="AY242" i="11"/>
  <c r="AX242" i="11"/>
  <c r="AW242" i="11"/>
  <c r="AV242" i="11"/>
  <c r="AU242" i="11"/>
  <c r="AT242" i="11"/>
  <c r="AS242" i="11"/>
  <c r="AR242" i="11"/>
  <c r="AQ242" i="11"/>
  <c r="AL242" i="11"/>
  <c r="BC241" i="11"/>
  <c r="BB241" i="11"/>
  <c r="BA241" i="11"/>
  <c r="AZ241" i="11"/>
  <c r="AY241" i="11"/>
  <c r="AX241" i="11"/>
  <c r="AW241" i="11"/>
  <c r="AV241" i="11"/>
  <c r="AU241" i="11"/>
  <c r="AT241" i="11"/>
  <c r="AS241" i="11"/>
  <c r="AR241" i="11"/>
  <c r="AQ241" i="11"/>
  <c r="AL241" i="11"/>
  <c r="BC240" i="11"/>
  <c r="BB240" i="11"/>
  <c r="BA240" i="11"/>
  <c r="AZ240" i="11"/>
  <c r="AY240" i="11"/>
  <c r="AX240" i="11"/>
  <c r="AW240" i="11"/>
  <c r="AV240" i="11"/>
  <c r="AU240" i="11"/>
  <c r="AT240" i="11"/>
  <c r="AS240" i="11"/>
  <c r="AR240" i="11"/>
  <c r="AQ240" i="11"/>
  <c r="AL240" i="11"/>
  <c r="BC239" i="11"/>
  <c r="BB239" i="11"/>
  <c r="BA239" i="11"/>
  <c r="AZ239" i="11"/>
  <c r="AY239" i="11"/>
  <c r="AX239" i="11"/>
  <c r="AW239" i="11"/>
  <c r="AV239" i="11"/>
  <c r="AU239" i="11"/>
  <c r="AT239" i="11"/>
  <c r="AS239" i="11"/>
  <c r="AR239" i="11"/>
  <c r="AQ239" i="11"/>
  <c r="AL239" i="11"/>
  <c r="BC238" i="11"/>
  <c r="BB238" i="11"/>
  <c r="BA238" i="11"/>
  <c r="AZ238" i="11"/>
  <c r="AY238" i="11"/>
  <c r="AX238" i="11"/>
  <c r="AW238" i="11"/>
  <c r="AV238" i="11"/>
  <c r="AU238" i="11"/>
  <c r="AT238" i="11"/>
  <c r="AS238" i="11"/>
  <c r="AR238" i="11"/>
  <c r="AQ238" i="11"/>
  <c r="AL238" i="11"/>
  <c r="BC237" i="11"/>
  <c r="BB237" i="11"/>
  <c r="BA237" i="11"/>
  <c r="AZ237" i="11"/>
  <c r="AY237" i="11"/>
  <c r="AX237" i="11"/>
  <c r="AW237" i="11"/>
  <c r="AV237" i="11"/>
  <c r="AU237" i="11"/>
  <c r="AT237" i="11"/>
  <c r="AS237" i="11"/>
  <c r="AR237" i="11"/>
  <c r="AQ237" i="11"/>
  <c r="AL237" i="11"/>
  <c r="BC236" i="11"/>
  <c r="BB236" i="11"/>
  <c r="BA236" i="11"/>
  <c r="AZ236" i="11"/>
  <c r="AY236" i="11"/>
  <c r="AX236" i="11"/>
  <c r="AW236" i="11"/>
  <c r="AV236" i="11"/>
  <c r="AU236" i="11"/>
  <c r="AT236" i="11"/>
  <c r="AS236" i="11"/>
  <c r="AR236" i="11"/>
  <c r="AQ236" i="11"/>
  <c r="AL236" i="11"/>
  <c r="BC235" i="11"/>
  <c r="BB235" i="11"/>
  <c r="BA235" i="11"/>
  <c r="AZ235" i="11"/>
  <c r="AY235" i="11"/>
  <c r="AX235" i="11"/>
  <c r="AW235" i="11"/>
  <c r="AV235" i="11"/>
  <c r="AU235" i="11"/>
  <c r="AT235" i="11"/>
  <c r="AS235" i="11"/>
  <c r="AR235" i="11"/>
  <c r="AQ235" i="11"/>
  <c r="AL235" i="11"/>
  <c r="BC234" i="11"/>
  <c r="BB234" i="11"/>
  <c r="BA234" i="11"/>
  <c r="AZ234" i="11"/>
  <c r="AY234" i="11"/>
  <c r="AX234" i="11"/>
  <c r="AW234" i="11"/>
  <c r="AV234" i="11"/>
  <c r="AU234" i="11"/>
  <c r="AT234" i="11"/>
  <c r="AS234" i="11"/>
  <c r="AR234" i="11"/>
  <c r="AQ234" i="11"/>
  <c r="AL234" i="11"/>
  <c r="BC233" i="11"/>
  <c r="BB233" i="11"/>
  <c r="BA233" i="11"/>
  <c r="AZ233" i="11"/>
  <c r="AY233" i="11"/>
  <c r="AX233" i="11"/>
  <c r="AW233" i="11"/>
  <c r="AV233" i="11"/>
  <c r="AU233" i="11"/>
  <c r="AT233" i="11"/>
  <c r="AS233" i="11"/>
  <c r="AR233" i="11"/>
  <c r="AQ233" i="11"/>
  <c r="AL233" i="11"/>
  <c r="BC232" i="11"/>
  <c r="BB232" i="11"/>
  <c r="BA232" i="11"/>
  <c r="AZ232" i="11"/>
  <c r="AY232" i="11"/>
  <c r="AX232" i="11"/>
  <c r="AW232" i="11"/>
  <c r="AV232" i="11"/>
  <c r="AU232" i="11"/>
  <c r="AT232" i="11"/>
  <c r="AS232" i="11"/>
  <c r="AR232" i="11"/>
  <c r="AQ232" i="11"/>
  <c r="AL232" i="11"/>
  <c r="BC231" i="11"/>
  <c r="BB231" i="11"/>
  <c r="BA231" i="11"/>
  <c r="AZ231" i="11"/>
  <c r="AY231" i="11"/>
  <c r="AX231" i="11"/>
  <c r="AW231" i="11"/>
  <c r="AV231" i="11"/>
  <c r="AU231" i="11"/>
  <c r="AT231" i="11"/>
  <c r="AS231" i="11"/>
  <c r="AR231" i="11"/>
  <c r="AQ231" i="11"/>
  <c r="AL231" i="11"/>
  <c r="BC230" i="11"/>
  <c r="BB230" i="11"/>
  <c r="BA230" i="11"/>
  <c r="AZ230" i="11"/>
  <c r="AY230" i="11"/>
  <c r="AX230" i="11"/>
  <c r="AW230" i="11"/>
  <c r="AV230" i="11"/>
  <c r="AU230" i="11"/>
  <c r="AT230" i="11"/>
  <c r="AS230" i="11"/>
  <c r="AR230" i="11"/>
  <c r="AQ230" i="11"/>
  <c r="AL230" i="11"/>
  <c r="BC229" i="11"/>
  <c r="BB229" i="11"/>
  <c r="BA229" i="11"/>
  <c r="AZ229" i="11"/>
  <c r="AY229" i="11"/>
  <c r="AX229" i="11"/>
  <c r="AW229" i="11"/>
  <c r="AV229" i="11"/>
  <c r="AU229" i="11"/>
  <c r="AT229" i="11"/>
  <c r="AS229" i="11"/>
  <c r="AR229" i="11"/>
  <c r="AQ229" i="11"/>
  <c r="AL229" i="11"/>
  <c r="BC228" i="11"/>
  <c r="BB228" i="11"/>
  <c r="BA228" i="11"/>
  <c r="AZ228" i="11"/>
  <c r="AY228" i="11"/>
  <c r="AX228" i="11"/>
  <c r="AW228" i="11"/>
  <c r="AV228" i="11"/>
  <c r="AU228" i="11"/>
  <c r="AT228" i="11"/>
  <c r="AS228" i="11"/>
  <c r="AR228" i="11"/>
  <c r="AQ228" i="11"/>
  <c r="AL228" i="11"/>
  <c r="BC227" i="11"/>
  <c r="BB227" i="11"/>
  <c r="BA227" i="11"/>
  <c r="AZ227" i="11"/>
  <c r="AY227" i="11"/>
  <c r="AX227" i="11"/>
  <c r="AW227" i="11"/>
  <c r="AV227" i="11"/>
  <c r="AU227" i="11"/>
  <c r="AT227" i="11"/>
  <c r="AS227" i="11"/>
  <c r="AR227" i="11"/>
  <c r="AQ227" i="11"/>
  <c r="AL227" i="11"/>
  <c r="BC226" i="11"/>
  <c r="BB226" i="11"/>
  <c r="BA226" i="11"/>
  <c r="AZ226" i="11"/>
  <c r="AY226" i="11"/>
  <c r="AX226" i="11"/>
  <c r="AW226" i="11"/>
  <c r="AV226" i="11"/>
  <c r="AU226" i="11"/>
  <c r="AT226" i="11"/>
  <c r="AS226" i="11"/>
  <c r="AR226" i="11"/>
  <c r="AQ226" i="11"/>
  <c r="AL226" i="11"/>
  <c r="BC225" i="11"/>
  <c r="BB225" i="11"/>
  <c r="BA225" i="11"/>
  <c r="AZ225" i="11"/>
  <c r="AY225" i="11"/>
  <c r="AX225" i="11"/>
  <c r="AW225" i="11"/>
  <c r="AV225" i="11"/>
  <c r="AU225" i="11"/>
  <c r="AT225" i="11"/>
  <c r="AS225" i="11"/>
  <c r="AR225" i="11"/>
  <c r="AQ225" i="11"/>
  <c r="AL225" i="11"/>
  <c r="BC224" i="11"/>
  <c r="BB224" i="11"/>
  <c r="BA224" i="11"/>
  <c r="AZ224" i="11"/>
  <c r="AY224" i="11"/>
  <c r="AX224" i="11"/>
  <c r="AW224" i="11"/>
  <c r="AV224" i="11"/>
  <c r="AU224" i="11"/>
  <c r="AT224" i="11"/>
  <c r="AS224" i="11"/>
  <c r="AR224" i="11"/>
  <c r="AQ224" i="11"/>
  <c r="AL224" i="11"/>
  <c r="BC223" i="11"/>
  <c r="BB223" i="11"/>
  <c r="BA223" i="11"/>
  <c r="AZ223" i="11"/>
  <c r="AY223" i="11"/>
  <c r="AX223" i="11"/>
  <c r="AW223" i="11"/>
  <c r="AV223" i="11"/>
  <c r="AU223" i="11"/>
  <c r="AT223" i="11"/>
  <c r="AS223" i="11"/>
  <c r="AR223" i="11"/>
  <c r="AQ223" i="11"/>
  <c r="AL223" i="11"/>
  <c r="BC222" i="11"/>
  <c r="BB222" i="11"/>
  <c r="BA222" i="11"/>
  <c r="AZ222" i="11"/>
  <c r="AY222" i="11"/>
  <c r="AX222" i="11"/>
  <c r="AW222" i="11"/>
  <c r="AV222" i="11"/>
  <c r="AU222" i="11"/>
  <c r="AT222" i="11"/>
  <c r="AS222" i="11"/>
  <c r="AR222" i="11"/>
  <c r="AQ222" i="11"/>
  <c r="AL222" i="11"/>
  <c r="BC221" i="11"/>
  <c r="BB221" i="11"/>
  <c r="BA221" i="11"/>
  <c r="AZ221" i="11"/>
  <c r="AY221" i="11"/>
  <c r="AX221" i="11"/>
  <c r="AW221" i="11"/>
  <c r="AV221" i="11"/>
  <c r="AU221" i="11"/>
  <c r="AT221" i="11"/>
  <c r="AS221" i="11"/>
  <c r="AR221" i="11"/>
  <c r="AQ221" i="11"/>
  <c r="AL221" i="11"/>
  <c r="BC220" i="11"/>
  <c r="BB220" i="11"/>
  <c r="BA220" i="11"/>
  <c r="AZ220" i="11"/>
  <c r="AY220" i="11"/>
  <c r="AX220" i="11"/>
  <c r="AW220" i="11"/>
  <c r="AV220" i="11"/>
  <c r="AU220" i="11"/>
  <c r="AT220" i="11"/>
  <c r="AS220" i="11"/>
  <c r="AR220" i="11"/>
  <c r="AQ220" i="11"/>
  <c r="AL220" i="11"/>
  <c r="BC219" i="11"/>
  <c r="BB219" i="11"/>
  <c r="BA219" i="11"/>
  <c r="AZ219" i="11"/>
  <c r="AY219" i="11"/>
  <c r="AX219" i="11"/>
  <c r="AW219" i="11"/>
  <c r="AV219" i="11"/>
  <c r="AU219" i="11"/>
  <c r="AT219" i="11"/>
  <c r="AS219" i="11"/>
  <c r="AR219" i="11"/>
  <c r="AQ219" i="11"/>
  <c r="AL219" i="11"/>
  <c r="BC218" i="11"/>
  <c r="BB218" i="11"/>
  <c r="BA218" i="11"/>
  <c r="AZ218" i="11"/>
  <c r="AY218" i="11"/>
  <c r="AX218" i="11"/>
  <c r="AW218" i="11"/>
  <c r="AV218" i="11"/>
  <c r="AU218" i="11"/>
  <c r="AT218" i="11"/>
  <c r="AS218" i="11"/>
  <c r="AR218" i="11"/>
  <c r="AQ218" i="11"/>
  <c r="AL218" i="11"/>
  <c r="BC217" i="11"/>
  <c r="BB217" i="11"/>
  <c r="BA217" i="11"/>
  <c r="AZ217" i="11"/>
  <c r="AY217" i="11"/>
  <c r="AX217" i="11"/>
  <c r="AW217" i="11"/>
  <c r="AV217" i="11"/>
  <c r="AU217" i="11"/>
  <c r="AT217" i="11"/>
  <c r="AS217" i="11"/>
  <c r="AR217" i="11"/>
  <c r="AQ217" i="11"/>
  <c r="AL217" i="11"/>
  <c r="BC216" i="11"/>
  <c r="BB216" i="11"/>
  <c r="BA216" i="11"/>
  <c r="AZ216" i="11"/>
  <c r="AY216" i="11"/>
  <c r="AX216" i="11"/>
  <c r="AW216" i="11"/>
  <c r="AV216" i="11"/>
  <c r="AU216" i="11"/>
  <c r="AT216" i="11"/>
  <c r="AS216" i="11"/>
  <c r="AR216" i="11"/>
  <c r="AQ216" i="11"/>
  <c r="AL216" i="11"/>
  <c r="BC215" i="11"/>
  <c r="BB215" i="11"/>
  <c r="BA215" i="11"/>
  <c r="AZ215" i="11"/>
  <c r="AY215" i="11"/>
  <c r="AX215" i="11"/>
  <c r="AW215" i="11"/>
  <c r="AV215" i="11"/>
  <c r="AU215" i="11"/>
  <c r="AT215" i="11"/>
  <c r="AS215" i="11"/>
  <c r="AR215" i="11"/>
  <c r="AQ215" i="11"/>
  <c r="AL215" i="11"/>
  <c r="BC214" i="11"/>
  <c r="BB214" i="11"/>
  <c r="BA214" i="11"/>
  <c r="AZ214" i="11"/>
  <c r="AY214" i="11"/>
  <c r="AX214" i="11"/>
  <c r="AW214" i="11"/>
  <c r="AV214" i="11"/>
  <c r="AU214" i="11"/>
  <c r="AT214" i="11"/>
  <c r="AS214" i="11"/>
  <c r="AR214" i="11"/>
  <c r="AQ214" i="11"/>
  <c r="AL214" i="11"/>
  <c r="BC213" i="11"/>
  <c r="BB213" i="11"/>
  <c r="BA213" i="11"/>
  <c r="AZ213" i="11"/>
  <c r="AY213" i="11"/>
  <c r="AX213" i="11"/>
  <c r="AW213" i="11"/>
  <c r="AV213" i="11"/>
  <c r="AU213" i="11"/>
  <c r="AT213" i="11"/>
  <c r="AS213" i="11"/>
  <c r="AR213" i="11"/>
  <c r="AQ213" i="11"/>
  <c r="AL213" i="11"/>
  <c r="BC212" i="11"/>
  <c r="BB212" i="11"/>
  <c r="BA212" i="11"/>
  <c r="AZ212" i="11"/>
  <c r="AY212" i="11"/>
  <c r="AX212" i="11"/>
  <c r="AW212" i="11"/>
  <c r="AV212" i="11"/>
  <c r="AU212" i="11"/>
  <c r="AT212" i="11"/>
  <c r="AS212" i="11"/>
  <c r="AR212" i="11"/>
  <c r="AQ212" i="11"/>
  <c r="AL212" i="11"/>
  <c r="BC211" i="11"/>
  <c r="BB211" i="11"/>
  <c r="BA211" i="11"/>
  <c r="AZ211" i="11"/>
  <c r="AY211" i="11"/>
  <c r="AX211" i="11"/>
  <c r="AW211" i="11"/>
  <c r="AV211" i="11"/>
  <c r="AU211" i="11"/>
  <c r="AT211" i="11"/>
  <c r="AS211" i="11"/>
  <c r="AR211" i="11"/>
  <c r="AQ211" i="11"/>
  <c r="AL211" i="11"/>
  <c r="BC210" i="11"/>
  <c r="BB210" i="11"/>
  <c r="BA210" i="11"/>
  <c r="AZ210" i="11"/>
  <c r="AY210" i="11"/>
  <c r="AX210" i="11"/>
  <c r="AW210" i="11"/>
  <c r="AV210" i="11"/>
  <c r="AU210" i="11"/>
  <c r="AT210" i="11"/>
  <c r="AS210" i="11"/>
  <c r="AR210" i="11"/>
  <c r="AQ210" i="11"/>
  <c r="AL210" i="11"/>
  <c r="BC209" i="11"/>
  <c r="BB209" i="11"/>
  <c r="BA209" i="11"/>
  <c r="AZ209" i="11"/>
  <c r="AY209" i="11"/>
  <c r="AX209" i="11"/>
  <c r="AW209" i="11"/>
  <c r="AV209" i="11"/>
  <c r="AU209" i="11"/>
  <c r="AT209" i="11"/>
  <c r="AS209" i="11"/>
  <c r="AR209" i="11"/>
  <c r="AQ209" i="11"/>
  <c r="AL209" i="11"/>
  <c r="BC208" i="11"/>
  <c r="BB208" i="11"/>
  <c r="BA208" i="11"/>
  <c r="AZ208" i="11"/>
  <c r="AY208" i="11"/>
  <c r="AX208" i="11"/>
  <c r="AW208" i="11"/>
  <c r="AV208" i="11"/>
  <c r="AU208" i="11"/>
  <c r="AT208" i="11"/>
  <c r="AS208" i="11"/>
  <c r="AR208" i="11"/>
  <c r="AQ208" i="11"/>
  <c r="AL208" i="11"/>
  <c r="BC207" i="11"/>
  <c r="BB207" i="11"/>
  <c r="BA207" i="11"/>
  <c r="AZ207" i="11"/>
  <c r="AY207" i="11"/>
  <c r="AX207" i="11"/>
  <c r="AW207" i="11"/>
  <c r="AV207" i="11"/>
  <c r="AU207" i="11"/>
  <c r="AT207" i="11"/>
  <c r="AS207" i="11"/>
  <c r="AR207" i="11"/>
  <c r="AQ207" i="11"/>
  <c r="AL207" i="11"/>
  <c r="BC206" i="11"/>
  <c r="BB206" i="11"/>
  <c r="BA206" i="11"/>
  <c r="AZ206" i="11"/>
  <c r="AY206" i="11"/>
  <c r="AX206" i="11"/>
  <c r="AW206" i="11"/>
  <c r="AV206" i="11"/>
  <c r="AU206" i="11"/>
  <c r="AT206" i="11"/>
  <c r="AS206" i="11"/>
  <c r="AR206" i="11"/>
  <c r="AQ206" i="11"/>
  <c r="AL206" i="11"/>
  <c r="BC205" i="11"/>
  <c r="BB205" i="11"/>
  <c r="BA205" i="11"/>
  <c r="AZ205" i="11"/>
  <c r="AY205" i="11"/>
  <c r="AX205" i="11"/>
  <c r="AW205" i="11"/>
  <c r="AV205" i="11"/>
  <c r="AU205" i="11"/>
  <c r="AT205" i="11"/>
  <c r="AS205" i="11"/>
  <c r="AR205" i="11"/>
  <c r="AQ205" i="11"/>
  <c r="AL205" i="11"/>
  <c r="BC204" i="11"/>
  <c r="BB204" i="11"/>
  <c r="BA204" i="11"/>
  <c r="AZ204" i="11"/>
  <c r="AY204" i="11"/>
  <c r="AX204" i="11"/>
  <c r="AW204" i="11"/>
  <c r="AV204" i="11"/>
  <c r="AU204" i="11"/>
  <c r="AT204" i="11"/>
  <c r="AS204" i="11"/>
  <c r="AR204" i="11"/>
  <c r="AQ204" i="11"/>
  <c r="AL204" i="11"/>
  <c r="BC203" i="11"/>
  <c r="BB203" i="11"/>
  <c r="BA203" i="11"/>
  <c r="AZ203" i="11"/>
  <c r="AY203" i="11"/>
  <c r="AX203" i="11"/>
  <c r="AW203" i="11"/>
  <c r="AV203" i="11"/>
  <c r="AU203" i="11"/>
  <c r="AT203" i="11"/>
  <c r="AS203" i="11"/>
  <c r="AR203" i="11"/>
  <c r="AQ203" i="11"/>
  <c r="AL203" i="11"/>
  <c r="BC202" i="11"/>
  <c r="BB202" i="11"/>
  <c r="BA202" i="11"/>
  <c r="AZ202" i="11"/>
  <c r="AY202" i="11"/>
  <c r="AX202" i="11"/>
  <c r="AW202" i="11"/>
  <c r="AV202" i="11"/>
  <c r="AU202" i="11"/>
  <c r="AT202" i="11"/>
  <c r="AS202" i="11"/>
  <c r="AR202" i="11"/>
  <c r="AQ202" i="11"/>
  <c r="AL202" i="11"/>
  <c r="BC201" i="11"/>
  <c r="BB201" i="11"/>
  <c r="BA201" i="11"/>
  <c r="AZ201" i="11"/>
  <c r="AY201" i="11"/>
  <c r="AX201" i="11"/>
  <c r="AW201" i="11"/>
  <c r="AV201" i="11"/>
  <c r="AU201" i="11"/>
  <c r="AT201" i="11"/>
  <c r="AS201" i="11"/>
  <c r="AR201" i="11"/>
  <c r="AQ201" i="11"/>
  <c r="AL201" i="11"/>
  <c r="BC200" i="11"/>
  <c r="BB200" i="11"/>
  <c r="BA200" i="11"/>
  <c r="AZ200" i="11"/>
  <c r="AY200" i="11"/>
  <c r="AX200" i="11"/>
  <c r="AW200" i="11"/>
  <c r="AV200" i="11"/>
  <c r="AU200" i="11"/>
  <c r="AT200" i="11"/>
  <c r="AS200" i="11"/>
  <c r="AR200" i="11"/>
  <c r="AQ200" i="11"/>
  <c r="AL200" i="11"/>
  <c r="BC199" i="11"/>
  <c r="BB199" i="11"/>
  <c r="BA199" i="11"/>
  <c r="AZ199" i="11"/>
  <c r="AY199" i="11"/>
  <c r="AX199" i="11"/>
  <c r="AW199" i="11"/>
  <c r="AV199" i="11"/>
  <c r="AU199" i="11"/>
  <c r="AT199" i="11"/>
  <c r="AS199" i="11"/>
  <c r="AR199" i="11"/>
  <c r="AQ199" i="11"/>
  <c r="AL199" i="11"/>
  <c r="BC198" i="11"/>
  <c r="BB198" i="11"/>
  <c r="BA198" i="11"/>
  <c r="AZ198" i="11"/>
  <c r="AY198" i="11"/>
  <c r="AX198" i="11"/>
  <c r="AW198" i="11"/>
  <c r="AV198" i="11"/>
  <c r="AU198" i="11"/>
  <c r="AT198" i="11"/>
  <c r="AS198" i="11"/>
  <c r="AR198" i="11"/>
  <c r="AQ198" i="11"/>
  <c r="AL198" i="11"/>
  <c r="BC197" i="11"/>
  <c r="BB197" i="11"/>
  <c r="BA197" i="11"/>
  <c r="AZ197" i="11"/>
  <c r="AY197" i="11"/>
  <c r="AX197" i="11"/>
  <c r="AW197" i="11"/>
  <c r="AV197" i="11"/>
  <c r="AU197" i="11"/>
  <c r="AT197" i="11"/>
  <c r="AS197" i="11"/>
  <c r="AR197" i="11"/>
  <c r="AQ197" i="11"/>
  <c r="AL197" i="11"/>
  <c r="BC196" i="11"/>
  <c r="BB196" i="11"/>
  <c r="BA196" i="11"/>
  <c r="AZ196" i="11"/>
  <c r="AY196" i="11"/>
  <c r="AX196" i="11"/>
  <c r="AW196" i="11"/>
  <c r="AV196" i="11"/>
  <c r="AU196" i="11"/>
  <c r="AT196" i="11"/>
  <c r="AS196" i="11"/>
  <c r="AR196" i="11"/>
  <c r="AQ196" i="11"/>
  <c r="AL196" i="11"/>
  <c r="BC195" i="11"/>
  <c r="BB195" i="11"/>
  <c r="BA195" i="11"/>
  <c r="AZ195" i="11"/>
  <c r="AY195" i="11"/>
  <c r="AX195" i="11"/>
  <c r="AW195" i="11"/>
  <c r="AV195" i="11"/>
  <c r="AU195" i="11"/>
  <c r="AT195" i="11"/>
  <c r="AS195" i="11"/>
  <c r="AR195" i="11"/>
  <c r="AQ195" i="11"/>
  <c r="AL195" i="11"/>
  <c r="BC194" i="11"/>
  <c r="BB194" i="11"/>
  <c r="BA194" i="11"/>
  <c r="AZ194" i="11"/>
  <c r="AY194" i="11"/>
  <c r="AX194" i="11"/>
  <c r="AW194" i="11"/>
  <c r="AV194" i="11"/>
  <c r="AU194" i="11"/>
  <c r="AT194" i="11"/>
  <c r="AS194" i="11"/>
  <c r="AR194" i="11"/>
  <c r="AQ194" i="11"/>
  <c r="AL194" i="11"/>
  <c r="BC193" i="11"/>
  <c r="BB193" i="11"/>
  <c r="BA193" i="11"/>
  <c r="AZ193" i="11"/>
  <c r="AY193" i="11"/>
  <c r="AX193" i="11"/>
  <c r="AW193" i="11"/>
  <c r="AV193" i="11"/>
  <c r="AU193" i="11"/>
  <c r="AT193" i="11"/>
  <c r="AS193" i="11"/>
  <c r="AR193" i="11"/>
  <c r="AQ193" i="11"/>
  <c r="AL193" i="11"/>
  <c r="BC192" i="11"/>
  <c r="BB192" i="11"/>
  <c r="BA192" i="11"/>
  <c r="AZ192" i="11"/>
  <c r="AY192" i="11"/>
  <c r="AX192" i="11"/>
  <c r="AW192" i="11"/>
  <c r="AV192" i="11"/>
  <c r="AU192" i="11"/>
  <c r="AT192" i="11"/>
  <c r="AS192" i="11"/>
  <c r="AR192" i="11"/>
  <c r="AQ192" i="11"/>
  <c r="AL192" i="11"/>
  <c r="BC191" i="11"/>
  <c r="BB191" i="11"/>
  <c r="BA191" i="11"/>
  <c r="AZ191" i="11"/>
  <c r="AY191" i="11"/>
  <c r="AX191" i="11"/>
  <c r="AW191" i="11"/>
  <c r="AV191" i="11"/>
  <c r="AU191" i="11"/>
  <c r="AT191" i="11"/>
  <c r="AS191" i="11"/>
  <c r="AR191" i="11"/>
  <c r="AQ191" i="11"/>
  <c r="AL191" i="11"/>
  <c r="BC190" i="11"/>
  <c r="BB190" i="11"/>
  <c r="BA190" i="11"/>
  <c r="AZ190" i="11"/>
  <c r="AY190" i="11"/>
  <c r="AX190" i="11"/>
  <c r="AW190" i="11"/>
  <c r="AV190" i="11"/>
  <c r="AU190" i="11"/>
  <c r="AT190" i="11"/>
  <c r="AS190" i="11"/>
  <c r="AR190" i="11"/>
  <c r="AQ190" i="11"/>
  <c r="AL190" i="11"/>
  <c r="BC189" i="11"/>
  <c r="BB189" i="11"/>
  <c r="BA189" i="11"/>
  <c r="AZ189" i="11"/>
  <c r="AY189" i="11"/>
  <c r="AX189" i="11"/>
  <c r="AW189" i="11"/>
  <c r="AV189" i="11"/>
  <c r="AU189" i="11"/>
  <c r="AT189" i="11"/>
  <c r="AS189" i="11"/>
  <c r="AR189" i="11"/>
  <c r="AQ189" i="11"/>
  <c r="AL189" i="11"/>
  <c r="BC188" i="11"/>
  <c r="BB188" i="11"/>
  <c r="BA188" i="11"/>
  <c r="AZ188" i="11"/>
  <c r="AY188" i="11"/>
  <c r="AX188" i="11"/>
  <c r="AW188" i="11"/>
  <c r="AV188" i="11"/>
  <c r="AU188" i="11"/>
  <c r="AT188" i="11"/>
  <c r="AS188" i="11"/>
  <c r="AR188" i="11"/>
  <c r="AQ188" i="11"/>
  <c r="AL188" i="11"/>
  <c r="BC187" i="11"/>
  <c r="BB187" i="11"/>
  <c r="BA187" i="11"/>
  <c r="AZ187" i="11"/>
  <c r="AY187" i="11"/>
  <c r="AX187" i="11"/>
  <c r="AW187" i="11"/>
  <c r="AV187" i="11"/>
  <c r="AU187" i="11"/>
  <c r="AT187" i="11"/>
  <c r="AS187" i="11"/>
  <c r="AR187" i="11"/>
  <c r="AQ187" i="11"/>
  <c r="AL187" i="11"/>
  <c r="BC186" i="11"/>
  <c r="BB186" i="11"/>
  <c r="BA186" i="11"/>
  <c r="AZ186" i="11"/>
  <c r="AY186" i="11"/>
  <c r="AX186" i="11"/>
  <c r="AW186" i="11"/>
  <c r="AV186" i="11"/>
  <c r="AU186" i="11"/>
  <c r="AT186" i="11"/>
  <c r="AS186" i="11"/>
  <c r="AR186" i="11"/>
  <c r="AQ186" i="11"/>
  <c r="AL186" i="11"/>
  <c r="BC185" i="11"/>
  <c r="BB185" i="11"/>
  <c r="BA185" i="11"/>
  <c r="AZ185" i="11"/>
  <c r="AY185" i="11"/>
  <c r="AX185" i="11"/>
  <c r="AW185" i="11"/>
  <c r="AV185" i="11"/>
  <c r="AU185" i="11"/>
  <c r="AT185" i="11"/>
  <c r="AS185" i="11"/>
  <c r="AR185" i="11"/>
  <c r="AQ185" i="11"/>
  <c r="AL185" i="11"/>
  <c r="BC184" i="11"/>
  <c r="BB184" i="11"/>
  <c r="BA184" i="11"/>
  <c r="AZ184" i="11"/>
  <c r="AY184" i="11"/>
  <c r="AX184" i="11"/>
  <c r="AW184" i="11"/>
  <c r="AV184" i="11"/>
  <c r="AU184" i="11"/>
  <c r="AT184" i="11"/>
  <c r="AS184" i="11"/>
  <c r="AR184" i="11"/>
  <c r="AQ184" i="11"/>
  <c r="AL184" i="11"/>
  <c r="BC183" i="11"/>
  <c r="BB183" i="11"/>
  <c r="BA183" i="11"/>
  <c r="AZ183" i="11"/>
  <c r="AY183" i="11"/>
  <c r="AX183" i="11"/>
  <c r="AW183" i="11"/>
  <c r="AV183" i="11"/>
  <c r="AU183" i="11"/>
  <c r="AT183" i="11"/>
  <c r="AS183" i="11"/>
  <c r="AR183" i="11"/>
  <c r="AQ183" i="11"/>
  <c r="AL183" i="11"/>
  <c r="BC182" i="11"/>
  <c r="BB182" i="11"/>
  <c r="BA182" i="11"/>
  <c r="AZ182" i="11"/>
  <c r="AY182" i="11"/>
  <c r="AX182" i="11"/>
  <c r="AW182" i="11"/>
  <c r="AV182" i="11"/>
  <c r="AU182" i="11"/>
  <c r="AT182" i="11"/>
  <c r="AS182" i="11"/>
  <c r="AR182" i="11"/>
  <c r="AQ182" i="11"/>
  <c r="AL182" i="11"/>
  <c r="BC181" i="11"/>
  <c r="BB181" i="11"/>
  <c r="BA181" i="11"/>
  <c r="AZ181" i="11"/>
  <c r="AY181" i="11"/>
  <c r="AX181" i="11"/>
  <c r="AW181" i="11"/>
  <c r="AV181" i="11"/>
  <c r="AU181" i="11"/>
  <c r="AT181" i="11"/>
  <c r="AS181" i="11"/>
  <c r="AR181" i="11"/>
  <c r="AQ181" i="11"/>
  <c r="AL181" i="11"/>
  <c r="BC180" i="11"/>
  <c r="BB180" i="11"/>
  <c r="BA180" i="11"/>
  <c r="AZ180" i="11"/>
  <c r="AY180" i="11"/>
  <c r="AX180" i="11"/>
  <c r="AW180" i="11"/>
  <c r="AV180" i="11"/>
  <c r="AU180" i="11"/>
  <c r="AT180" i="11"/>
  <c r="AS180" i="11"/>
  <c r="AR180" i="11"/>
  <c r="AQ180" i="11"/>
  <c r="AL180" i="11"/>
  <c r="BC179" i="11"/>
  <c r="BB179" i="11"/>
  <c r="BA179" i="11"/>
  <c r="AZ179" i="11"/>
  <c r="AY179" i="11"/>
  <c r="AX179" i="11"/>
  <c r="AW179" i="11"/>
  <c r="AV179" i="11"/>
  <c r="AU179" i="11"/>
  <c r="AT179" i="11"/>
  <c r="AS179" i="11"/>
  <c r="AR179" i="11"/>
  <c r="AQ179" i="11"/>
  <c r="AL179" i="11"/>
  <c r="BC178" i="11"/>
  <c r="BB178" i="11"/>
  <c r="BA178" i="11"/>
  <c r="AZ178" i="11"/>
  <c r="AY178" i="11"/>
  <c r="AX178" i="11"/>
  <c r="AW178" i="11"/>
  <c r="AV178" i="11"/>
  <c r="AU178" i="11"/>
  <c r="AT178" i="11"/>
  <c r="AS178" i="11"/>
  <c r="AR178" i="11"/>
  <c r="AQ178" i="11"/>
  <c r="AL178" i="11"/>
  <c r="BC177" i="11"/>
  <c r="BB177" i="11"/>
  <c r="BA177" i="11"/>
  <c r="AZ177" i="11"/>
  <c r="AY177" i="11"/>
  <c r="AX177" i="11"/>
  <c r="AW177" i="11"/>
  <c r="AV177" i="11"/>
  <c r="AU177" i="11"/>
  <c r="AT177" i="11"/>
  <c r="AS177" i="11"/>
  <c r="AR177" i="11"/>
  <c r="AQ177" i="11"/>
  <c r="AL177" i="11"/>
  <c r="BC176" i="11"/>
  <c r="BB176" i="11"/>
  <c r="BA176" i="11"/>
  <c r="AZ176" i="11"/>
  <c r="AY176" i="11"/>
  <c r="AX176" i="11"/>
  <c r="AW176" i="11"/>
  <c r="AV176" i="11"/>
  <c r="AU176" i="11"/>
  <c r="AT176" i="11"/>
  <c r="AS176" i="11"/>
  <c r="AR176" i="11"/>
  <c r="AQ176" i="11"/>
  <c r="AL176" i="11"/>
  <c r="BC175" i="11"/>
  <c r="BB175" i="11"/>
  <c r="BA175" i="11"/>
  <c r="AZ175" i="11"/>
  <c r="AY175" i="11"/>
  <c r="AX175" i="11"/>
  <c r="AW175" i="11"/>
  <c r="AV175" i="11"/>
  <c r="AU175" i="11"/>
  <c r="AT175" i="11"/>
  <c r="AS175" i="11"/>
  <c r="AR175" i="11"/>
  <c r="AQ175" i="11"/>
  <c r="AL175" i="11"/>
  <c r="BC174" i="11"/>
  <c r="BB174" i="11"/>
  <c r="BA174" i="11"/>
  <c r="AZ174" i="11"/>
  <c r="AY174" i="11"/>
  <c r="AX174" i="11"/>
  <c r="AW174" i="11"/>
  <c r="AV174" i="11"/>
  <c r="AU174" i="11"/>
  <c r="AT174" i="11"/>
  <c r="AS174" i="11"/>
  <c r="AR174" i="11"/>
  <c r="AQ174" i="11"/>
  <c r="AL174" i="11"/>
  <c r="BC173" i="11"/>
  <c r="BB173" i="11"/>
  <c r="BA173" i="11"/>
  <c r="AZ173" i="11"/>
  <c r="AY173" i="11"/>
  <c r="AX173" i="11"/>
  <c r="AW173" i="11"/>
  <c r="AV173" i="11"/>
  <c r="AU173" i="11"/>
  <c r="AT173" i="11"/>
  <c r="AS173" i="11"/>
  <c r="AR173" i="11"/>
  <c r="AQ173" i="11"/>
  <c r="AL173" i="11"/>
  <c r="BC172" i="11"/>
  <c r="BB172" i="11"/>
  <c r="BA172" i="11"/>
  <c r="AZ172" i="11"/>
  <c r="AY172" i="11"/>
  <c r="AX172" i="11"/>
  <c r="AW172" i="11"/>
  <c r="AV172" i="11"/>
  <c r="AU172" i="11"/>
  <c r="AT172" i="11"/>
  <c r="AS172" i="11"/>
  <c r="AR172" i="11"/>
  <c r="AQ172" i="11"/>
  <c r="AL172" i="11"/>
  <c r="BC171" i="11"/>
  <c r="BB171" i="11"/>
  <c r="BA171" i="11"/>
  <c r="AZ171" i="11"/>
  <c r="AY171" i="11"/>
  <c r="AX171" i="11"/>
  <c r="AW171" i="11"/>
  <c r="AV171" i="11"/>
  <c r="AU171" i="11"/>
  <c r="AT171" i="11"/>
  <c r="AS171" i="11"/>
  <c r="AR171" i="11"/>
  <c r="AQ171" i="11"/>
  <c r="AL171" i="11"/>
  <c r="BC170" i="11"/>
  <c r="BB170" i="11"/>
  <c r="BA170" i="11"/>
  <c r="AZ170" i="11"/>
  <c r="AY170" i="11"/>
  <c r="AX170" i="11"/>
  <c r="AW170" i="11"/>
  <c r="AV170" i="11"/>
  <c r="AU170" i="11"/>
  <c r="AT170" i="11"/>
  <c r="AS170" i="11"/>
  <c r="AR170" i="11"/>
  <c r="AQ170" i="11"/>
  <c r="AL170" i="11"/>
  <c r="BC169" i="11"/>
  <c r="BB169" i="11"/>
  <c r="BA169" i="11"/>
  <c r="AZ169" i="11"/>
  <c r="AY169" i="11"/>
  <c r="AX169" i="11"/>
  <c r="AW169" i="11"/>
  <c r="AV169" i="11"/>
  <c r="AU169" i="11"/>
  <c r="AT169" i="11"/>
  <c r="AS169" i="11"/>
  <c r="AR169" i="11"/>
  <c r="AQ169" i="11"/>
  <c r="AL169" i="11"/>
  <c r="BC168" i="11"/>
  <c r="BB168" i="11"/>
  <c r="BA168" i="11"/>
  <c r="AZ168" i="11"/>
  <c r="AY168" i="11"/>
  <c r="AX168" i="11"/>
  <c r="AW168" i="11"/>
  <c r="AV168" i="11"/>
  <c r="AU168" i="11"/>
  <c r="AT168" i="11"/>
  <c r="AS168" i="11"/>
  <c r="AR168" i="11"/>
  <c r="AQ168" i="11"/>
  <c r="AL168" i="11"/>
  <c r="BC167" i="11"/>
  <c r="BB167" i="11"/>
  <c r="BA167" i="11"/>
  <c r="AZ167" i="11"/>
  <c r="AY167" i="11"/>
  <c r="AX167" i="11"/>
  <c r="AW167" i="11"/>
  <c r="AV167" i="11"/>
  <c r="AU167" i="11"/>
  <c r="AT167" i="11"/>
  <c r="AS167" i="11"/>
  <c r="AR167" i="11"/>
  <c r="AQ167" i="11"/>
  <c r="AL167" i="11"/>
  <c r="BC166" i="11"/>
  <c r="BB166" i="11"/>
  <c r="BA166" i="11"/>
  <c r="AZ166" i="11"/>
  <c r="AY166" i="11"/>
  <c r="AX166" i="11"/>
  <c r="AW166" i="11"/>
  <c r="AV166" i="11"/>
  <c r="AU166" i="11"/>
  <c r="AT166" i="11"/>
  <c r="AS166" i="11"/>
  <c r="AR166" i="11"/>
  <c r="AQ166" i="11"/>
  <c r="AL166" i="11"/>
  <c r="BC165" i="11"/>
  <c r="BB165" i="11"/>
  <c r="BA165" i="11"/>
  <c r="AZ165" i="11"/>
  <c r="AY165" i="11"/>
  <c r="AX165" i="11"/>
  <c r="AW165" i="11"/>
  <c r="AV165" i="11"/>
  <c r="AU165" i="11"/>
  <c r="AT165" i="11"/>
  <c r="AS165" i="11"/>
  <c r="AR165" i="11"/>
  <c r="AQ165" i="11"/>
  <c r="AL165" i="11"/>
  <c r="BC164" i="11"/>
  <c r="BB164" i="11"/>
  <c r="BA164" i="11"/>
  <c r="AZ164" i="11"/>
  <c r="AY164" i="11"/>
  <c r="AX164" i="11"/>
  <c r="AW164" i="11"/>
  <c r="AV164" i="11"/>
  <c r="AU164" i="11"/>
  <c r="AT164" i="11"/>
  <c r="AS164" i="11"/>
  <c r="AR164" i="11"/>
  <c r="AQ164" i="11"/>
  <c r="AL164" i="11"/>
  <c r="BC163" i="11"/>
  <c r="BB163" i="11"/>
  <c r="BA163" i="11"/>
  <c r="AZ163" i="11"/>
  <c r="AY163" i="11"/>
  <c r="AX163" i="11"/>
  <c r="AW163" i="11"/>
  <c r="AV163" i="11"/>
  <c r="AU163" i="11"/>
  <c r="AT163" i="11"/>
  <c r="AS163" i="11"/>
  <c r="AR163" i="11"/>
  <c r="AQ163" i="11"/>
  <c r="AL163" i="11"/>
  <c r="BC162" i="11"/>
  <c r="BB162" i="11"/>
  <c r="BA162" i="11"/>
  <c r="AZ162" i="11"/>
  <c r="AY162" i="11"/>
  <c r="AX162" i="11"/>
  <c r="AW162" i="11"/>
  <c r="AV162" i="11"/>
  <c r="AU162" i="11"/>
  <c r="AT162" i="11"/>
  <c r="AS162" i="11"/>
  <c r="AR162" i="11"/>
  <c r="AQ162" i="11"/>
  <c r="AL162" i="11"/>
  <c r="BC161" i="11"/>
  <c r="BB161" i="11"/>
  <c r="BA161" i="11"/>
  <c r="AZ161" i="11"/>
  <c r="AY161" i="11"/>
  <c r="AX161" i="11"/>
  <c r="AW161" i="11"/>
  <c r="AV161" i="11"/>
  <c r="AU161" i="11"/>
  <c r="AT161" i="11"/>
  <c r="AS161" i="11"/>
  <c r="AR161" i="11"/>
  <c r="AQ161" i="11"/>
  <c r="AL161" i="11"/>
  <c r="BC160" i="11"/>
  <c r="BB160" i="11"/>
  <c r="BA160" i="11"/>
  <c r="AZ160" i="11"/>
  <c r="AY160" i="11"/>
  <c r="AX160" i="11"/>
  <c r="AW160" i="11"/>
  <c r="AV160" i="11"/>
  <c r="AU160" i="11"/>
  <c r="AT160" i="11"/>
  <c r="AS160" i="11"/>
  <c r="AR160" i="11"/>
  <c r="AQ160" i="11"/>
  <c r="AL160" i="11"/>
  <c r="BC159" i="11"/>
  <c r="BB159" i="11"/>
  <c r="BA159" i="11"/>
  <c r="AZ159" i="11"/>
  <c r="AY159" i="11"/>
  <c r="AX159" i="11"/>
  <c r="AW159" i="11"/>
  <c r="AV159" i="11"/>
  <c r="AU159" i="11"/>
  <c r="AT159" i="11"/>
  <c r="AS159" i="11"/>
  <c r="AR159" i="11"/>
  <c r="AQ159" i="11"/>
  <c r="AL159" i="11"/>
  <c r="BC158" i="11"/>
  <c r="BB158" i="11"/>
  <c r="BA158" i="11"/>
  <c r="AZ158" i="11"/>
  <c r="AY158" i="11"/>
  <c r="AX158" i="11"/>
  <c r="AW158" i="11"/>
  <c r="AV158" i="11"/>
  <c r="AU158" i="11"/>
  <c r="AT158" i="11"/>
  <c r="AS158" i="11"/>
  <c r="AR158" i="11"/>
  <c r="AQ158" i="11"/>
  <c r="AL158" i="11"/>
  <c r="BC157" i="11"/>
  <c r="BB157" i="11"/>
  <c r="BA157" i="11"/>
  <c r="AZ157" i="11"/>
  <c r="AY157" i="11"/>
  <c r="AX157" i="11"/>
  <c r="AW157" i="11"/>
  <c r="AV157" i="11"/>
  <c r="AU157" i="11"/>
  <c r="AT157" i="11"/>
  <c r="AS157" i="11"/>
  <c r="AR157" i="11"/>
  <c r="AQ157" i="11"/>
  <c r="AL157" i="11"/>
  <c r="BC156" i="11"/>
  <c r="BB156" i="11"/>
  <c r="BA156" i="11"/>
  <c r="AZ156" i="11"/>
  <c r="AY156" i="11"/>
  <c r="AX156" i="11"/>
  <c r="AW156" i="11"/>
  <c r="AV156" i="11"/>
  <c r="AU156" i="11"/>
  <c r="AT156" i="11"/>
  <c r="AS156" i="11"/>
  <c r="AR156" i="11"/>
  <c r="AQ156" i="11"/>
  <c r="AL156" i="11"/>
  <c r="BC155" i="11"/>
  <c r="BB155" i="11"/>
  <c r="BA155" i="11"/>
  <c r="AZ155" i="11"/>
  <c r="AY155" i="11"/>
  <c r="AX155" i="11"/>
  <c r="AW155" i="11"/>
  <c r="AV155" i="11"/>
  <c r="AU155" i="11"/>
  <c r="AT155" i="11"/>
  <c r="AS155" i="11"/>
  <c r="AR155" i="11"/>
  <c r="AQ155" i="11"/>
  <c r="AL155" i="11"/>
  <c r="BC154" i="11"/>
  <c r="BB154" i="11"/>
  <c r="BA154" i="11"/>
  <c r="AZ154" i="11"/>
  <c r="AY154" i="11"/>
  <c r="AX154" i="11"/>
  <c r="AW154" i="11"/>
  <c r="AV154" i="11"/>
  <c r="AU154" i="11"/>
  <c r="AT154" i="11"/>
  <c r="AS154" i="11"/>
  <c r="AR154" i="11"/>
  <c r="AQ154" i="11"/>
  <c r="AL154" i="11"/>
  <c r="BC153" i="11"/>
  <c r="BB153" i="11"/>
  <c r="BA153" i="11"/>
  <c r="AZ153" i="11"/>
  <c r="AY153" i="11"/>
  <c r="AX153" i="11"/>
  <c r="AW153" i="11"/>
  <c r="AV153" i="11"/>
  <c r="AU153" i="11"/>
  <c r="AT153" i="11"/>
  <c r="AS153" i="11"/>
  <c r="AR153" i="11"/>
  <c r="AQ153" i="11"/>
  <c r="AL153" i="11"/>
  <c r="BC152" i="11"/>
  <c r="BB152" i="11"/>
  <c r="BA152" i="11"/>
  <c r="AZ152" i="11"/>
  <c r="AY152" i="11"/>
  <c r="AX152" i="11"/>
  <c r="AW152" i="11"/>
  <c r="AV152" i="11"/>
  <c r="AU152" i="11"/>
  <c r="AT152" i="11"/>
  <c r="AS152" i="11"/>
  <c r="AR152" i="11"/>
  <c r="AQ152" i="11"/>
  <c r="AL152" i="11"/>
  <c r="BC151" i="11"/>
  <c r="BB151" i="11"/>
  <c r="BA151" i="11"/>
  <c r="AZ151" i="11"/>
  <c r="AY151" i="11"/>
  <c r="AX151" i="11"/>
  <c r="AW151" i="11"/>
  <c r="AV151" i="11"/>
  <c r="AU151" i="11"/>
  <c r="AT151" i="11"/>
  <c r="AS151" i="11"/>
  <c r="AR151" i="11"/>
  <c r="AQ151" i="11"/>
  <c r="AL151" i="11"/>
  <c r="BC150" i="11"/>
  <c r="BB150" i="11"/>
  <c r="BA150" i="11"/>
  <c r="AZ150" i="11"/>
  <c r="AY150" i="11"/>
  <c r="AX150" i="11"/>
  <c r="AW150" i="11"/>
  <c r="AV150" i="11"/>
  <c r="AU150" i="11"/>
  <c r="AT150" i="11"/>
  <c r="AS150" i="11"/>
  <c r="AR150" i="11"/>
  <c r="AQ150" i="11"/>
  <c r="AL150" i="11"/>
  <c r="BC149" i="11"/>
  <c r="BB149" i="11"/>
  <c r="BA149" i="11"/>
  <c r="AZ149" i="11"/>
  <c r="AY149" i="11"/>
  <c r="AX149" i="11"/>
  <c r="AW149" i="11"/>
  <c r="AV149" i="11"/>
  <c r="AU149" i="11"/>
  <c r="AT149" i="11"/>
  <c r="AS149" i="11"/>
  <c r="AR149" i="11"/>
  <c r="AQ149" i="11"/>
  <c r="AL149" i="11"/>
  <c r="BC148" i="11"/>
  <c r="BB148" i="11"/>
  <c r="BA148" i="11"/>
  <c r="AZ148" i="11"/>
  <c r="AY148" i="11"/>
  <c r="AX148" i="11"/>
  <c r="AW148" i="11"/>
  <c r="AV148" i="11"/>
  <c r="AU148" i="11"/>
  <c r="AT148" i="11"/>
  <c r="AS148" i="11"/>
  <c r="AR148" i="11"/>
  <c r="AQ148" i="11"/>
  <c r="AL148" i="11"/>
  <c r="BC147" i="11"/>
  <c r="BB147" i="11"/>
  <c r="BA147" i="11"/>
  <c r="AZ147" i="11"/>
  <c r="AY147" i="11"/>
  <c r="AX147" i="11"/>
  <c r="AW147" i="11"/>
  <c r="AV147" i="11"/>
  <c r="AU147" i="11"/>
  <c r="AT147" i="11"/>
  <c r="AS147" i="11"/>
  <c r="AR147" i="11"/>
  <c r="AQ147" i="11"/>
  <c r="AL147" i="11"/>
  <c r="BC146" i="11"/>
  <c r="BB146" i="11"/>
  <c r="BA146" i="11"/>
  <c r="AZ146" i="11"/>
  <c r="AY146" i="11"/>
  <c r="AX146" i="11"/>
  <c r="AW146" i="11"/>
  <c r="AV146" i="11"/>
  <c r="AU146" i="11"/>
  <c r="AT146" i="11"/>
  <c r="AS146" i="11"/>
  <c r="AR146" i="11"/>
  <c r="AQ146" i="11"/>
  <c r="AL146" i="11"/>
  <c r="BC145" i="11"/>
  <c r="BB145" i="11"/>
  <c r="BA145" i="11"/>
  <c r="AZ145" i="11"/>
  <c r="AY145" i="11"/>
  <c r="AX145" i="11"/>
  <c r="AW145" i="11"/>
  <c r="AV145" i="11"/>
  <c r="AU145" i="11"/>
  <c r="AT145" i="11"/>
  <c r="AS145" i="11"/>
  <c r="AR145" i="11"/>
  <c r="AQ145" i="11"/>
  <c r="AL145" i="11"/>
  <c r="BC144" i="11"/>
  <c r="BB144" i="11"/>
  <c r="BA144" i="11"/>
  <c r="AZ144" i="11"/>
  <c r="AY144" i="11"/>
  <c r="AX144" i="11"/>
  <c r="AW144" i="11"/>
  <c r="AV144" i="11"/>
  <c r="AU144" i="11"/>
  <c r="AT144" i="11"/>
  <c r="AS144" i="11"/>
  <c r="AR144" i="11"/>
  <c r="AQ144" i="11"/>
  <c r="AL144" i="11"/>
  <c r="BC143" i="11"/>
  <c r="BB143" i="11"/>
  <c r="BA143" i="11"/>
  <c r="AZ143" i="11"/>
  <c r="AY143" i="11"/>
  <c r="AX143" i="11"/>
  <c r="AW143" i="11"/>
  <c r="AV143" i="11"/>
  <c r="AU143" i="11"/>
  <c r="AT143" i="11"/>
  <c r="AS143" i="11"/>
  <c r="AR143" i="11"/>
  <c r="AQ143" i="11"/>
  <c r="AL143" i="11"/>
  <c r="BC142" i="11"/>
  <c r="BB142" i="11"/>
  <c r="BA142" i="11"/>
  <c r="AZ142" i="11"/>
  <c r="AY142" i="11"/>
  <c r="AX142" i="11"/>
  <c r="AW142" i="11"/>
  <c r="AV142" i="11"/>
  <c r="AU142" i="11"/>
  <c r="AT142" i="11"/>
  <c r="AS142" i="11"/>
  <c r="AR142" i="11"/>
  <c r="AQ142" i="11"/>
  <c r="AL142" i="11"/>
  <c r="BC141" i="11"/>
  <c r="BB141" i="11"/>
  <c r="BA141" i="11"/>
  <c r="AZ141" i="11"/>
  <c r="AY141" i="11"/>
  <c r="AX141" i="11"/>
  <c r="AW141" i="11"/>
  <c r="AV141" i="11"/>
  <c r="AU141" i="11"/>
  <c r="AT141" i="11"/>
  <c r="AS141" i="11"/>
  <c r="AR141" i="11"/>
  <c r="AQ141" i="11"/>
  <c r="AL141" i="11"/>
  <c r="BC140" i="11"/>
  <c r="BB140" i="11"/>
  <c r="BA140" i="11"/>
  <c r="AZ140" i="11"/>
  <c r="AY140" i="11"/>
  <c r="AX140" i="11"/>
  <c r="AW140" i="11"/>
  <c r="AV140" i="11"/>
  <c r="AU140" i="11"/>
  <c r="AT140" i="11"/>
  <c r="AS140" i="11"/>
  <c r="AR140" i="11"/>
  <c r="AQ140" i="11"/>
  <c r="AL140" i="11"/>
  <c r="BC139" i="11"/>
  <c r="BB139" i="11"/>
  <c r="BA139" i="11"/>
  <c r="AZ139" i="11"/>
  <c r="AY139" i="11"/>
  <c r="AX139" i="11"/>
  <c r="AW139" i="11"/>
  <c r="AV139" i="11"/>
  <c r="AU139" i="11"/>
  <c r="AT139" i="11"/>
  <c r="AS139" i="11"/>
  <c r="AR139" i="11"/>
  <c r="AQ139" i="11"/>
  <c r="AL139" i="11"/>
  <c r="BC138" i="11"/>
  <c r="BB138" i="11"/>
  <c r="BA138" i="11"/>
  <c r="AZ138" i="11"/>
  <c r="AY138" i="11"/>
  <c r="AX138" i="11"/>
  <c r="AW138" i="11"/>
  <c r="AV138" i="11"/>
  <c r="AU138" i="11"/>
  <c r="AT138" i="11"/>
  <c r="AS138" i="11"/>
  <c r="AR138" i="11"/>
  <c r="AQ138" i="11"/>
  <c r="AL138" i="11"/>
  <c r="BC137" i="11"/>
  <c r="BB137" i="11"/>
  <c r="BA137" i="11"/>
  <c r="AZ137" i="11"/>
  <c r="AY137" i="11"/>
  <c r="AX137" i="11"/>
  <c r="AW137" i="11"/>
  <c r="AV137" i="11"/>
  <c r="AU137" i="11"/>
  <c r="AT137" i="11"/>
  <c r="AS137" i="11"/>
  <c r="AR137" i="11"/>
  <c r="AQ137" i="11"/>
  <c r="AL137" i="11"/>
  <c r="BC136" i="11"/>
  <c r="BB136" i="11"/>
  <c r="BA136" i="11"/>
  <c r="AZ136" i="11"/>
  <c r="AY136" i="11"/>
  <c r="AX136" i="11"/>
  <c r="AW136" i="11"/>
  <c r="AV136" i="11"/>
  <c r="AU136" i="11"/>
  <c r="AT136" i="11"/>
  <c r="AS136" i="11"/>
  <c r="AR136" i="11"/>
  <c r="AQ136" i="11"/>
  <c r="AL136" i="11"/>
  <c r="BC135" i="11"/>
  <c r="BB135" i="11"/>
  <c r="BA135" i="11"/>
  <c r="AZ135" i="11"/>
  <c r="AY135" i="11"/>
  <c r="AX135" i="11"/>
  <c r="AW135" i="11"/>
  <c r="AV135" i="11"/>
  <c r="AU135" i="11"/>
  <c r="AT135" i="11"/>
  <c r="AS135" i="11"/>
  <c r="AR135" i="11"/>
  <c r="AQ135" i="11"/>
  <c r="AL135" i="11"/>
  <c r="BC134" i="11"/>
  <c r="BB134" i="11"/>
  <c r="BA134" i="11"/>
  <c r="AZ134" i="11"/>
  <c r="AY134" i="11"/>
  <c r="AX134" i="11"/>
  <c r="AW134" i="11"/>
  <c r="AV134" i="11"/>
  <c r="AU134" i="11"/>
  <c r="AT134" i="11"/>
  <c r="AS134" i="11"/>
  <c r="AR134" i="11"/>
  <c r="AQ134" i="11"/>
  <c r="AL134" i="11"/>
  <c r="BC133" i="11"/>
  <c r="BB133" i="11"/>
  <c r="BA133" i="11"/>
  <c r="AZ133" i="11"/>
  <c r="AY133" i="11"/>
  <c r="AX133" i="11"/>
  <c r="AW133" i="11"/>
  <c r="AV133" i="11"/>
  <c r="AU133" i="11"/>
  <c r="AT133" i="11"/>
  <c r="AS133" i="11"/>
  <c r="AR133" i="11"/>
  <c r="AQ133" i="11"/>
  <c r="AL133" i="11"/>
  <c r="BC132" i="11"/>
  <c r="BB132" i="11"/>
  <c r="BA132" i="11"/>
  <c r="AZ132" i="11"/>
  <c r="AY132" i="11"/>
  <c r="AX132" i="11"/>
  <c r="AW132" i="11"/>
  <c r="AV132" i="11"/>
  <c r="AU132" i="11"/>
  <c r="AT132" i="11"/>
  <c r="AS132" i="11"/>
  <c r="AR132" i="11"/>
  <c r="AQ132" i="11"/>
  <c r="AL132" i="11"/>
  <c r="BC131" i="11"/>
  <c r="BB131" i="11"/>
  <c r="BA131" i="11"/>
  <c r="AZ131" i="11"/>
  <c r="AY131" i="11"/>
  <c r="AX131" i="11"/>
  <c r="AW131" i="11"/>
  <c r="AV131" i="11"/>
  <c r="AU131" i="11"/>
  <c r="AT131" i="11"/>
  <c r="AS131" i="11"/>
  <c r="AR131" i="11"/>
  <c r="AQ131" i="11"/>
  <c r="AL131" i="11"/>
  <c r="BC130" i="11"/>
  <c r="BB130" i="11"/>
  <c r="BA130" i="11"/>
  <c r="AZ130" i="11"/>
  <c r="AY130" i="11"/>
  <c r="AX130" i="11"/>
  <c r="AW130" i="11"/>
  <c r="AV130" i="11"/>
  <c r="AU130" i="11"/>
  <c r="AT130" i="11"/>
  <c r="AS130" i="11"/>
  <c r="AR130" i="11"/>
  <c r="AQ130" i="11"/>
  <c r="AL130" i="11"/>
  <c r="BC129" i="11"/>
  <c r="BB129" i="11"/>
  <c r="BA129" i="11"/>
  <c r="AZ129" i="11"/>
  <c r="AY129" i="11"/>
  <c r="AX129" i="11"/>
  <c r="AW129" i="11"/>
  <c r="AV129" i="11"/>
  <c r="AU129" i="11"/>
  <c r="AT129" i="11"/>
  <c r="AS129" i="11"/>
  <c r="AR129" i="11"/>
  <c r="AQ129" i="11"/>
  <c r="AL129" i="11"/>
  <c r="BC128" i="11"/>
  <c r="BB128" i="11"/>
  <c r="BA128" i="11"/>
  <c r="AZ128" i="11"/>
  <c r="AY128" i="11"/>
  <c r="AX128" i="11"/>
  <c r="AW128" i="11"/>
  <c r="AV128" i="11"/>
  <c r="AU128" i="11"/>
  <c r="AT128" i="11"/>
  <c r="AS128" i="11"/>
  <c r="AR128" i="11"/>
  <c r="AQ128" i="11"/>
  <c r="AL128" i="11"/>
  <c r="BC127" i="11"/>
  <c r="BB127" i="11"/>
  <c r="BA127" i="11"/>
  <c r="AZ127" i="11"/>
  <c r="AY127" i="11"/>
  <c r="AX127" i="11"/>
  <c r="AW127" i="11"/>
  <c r="AV127" i="11"/>
  <c r="AU127" i="11"/>
  <c r="AT127" i="11"/>
  <c r="AS127" i="11"/>
  <c r="AR127" i="11"/>
  <c r="AQ127" i="11"/>
  <c r="AL127" i="11"/>
  <c r="BC126" i="11"/>
  <c r="BB126" i="11"/>
  <c r="BA126" i="11"/>
  <c r="AZ126" i="11"/>
  <c r="AY126" i="11"/>
  <c r="AX126" i="11"/>
  <c r="AW126" i="11"/>
  <c r="AV126" i="11"/>
  <c r="AU126" i="11"/>
  <c r="AT126" i="11"/>
  <c r="AS126" i="11"/>
  <c r="AR126" i="11"/>
  <c r="AQ126" i="11"/>
  <c r="AL126" i="11"/>
  <c r="BC125" i="11"/>
  <c r="BB125" i="11"/>
  <c r="BA125" i="11"/>
  <c r="AZ125" i="11"/>
  <c r="AY125" i="11"/>
  <c r="AX125" i="11"/>
  <c r="AW125" i="11"/>
  <c r="AV125" i="11"/>
  <c r="AU125" i="11"/>
  <c r="AT125" i="11"/>
  <c r="AS125" i="11"/>
  <c r="AR125" i="11"/>
  <c r="AQ125" i="11"/>
  <c r="AL125" i="11"/>
  <c r="BC124" i="11"/>
  <c r="BB124" i="11"/>
  <c r="BA124" i="11"/>
  <c r="AZ124" i="11"/>
  <c r="AY124" i="11"/>
  <c r="AX124" i="11"/>
  <c r="AW124" i="11"/>
  <c r="AV124" i="11"/>
  <c r="AU124" i="11"/>
  <c r="AT124" i="11"/>
  <c r="AS124" i="11"/>
  <c r="AR124" i="11"/>
  <c r="AQ124" i="11"/>
  <c r="AL124" i="11"/>
  <c r="BC123" i="11"/>
  <c r="BB123" i="11"/>
  <c r="BA123" i="11"/>
  <c r="AZ123" i="11"/>
  <c r="AY123" i="11"/>
  <c r="AX123" i="11"/>
  <c r="AW123" i="11"/>
  <c r="AV123" i="11"/>
  <c r="AU123" i="11"/>
  <c r="AT123" i="11"/>
  <c r="AS123" i="11"/>
  <c r="AR123" i="11"/>
  <c r="AQ123" i="11"/>
  <c r="AL123" i="11"/>
  <c r="BC122" i="11"/>
  <c r="BB122" i="11"/>
  <c r="BA122" i="11"/>
  <c r="AZ122" i="11"/>
  <c r="AY122" i="11"/>
  <c r="AX122" i="11"/>
  <c r="AW122" i="11"/>
  <c r="AV122" i="11"/>
  <c r="AU122" i="11"/>
  <c r="AT122" i="11"/>
  <c r="AS122" i="11"/>
  <c r="AR122" i="11"/>
  <c r="AQ122" i="11"/>
  <c r="AL122" i="11"/>
  <c r="BC121" i="11"/>
  <c r="BB121" i="11"/>
  <c r="BA121" i="11"/>
  <c r="AZ121" i="11"/>
  <c r="AY121" i="11"/>
  <c r="AX121" i="11"/>
  <c r="AW121" i="11"/>
  <c r="AV121" i="11"/>
  <c r="AU121" i="11"/>
  <c r="AT121" i="11"/>
  <c r="AS121" i="11"/>
  <c r="AR121" i="11"/>
  <c r="AQ121" i="11"/>
  <c r="AL121" i="11"/>
  <c r="BC120" i="11"/>
  <c r="BB120" i="11"/>
  <c r="BA120" i="11"/>
  <c r="AZ120" i="11"/>
  <c r="AY120" i="11"/>
  <c r="AX120" i="11"/>
  <c r="AW120" i="11"/>
  <c r="AV120" i="11"/>
  <c r="AU120" i="11"/>
  <c r="AT120" i="11"/>
  <c r="AS120" i="11"/>
  <c r="AR120" i="11"/>
  <c r="AQ120" i="11"/>
  <c r="AL120" i="11"/>
  <c r="BC119" i="11"/>
  <c r="BB119" i="11"/>
  <c r="BA119" i="11"/>
  <c r="AZ119" i="11"/>
  <c r="AY119" i="11"/>
  <c r="AX119" i="11"/>
  <c r="AW119" i="11"/>
  <c r="AV119" i="11"/>
  <c r="AU119" i="11"/>
  <c r="AT119" i="11"/>
  <c r="AS119" i="11"/>
  <c r="AR119" i="11"/>
  <c r="AQ119" i="11"/>
  <c r="AL119" i="11"/>
  <c r="BC118" i="11"/>
  <c r="BB118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L118" i="11"/>
  <c r="BC117" i="11"/>
  <c r="BB117" i="11"/>
  <c r="BA117" i="11"/>
  <c r="AZ117" i="11"/>
  <c r="AY117" i="11"/>
  <c r="AX117" i="11"/>
  <c r="AW117" i="11"/>
  <c r="AV117" i="11"/>
  <c r="AU117" i="11"/>
  <c r="AT117" i="11"/>
  <c r="AS117" i="11"/>
  <c r="AR117" i="11"/>
  <c r="AQ117" i="11"/>
  <c r="AL117" i="11"/>
  <c r="BC116" i="11"/>
  <c r="BB116" i="11"/>
  <c r="BA116" i="11"/>
  <c r="AZ116" i="11"/>
  <c r="AY116" i="11"/>
  <c r="AX116" i="11"/>
  <c r="AW116" i="11"/>
  <c r="AV116" i="11"/>
  <c r="AU116" i="11"/>
  <c r="AT116" i="11"/>
  <c r="AS116" i="11"/>
  <c r="AR116" i="11"/>
  <c r="AQ116" i="11"/>
  <c r="AL116" i="11"/>
  <c r="BC115" i="11"/>
  <c r="BB115" i="11"/>
  <c r="BA115" i="11"/>
  <c r="AZ115" i="11"/>
  <c r="AY115" i="11"/>
  <c r="AX115" i="11"/>
  <c r="AW115" i="11"/>
  <c r="AV115" i="11"/>
  <c r="AU115" i="11"/>
  <c r="AT115" i="11"/>
  <c r="AS115" i="11"/>
  <c r="AR115" i="11"/>
  <c r="AQ115" i="11"/>
  <c r="AL115" i="11"/>
  <c r="BC114" i="11"/>
  <c r="BB114" i="11"/>
  <c r="BA114" i="11"/>
  <c r="AZ114" i="11"/>
  <c r="AY114" i="11"/>
  <c r="AX114" i="11"/>
  <c r="AW114" i="11"/>
  <c r="AV114" i="11"/>
  <c r="AU114" i="11"/>
  <c r="AT114" i="11"/>
  <c r="AS114" i="11"/>
  <c r="AR114" i="11"/>
  <c r="AQ114" i="11"/>
  <c r="AL114" i="11"/>
  <c r="BC113" i="11"/>
  <c r="BB113" i="11"/>
  <c r="BA113" i="11"/>
  <c r="AZ113" i="11"/>
  <c r="AY113" i="11"/>
  <c r="AX113" i="11"/>
  <c r="AW113" i="11"/>
  <c r="AV113" i="11"/>
  <c r="AU113" i="11"/>
  <c r="AT113" i="11"/>
  <c r="AS113" i="11"/>
  <c r="AR113" i="11"/>
  <c r="AQ113" i="11"/>
  <c r="AL113" i="11"/>
  <c r="BC112" i="11"/>
  <c r="BB112" i="11"/>
  <c r="BA112" i="11"/>
  <c r="AZ112" i="11"/>
  <c r="AY112" i="11"/>
  <c r="AX112" i="11"/>
  <c r="AW112" i="11"/>
  <c r="AV112" i="11"/>
  <c r="AU112" i="11"/>
  <c r="AT112" i="11"/>
  <c r="AS112" i="11"/>
  <c r="AR112" i="11"/>
  <c r="AQ112" i="11"/>
  <c r="AL112" i="11"/>
  <c r="BC111" i="11"/>
  <c r="BB111" i="11"/>
  <c r="BA111" i="11"/>
  <c r="AZ111" i="11"/>
  <c r="AY111" i="11"/>
  <c r="AX111" i="11"/>
  <c r="AW111" i="11"/>
  <c r="AV111" i="11"/>
  <c r="AU111" i="11"/>
  <c r="AT111" i="11"/>
  <c r="AS111" i="11"/>
  <c r="AR111" i="11"/>
  <c r="AQ111" i="11"/>
  <c r="AL111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L110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L109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L108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L107" i="11"/>
  <c r="BC106" i="11"/>
  <c r="BB106" i="11"/>
  <c r="BA106" i="11"/>
  <c r="AZ106" i="11"/>
  <c r="AY106" i="11"/>
  <c r="AX106" i="11"/>
  <c r="AW106" i="11"/>
  <c r="AV106" i="11"/>
  <c r="AU106" i="11"/>
  <c r="AT106" i="11"/>
  <c r="AS106" i="11"/>
  <c r="AR106" i="11"/>
  <c r="AQ106" i="11"/>
  <c r="AL106" i="11"/>
  <c r="BC105" i="11"/>
  <c r="BB105" i="11"/>
  <c r="BA105" i="11"/>
  <c r="AZ105" i="11"/>
  <c r="AY105" i="11"/>
  <c r="AX105" i="11"/>
  <c r="AW105" i="11"/>
  <c r="AV105" i="11"/>
  <c r="AU105" i="11"/>
  <c r="AT105" i="11"/>
  <c r="AS105" i="11"/>
  <c r="AR105" i="11"/>
  <c r="AQ105" i="11"/>
  <c r="AL105" i="11"/>
  <c r="BC104" i="11"/>
  <c r="BB104" i="11"/>
  <c r="BA104" i="11"/>
  <c r="AZ104" i="11"/>
  <c r="AY104" i="11"/>
  <c r="AX104" i="11"/>
  <c r="AW104" i="11"/>
  <c r="AV104" i="11"/>
  <c r="AU104" i="11"/>
  <c r="AT104" i="11"/>
  <c r="AS104" i="11"/>
  <c r="AR104" i="11"/>
  <c r="AQ104" i="11"/>
  <c r="AL104" i="11"/>
  <c r="BC103" i="11"/>
  <c r="BB103" i="11"/>
  <c r="BA103" i="11"/>
  <c r="AZ103" i="11"/>
  <c r="AY103" i="11"/>
  <c r="AX103" i="11"/>
  <c r="AW103" i="11"/>
  <c r="AV103" i="11"/>
  <c r="AU103" i="11"/>
  <c r="AT103" i="11"/>
  <c r="AS103" i="11"/>
  <c r="AR103" i="11"/>
  <c r="AQ103" i="11"/>
  <c r="AL103" i="11"/>
  <c r="BC102" i="11"/>
  <c r="BB102" i="11"/>
  <c r="BA102" i="11"/>
  <c r="AZ102" i="11"/>
  <c r="AY102" i="11"/>
  <c r="AX102" i="11"/>
  <c r="AW102" i="11"/>
  <c r="AV102" i="11"/>
  <c r="AU102" i="11"/>
  <c r="AT102" i="11"/>
  <c r="AS102" i="11"/>
  <c r="AR102" i="11"/>
  <c r="AQ102" i="11"/>
  <c r="AL102" i="11"/>
  <c r="BC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L101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L100" i="11"/>
  <c r="BC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L99" i="11"/>
  <c r="BC98" i="11"/>
  <c r="BB98" i="11"/>
  <c r="BA98" i="11"/>
  <c r="AZ98" i="11"/>
  <c r="AY98" i="11"/>
  <c r="AX98" i="11"/>
  <c r="AW98" i="11"/>
  <c r="AV98" i="11"/>
  <c r="AU98" i="11"/>
  <c r="AT98" i="11"/>
  <c r="AS98" i="11"/>
  <c r="AR98" i="11"/>
  <c r="AQ98" i="11"/>
  <c r="AL98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L97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L96" i="11"/>
  <c r="BC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L95" i="11"/>
  <c r="BC94" i="11"/>
  <c r="BB94" i="11"/>
  <c r="BA94" i="11"/>
  <c r="AZ94" i="11"/>
  <c r="AY94" i="11"/>
  <c r="AX94" i="11"/>
  <c r="AW94" i="11"/>
  <c r="AV94" i="11"/>
  <c r="AU94" i="11"/>
  <c r="AT94" i="11"/>
  <c r="AS94" i="11"/>
  <c r="AR94" i="11"/>
  <c r="AQ94" i="11"/>
  <c r="AL94" i="11"/>
  <c r="BC93" i="11"/>
  <c r="BB93" i="11"/>
  <c r="BA93" i="11"/>
  <c r="AZ93" i="11"/>
  <c r="AY93" i="11"/>
  <c r="AX93" i="11"/>
  <c r="AW93" i="11"/>
  <c r="AV93" i="11"/>
  <c r="AU93" i="11"/>
  <c r="AT93" i="11"/>
  <c r="AS93" i="11"/>
  <c r="AR93" i="11"/>
  <c r="AQ93" i="11"/>
  <c r="AL93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L92" i="11"/>
  <c r="BC91" i="11"/>
  <c r="BB91" i="11"/>
  <c r="BA91" i="11"/>
  <c r="AZ91" i="11"/>
  <c r="AY91" i="11"/>
  <c r="AX91" i="11"/>
  <c r="AW91" i="11"/>
  <c r="AV91" i="11"/>
  <c r="AU91" i="11"/>
  <c r="AT91" i="11"/>
  <c r="AS91" i="11"/>
  <c r="AR91" i="11"/>
  <c r="AQ91" i="11"/>
  <c r="AL91" i="11"/>
  <c r="BC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L90" i="11"/>
  <c r="BC89" i="11"/>
  <c r="BB89" i="11"/>
  <c r="BA89" i="11"/>
  <c r="AZ89" i="11"/>
  <c r="AY89" i="11"/>
  <c r="AX89" i="11"/>
  <c r="AW89" i="11"/>
  <c r="AV89" i="11"/>
  <c r="AU89" i="11"/>
  <c r="AT89" i="11"/>
  <c r="AS89" i="11"/>
  <c r="AR89" i="11"/>
  <c r="AQ89" i="11"/>
  <c r="AL89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L88" i="11"/>
  <c r="BC87" i="11"/>
  <c r="BB87" i="11"/>
  <c r="BA87" i="11"/>
  <c r="AZ87" i="11"/>
  <c r="AY87" i="11"/>
  <c r="AX87" i="11"/>
  <c r="AW87" i="11"/>
  <c r="AV87" i="11"/>
  <c r="AU87" i="11"/>
  <c r="AT87" i="11"/>
  <c r="AS87" i="11"/>
  <c r="AR87" i="11"/>
  <c r="AQ87" i="11"/>
  <c r="AL87" i="11"/>
  <c r="BC86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L86" i="11"/>
  <c r="BC85" i="11"/>
  <c r="BB85" i="11"/>
  <c r="BA85" i="11"/>
  <c r="AZ85" i="11"/>
  <c r="AY85" i="11"/>
  <c r="AX85" i="11"/>
  <c r="AW85" i="11"/>
  <c r="AV85" i="11"/>
  <c r="AU85" i="11"/>
  <c r="AT85" i="11"/>
  <c r="AS85" i="11"/>
  <c r="AR85" i="11"/>
  <c r="AQ85" i="11"/>
  <c r="AL85" i="11"/>
  <c r="BC84" i="11"/>
  <c r="BB84" i="11"/>
  <c r="BA84" i="11"/>
  <c r="AZ84" i="11"/>
  <c r="AY84" i="11"/>
  <c r="AX84" i="11"/>
  <c r="AW84" i="11"/>
  <c r="AV84" i="11"/>
  <c r="AU84" i="11"/>
  <c r="AT84" i="11"/>
  <c r="AS84" i="11"/>
  <c r="AR84" i="11"/>
  <c r="AQ84" i="11"/>
  <c r="AL84" i="11"/>
  <c r="BC83" i="11"/>
  <c r="BB83" i="11"/>
  <c r="BA83" i="11"/>
  <c r="AZ83" i="11"/>
  <c r="AY83" i="11"/>
  <c r="AX83" i="11"/>
  <c r="AW83" i="11"/>
  <c r="AV83" i="11"/>
  <c r="AU83" i="11"/>
  <c r="AT83" i="11"/>
  <c r="AS83" i="11"/>
  <c r="AR83" i="11"/>
  <c r="AQ83" i="11"/>
  <c r="AL83" i="11"/>
  <c r="BC82" i="11"/>
  <c r="BB82" i="11"/>
  <c r="BA82" i="11"/>
  <c r="AZ82" i="11"/>
  <c r="AY82" i="11"/>
  <c r="AX82" i="11"/>
  <c r="AW82" i="11"/>
  <c r="AV82" i="11"/>
  <c r="AU82" i="11"/>
  <c r="AT82" i="11"/>
  <c r="AS82" i="11"/>
  <c r="AR82" i="11"/>
  <c r="AQ82" i="11"/>
  <c r="AL82" i="11"/>
  <c r="BC81" i="11"/>
  <c r="BB81" i="11"/>
  <c r="BA81" i="11"/>
  <c r="AZ81" i="11"/>
  <c r="AY81" i="11"/>
  <c r="AX81" i="11"/>
  <c r="AW81" i="11"/>
  <c r="AV81" i="11"/>
  <c r="AU81" i="11"/>
  <c r="AT81" i="11"/>
  <c r="AS81" i="11"/>
  <c r="AR81" i="11"/>
  <c r="AQ81" i="11"/>
  <c r="AL81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L80" i="11"/>
  <c r="BC79" i="11"/>
  <c r="BB79" i="11"/>
  <c r="BA79" i="11"/>
  <c r="AZ79" i="11"/>
  <c r="AY79" i="11"/>
  <c r="AX79" i="11"/>
  <c r="AW79" i="11"/>
  <c r="AV79" i="11"/>
  <c r="AU79" i="11"/>
  <c r="AT79" i="11"/>
  <c r="AS79" i="11"/>
  <c r="AR79" i="11"/>
  <c r="AQ79" i="11"/>
  <c r="AL79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L78" i="11"/>
  <c r="BC77" i="11"/>
  <c r="BB77" i="11"/>
  <c r="BA77" i="11"/>
  <c r="AZ77" i="11"/>
  <c r="AY77" i="11"/>
  <c r="AX77" i="11"/>
  <c r="AW77" i="11"/>
  <c r="AV77" i="11"/>
  <c r="AU77" i="11"/>
  <c r="AT77" i="11"/>
  <c r="AS77" i="11"/>
  <c r="AR77" i="11"/>
  <c r="AQ77" i="11"/>
  <c r="AL77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L76" i="11"/>
  <c r="BC75" i="11"/>
  <c r="BB75" i="11"/>
  <c r="BA75" i="11"/>
  <c r="AZ75" i="11"/>
  <c r="AY75" i="11"/>
  <c r="AX75" i="11"/>
  <c r="AW75" i="11"/>
  <c r="AV75" i="11"/>
  <c r="AU75" i="11"/>
  <c r="AT75" i="11"/>
  <c r="AS75" i="11"/>
  <c r="AR75" i="11"/>
  <c r="AQ75" i="11"/>
  <c r="AL75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L74" i="11"/>
  <c r="BC73" i="11"/>
  <c r="BB73" i="11"/>
  <c r="BA73" i="11"/>
  <c r="AZ73" i="11"/>
  <c r="AY73" i="11"/>
  <c r="AX73" i="11"/>
  <c r="AW73" i="11"/>
  <c r="AV73" i="11"/>
  <c r="AU73" i="11"/>
  <c r="AT73" i="11"/>
  <c r="AS73" i="11"/>
  <c r="AR73" i="11"/>
  <c r="AQ73" i="11"/>
  <c r="AL73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L72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L71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L70" i="11"/>
  <c r="BC69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L69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L68" i="11"/>
  <c r="BC67" i="11"/>
  <c r="BB67" i="11"/>
  <c r="BA67" i="11"/>
  <c r="AZ67" i="11"/>
  <c r="AY67" i="11"/>
  <c r="AX67" i="11"/>
  <c r="AW67" i="11"/>
  <c r="AV67" i="11"/>
  <c r="AU67" i="11"/>
  <c r="AT67" i="11"/>
  <c r="AS67" i="11"/>
  <c r="AR67" i="11"/>
  <c r="AQ67" i="11"/>
  <c r="AL67" i="11"/>
  <c r="BC66" i="11"/>
  <c r="BB66" i="11"/>
  <c r="BA66" i="11"/>
  <c r="AZ66" i="11"/>
  <c r="AY66" i="11"/>
  <c r="AX66" i="11"/>
  <c r="AW66" i="11"/>
  <c r="AV66" i="11"/>
  <c r="AU66" i="11"/>
  <c r="AT66" i="11"/>
  <c r="AS66" i="11"/>
  <c r="AR66" i="11"/>
  <c r="AQ66" i="11"/>
  <c r="AL66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L65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L64" i="11"/>
  <c r="BC63" i="11"/>
  <c r="BB63" i="11"/>
  <c r="BA63" i="11"/>
  <c r="AZ63" i="11"/>
  <c r="AY63" i="11"/>
  <c r="AX63" i="11"/>
  <c r="AW63" i="11"/>
  <c r="AV63" i="11"/>
  <c r="AU63" i="11"/>
  <c r="AT63" i="11"/>
  <c r="AS63" i="11"/>
  <c r="AR63" i="11"/>
  <c r="AQ63" i="11"/>
  <c r="AL63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L62" i="11"/>
  <c r="BC61" i="11"/>
  <c r="BB61" i="11"/>
  <c r="BA61" i="11"/>
  <c r="AZ61" i="11"/>
  <c r="AY61" i="11"/>
  <c r="AX61" i="11"/>
  <c r="AW61" i="11"/>
  <c r="AV61" i="11"/>
  <c r="AU61" i="11"/>
  <c r="AT61" i="11"/>
  <c r="AS61" i="11"/>
  <c r="AR61" i="11"/>
  <c r="AQ61" i="11"/>
  <c r="AL61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L60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L59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L58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L57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L56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L55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L54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L53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L52" i="11"/>
  <c r="BC51" i="11"/>
  <c r="BB51" i="11"/>
  <c r="BA51" i="11"/>
  <c r="AZ51" i="11"/>
  <c r="AY51" i="11"/>
  <c r="AX51" i="11"/>
  <c r="AW51" i="11"/>
  <c r="AV51" i="11"/>
  <c r="AU51" i="11"/>
  <c r="AT51" i="11"/>
  <c r="AS51" i="11"/>
  <c r="AR51" i="11"/>
  <c r="AQ51" i="11"/>
  <c r="AL51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L50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L49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L48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L47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L46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L45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L44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L43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L42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L41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L40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L39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L38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L37" i="11"/>
  <c r="BC36" i="11"/>
  <c r="BB36" i="11"/>
  <c r="BA36" i="11"/>
  <c r="AY36" i="11"/>
  <c r="AX36" i="11"/>
  <c r="AW36" i="11"/>
  <c r="AV36" i="11"/>
  <c r="AU36" i="11"/>
  <c r="AT36" i="11"/>
  <c r="AS36" i="11"/>
  <c r="AR36" i="11"/>
  <c r="AL36" i="11"/>
  <c r="BC35" i="11"/>
  <c r="BB35" i="11"/>
  <c r="BA35" i="11"/>
  <c r="AX35" i="11"/>
  <c r="AW35" i="11"/>
  <c r="AV35" i="11"/>
  <c r="AS35" i="11"/>
  <c r="AR35" i="11"/>
  <c r="AL35" i="11"/>
  <c r="BC34" i="11"/>
  <c r="BB34" i="11"/>
  <c r="BA34" i="11"/>
  <c r="AX34" i="11"/>
  <c r="AW34" i="11"/>
  <c r="AV34" i="11"/>
  <c r="AS34" i="11"/>
  <c r="AR34" i="11"/>
  <c r="AL34" i="11"/>
  <c r="BC33" i="11"/>
  <c r="BB33" i="11"/>
  <c r="BA33" i="11"/>
  <c r="AX33" i="11"/>
  <c r="AW33" i="11"/>
  <c r="AV33" i="11"/>
  <c r="AS33" i="11"/>
  <c r="AR33" i="11"/>
  <c r="AQ33" i="11"/>
  <c r="AL33" i="11"/>
  <c r="AQ32" i="11"/>
  <c r="AP32" i="11"/>
  <c r="AL32" i="11"/>
  <c r="AQ31" i="11"/>
  <c r="AP31" i="11"/>
  <c r="AQ30" i="11"/>
  <c r="AP30" i="11"/>
  <c r="AQ29" i="11"/>
  <c r="AP29" i="11"/>
  <c r="AQ28" i="11"/>
  <c r="AP28" i="11"/>
  <c r="AQ27" i="11"/>
  <c r="AP27" i="11"/>
  <c r="AQ26" i="11"/>
  <c r="AP26" i="11"/>
  <c r="AQ25" i="11"/>
  <c r="AP25" i="11"/>
  <c r="AQ24" i="11"/>
  <c r="AP24" i="11"/>
  <c r="AI24" i="11"/>
  <c r="AQ23" i="11"/>
  <c r="AP23" i="11"/>
  <c r="AQ22" i="11"/>
  <c r="AP22" i="11"/>
  <c r="AQ21" i="11"/>
  <c r="AP21" i="11"/>
  <c r="AL21" i="11"/>
  <c r="AJ21" i="11"/>
  <c r="AI21" i="11"/>
  <c r="AQ20" i="11"/>
  <c r="AP20" i="11"/>
  <c r="AL20" i="11"/>
  <c r="AJ20" i="11"/>
  <c r="AI20" i="11"/>
  <c r="AQ19" i="11"/>
  <c r="AP19" i="11"/>
  <c r="AL19" i="11"/>
  <c r="AI19" i="11"/>
  <c r="AQ18" i="11"/>
  <c r="AP18" i="11"/>
  <c r="AL18" i="11"/>
  <c r="AI18" i="11"/>
  <c r="AQ17" i="11"/>
  <c r="AP17" i="11"/>
  <c r="AL17" i="11"/>
  <c r="AI17" i="11"/>
  <c r="AQ16" i="11"/>
  <c r="AP16" i="11"/>
  <c r="AL16" i="11"/>
  <c r="AI16" i="11"/>
  <c r="V16" i="11"/>
  <c r="U16" i="11"/>
  <c r="S16" i="11"/>
  <c r="R16" i="11"/>
  <c r="Q16" i="11"/>
  <c r="AQ15" i="11"/>
  <c r="AP15" i="11"/>
  <c r="AL15" i="11"/>
  <c r="AI15" i="11"/>
  <c r="V15" i="11"/>
  <c r="U15" i="11"/>
  <c r="S15" i="11"/>
  <c r="R15" i="11"/>
  <c r="Q15" i="11"/>
  <c r="AQ14" i="11"/>
  <c r="AP14" i="11"/>
  <c r="AL14" i="11"/>
  <c r="AI14" i="11"/>
  <c r="AG14" i="11"/>
  <c r="V14" i="11"/>
  <c r="U14" i="11"/>
  <c r="S14" i="11"/>
  <c r="R14" i="11"/>
  <c r="Q14" i="11"/>
  <c r="AQ13" i="11"/>
  <c r="AP13" i="11"/>
  <c r="AL13" i="11"/>
  <c r="AJ13" i="11"/>
  <c r="AI13" i="11"/>
  <c r="V13" i="11"/>
  <c r="U13" i="11"/>
  <c r="S13" i="11"/>
  <c r="R13" i="11"/>
  <c r="Q13" i="11"/>
  <c r="AQ12" i="11"/>
  <c r="AP12" i="11"/>
  <c r="U12" i="11"/>
  <c r="S12" i="11"/>
  <c r="R12" i="11"/>
  <c r="Q12" i="11"/>
  <c r="AQ11" i="11"/>
  <c r="AP11" i="11"/>
  <c r="U11" i="11"/>
  <c r="S11" i="11"/>
  <c r="R11" i="11"/>
  <c r="Q11" i="11"/>
  <c r="AQ10" i="11"/>
  <c r="AP10" i="11"/>
  <c r="V10" i="11"/>
  <c r="U10" i="11"/>
  <c r="S10" i="11"/>
  <c r="R10" i="11"/>
  <c r="Q10" i="11"/>
  <c r="L10" i="11"/>
  <c r="AK19" i="11" s="1"/>
  <c r="AQ9" i="11"/>
  <c r="AP9" i="11"/>
  <c r="V9" i="11"/>
  <c r="U9" i="11"/>
  <c r="S9" i="11"/>
  <c r="R9" i="11"/>
  <c r="Q9" i="11"/>
  <c r="L9" i="11"/>
  <c r="AK18" i="11" s="1"/>
  <c r="AQ8" i="11"/>
  <c r="AP8" i="11"/>
  <c r="V8" i="11"/>
  <c r="U8" i="11"/>
  <c r="S8" i="11"/>
  <c r="R8" i="11"/>
  <c r="Q8" i="11"/>
  <c r="L8" i="11"/>
  <c r="AK17" i="11" s="1"/>
  <c r="AQ7" i="11"/>
  <c r="AP7" i="11"/>
  <c r="V7" i="11"/>
  <c r="U7" i="11"/>
  <c r="S7" i="11"/>
  <c r="R7" i="11"/>
  <c r="Q7" i="11"/>
  <c r="L7" i="11"/>
  <c r="AK16" i="11" s="1"/>
  <c r="AQ6" i="11"/>
  <c r="AP6" i="11"/>
  <c r="V6" i="11"/>
  <c r="U6" i="11"/>
  <c r="S6" i="11"/>
  <c r="R6" i="11"/>
  <c r="Q6" i="11"/>
  <c r="L6" i="11"/>
  <c r="AK15" i="11" s="1"/>
  <c r="AQ5" i="11"/>
  <c r="AP5" i="11"/>
  <c r="V5" i="11"/>
  <c r="S5" i="11"/>
  <c r="R5" i="11"/>
  <c r="Q5" i="11"/>
  <c r="L5" i="11"/>
  <c r="AK14" i="11" s="1"/>
  <c r="AQ4" i="11"/>
  <c r="AP4" i="11"/>
  <c r="AQ3" i="11"/>
  <c r="AP3" i="11"/>
  <c r="AQ2" i="11"/>
  <c r="AP2" i="11"/>
  <c r="E2" i="11"/>
  <c r="O5" i="11"/>
  <c r="T16" i="7"/>
  <c r="T15" i="7"/>
  <c r="S16" i="7"/>
  <c r="S15" i="7"/>
  <c r="R16" i="7"/>
  <c r="R15" i="7"/>
  <c r="Q16" i="7"/>
  <c r="Q15" i="7"/>
  <c r="P16" i="7"/>
  <c r="P15" i="7"/>
  <c r="O16" i="7"/>
  <c r="O15" i="7"/>
  <c r="C336" i="7"/>
  <c r="D2" i="7"/>
  <c r="T14" i="7"/>
  <c r="S14" i="7"/>
  <c r="R14" i="7"/>
  <c r="Q14" i="7"/>
  <c r="P14" i="7"/>
  <c r="O14" i="7"/>
  <c r="C306" i="7"/>
  <c r="U62" i="7" s="1"/>
  <c r="W62" i="7" s="1"/>
  <c r="D8" i="10"/>
  <c r="AP28" i="7"/>
  <c r="AP15" i="7"/>
  <c r="U9" i="7"/>
  <c r="U5" i="7"/>
  <c r="T13" i="7"/>
  <c r="S13" i="7"/>
  <c r="R13" i="7"/>
  <c r="Q13" i="7"/>
  <c r="P13" i="7"/>
  <c r="O13" i="7"/>
  <c r="C275" i="7"/>
  <c r="U61" i="7" s="1"/>
  <c r="W61" i="7" s="1"/>
  <c r="AB53" i="7"/>
  <c r="AB54" i="7"/>
  <c r="AB55" i="7"/>
  <c r="AB56" i="7"/>
  <c r="AB57" i="7"/>
  <c r="AB58" i="7"/>
  <c r="AB59" i="7"/>
  <c r="AB52" i="7"/>
  <c r="AA53" i="7"/>
  <c r="AC53" i="7" s="1"/>
  <c r="AA54" i="7"/>
  <c r="AC54" i="7" s="1"/>
  <c r="AA55" i="7"/>
  <c r="AC55" i="7" s="1"/>
  <c r="AA56" i="7"/>
  <c r="AC56" i="7" s="1"/>
  <c r="AA57" i="7"/>
  <c r="AC57" i="7" s="1"/>
  <c r="AA58" i="7"/>
  <c r="AC58" i="7" s="1"/>
  <c r="AA59" i="7"/>
  <c r="AC59" i="7" s="1"/>
  <c r="AA52" i="7"/>
  <c r="AC52" i="7" s="1"/>
  <c r="W53" i="7"/>
  <c r="W54" i="7"/>
  <c r="W55" i="7"/>
  <c r="W56" i="7"/>
  <c r="W57" i="7"/>
  <c r="W58" i="7"/>
  <c r="W52" i="7"/>
  <c r="T12" i="7"/>
  <c r="S12" i="7"/>
  <c r="R12" i="7"/>
  <c r="Q12" i="7"/>
  <c r="P12" i="7"/>
  <c r="O12" i="7"/>
  <c r="C245" i="7"/>
  <c r="U60" i="7" s="1"/>
  <c r="W60" i="7" s="1"/>
  <c r="U59" i="7"/>
  <c r="W59" i="7" s="1"/>
  <c r="T11" i="7"/>
  <c r="S11" i="7"/>
  <c r="R11" i="7"/>
  <c r="Q11" i="7"/>
  <c r="P11" i="7"/>
  <c r="O11" i="7"/>
  <c r="C214" i="7"/>
  <c r="O10" i="7"/>
  <c r="O9" i="5"/>
  <c r="O11" i="5"/>
  <c r="T10" i="7"/>
  <c r="S10" i="7"/>
  <c r="R10" i="7"/>
  <c r="Q10" i="7"/>
  <c r="P10" i="7"/>
  <c r="C183" i="7"/>
  <c r="T9" i="7"/>
  <c r="S9" i="7"/>
  <c r="R9" i="7"/>
  <c r="Q9" i="7"/>
  <c r="P9" i="7"/>
  <c r="O9" i="7"/>
  <c r="C153" i="7"/>
  <c r="V14" i="10"/>
  <c r="V13" i="10"/>
  <c r="W12" i="10"/>
  <c r="X7" i="10"/>
  <c r="X8" i="10"/>
  <c r="X9" i="10"/>
  <c r="X10" i="10"/>
  <c r="X11" i="10"/>
  <c r="X6" i="10"/>
  <c r="M5" i="10"/>
  <c r="M6" i="10"/>
  <c r="M7" i="10"/>
  <c r="M8" i="10"/>
  <c r="M4" i="10"/>
  <c r="L12" i="10"/>
  <c r="AE25" i="7"/>
  <c r="AE24" i="7"/>
  <c r="AE23" i="7"/>
  <c r="AE22" i="7"/>
  <c r="AE21" i="7"/>
  <c r="AE20" i="7"/>
  <c r="AE19" i="7"/>
  <c r="AE18" i="7"/>
  <c r="AG24" i="7"/>
  <c r="AE17" i="7"/>
  <c r="T8" i="7"/>
  <c r="S8" i="7"/>
  <c r="R8" i="7"/>
  <c r="Q8" i="7"/>
  <c r="P8" i="7"/>
  <c r="O8" i="7"/>
  <c r="C122" i="7"/>
  <c r="B9" i="10"/>
  <c r="D4" i="10"/>
  <c r="D7" i="10"/>
  <c r="D3" i="10"/>
  <c r="D2" i="10"/>
  <c r="AE16" i="7"/>
  <c r="T7" i="7"/>
  <c r="S7" i="7"/>
  <c r="R7" i="7"/>
  <c r="Q7" i="7"/>
  <c r="P7" i="7"/>
  <c r="O7" i="7"/>
  <c r="C92" i="7"/>
  <c r="E32" i="6"/>
  <c r="AE15" i="7"/>
  <c r="T6" i="7"/>
  <c r="S6" i="7"/>
  <c r="R6" i="7"/>
  <c r="Q6" i="7"/>
  <c r="P6" i="7"/>
  <c r="O6" i="7"/>
  <c r="C61" i="7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2" i="7"/>
  <c r="AE14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AO15" i="7"/>
  <c r="AQ15" i="7"/>
  <c r="AR15" i="7"/>
  <c r="AS15" i="7"/>
  <c r="AT15" i="7"/>
  <c r="AU15" i="7"/>
  <c r="AV15" i="7"/>
  <c r="AW15" i="7"/>
  <c r="AX15" i="7"/>
  <c r="AY15" i="7"/>
  <c r="AZ15" i="7"/>
  <c r="BA15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AO24" i="7"/>
  <c r="AP24" i="7"/>
  <c r="AR24" i="7"/>
  <c r="AS24" i="7"/>
  <c r="AT24" i="7"/>
  <c r="AU24" i="7"/>
  <c r="AV24" i="7"/>
  <c r="AW24" i="7"/>
  <c r="AX24" i="7"/>
  <c r="AY24" i="7"/>
  <c r="AZ24" i="7"/>
  <c r="BA24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AO28" i="7"/>
  <c r="AQ28" i="7"/>
  <c r="AR28" i="7"/>
  <c r="AS28" i="7"/>
  <c r="AT28" i="7"/>
  <c r="AU28" i="7"/>
  <c r="AV28" i="7"/>
  <c r="AW28" i="7"/>
  <c r="AX28" i="7"/>
  <c r="AY28" i="7"/>
  <c r="AZ28" i="7"/>
  <c r="BA28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AJ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AJ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AJ34" i="7"/>
  <c r="AG13" i="7"/>
  <c r="AH13" i="7"/>
  <c r="AJ13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AJ35" i="7"/>
  <c r="AG14" i="7"/>
  <c r="AJ14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AJ36" i="7"/>
  <c r="AG15" i="7"/>
  <c r="AJ15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AJ37" i="7"/>
  <c r="AG16" i="7"/>
  <c r="AJ16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AJ38" i="7"/>
  <c r="AG17" i="7"/>
  <c r="AJ17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AJ39" i="7"/>
  <c r="AG18" i="7"/>
  <c r="AJ18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AJ40" i="7"/>
  <c r="AG19" i="7"/>
  <c r="AJ19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AJ41" i="7"/>
  <c r="AG20" i="7"/>
  <c r="AH20" i="7"/>
  <c r="AJ20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AJ42" i="7"/>
  <c r="AG21" i="7"/>
  <c r="AH21" i="7"/>
  <c r="AJ21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AJ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AJ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AJ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AJ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AJ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AJ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AJ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AJ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AJ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AJ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AJ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AJ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AJ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AJ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AJ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AJ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AJ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AJ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AJ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AJ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AJ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AJ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AJ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AJ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AJ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AJ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AJ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AJ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AJ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AJ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AJ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AJ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AJ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AJ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AJ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AJ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AJ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AJ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AJ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AJ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AJ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AJ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AJ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AJ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AJ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AJ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AJ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AJ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AJ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AJ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AJ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AJ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AJ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AJ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AJ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AJ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AJ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AJ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AJ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AJ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AJ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AJ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AJ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AJ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AJ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AJ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AJ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AJ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AJ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AJ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AJ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AJ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AJ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AJ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AJ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AJ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AJ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AJ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AJ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AJ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AJ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AJ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AJ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AJ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AJ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AJ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AJ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AJ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AJ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AJ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AJ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AJ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AJ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AJ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AJ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AJ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AJ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AJ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AJ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AJ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AJ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AJ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AJ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AJ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AJ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AJ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AJ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AJ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AJ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AJ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AJ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AJ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AJ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AJ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AJ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AJ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AJ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AJ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AJ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AJ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AJ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AJ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AJ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AJ166" i="7"/>
  <c r="AO166" i="7"/>
  <c r="AP166" i="7"/>
  <c r="AQ166" i="7"/>
  <c r="AR166" i="7"/>
  <c r="AS166" i="7"/>
  <c r="AT166" i="7"/>
  <c r="AU166" i="7"/>
  <c r="AV166" i="7"/>
  <c r="AW166" i="7"/>
  <c r="AX166" i="7"/>
  <c r="AY166" i="7"/>
  <c r="AZ166" i="7"/>
  <c r="BA166" i="7"/>
  <c r="AJ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AJ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AJ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AJ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AJ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BA171" i="7"/>
  <c r="AJ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AJ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AJ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AJ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AJ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BA176" i="7"/>
  <c r="AJ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AJ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AJ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AJ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AJ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AJ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AJ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AJ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AJ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AJ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BA186" i="7"/>
  <c r="AJ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AJ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AJ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AJ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AJ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BA191" i="7"/>
  <c r="AJ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AJ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AJ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AJ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AJ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AJ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AJ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AJ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AJ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AJ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AJ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AJ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AJ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AJ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AJ206" i="7"/>
  <c r="AO206" i="7"/>
  <c r="AP206" i="7"/>
  <c r="AQ206" i="7"/>
  <c r="AR206" i="7"/>
  <c r="AS206" i="7"/>
  <c r="AT206" i="7"/>
  <c r="AU206" i="7"/>
  <c r="AV206" i="7"/>
  <c r="AW206" i="7"/>
  <c r="AX206" i="7"/>
  <c r="AY206" i="7"/>
  <c r="AZ206" i="7"/>
  <c r="BA206" i="7"/>
  <c r="AJ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AJ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AJ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AJ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AJ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BA211" i="7"/>
  <c r="AJ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AJ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AJ214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AJ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A215" i="7"/>
  <c r="AJ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AJ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AJ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AJ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AJ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AJ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BA221" i="7"/>
  <c r="AJ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AJ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BA223" i="7"/>
  <c r="AJ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AJ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AJ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AJ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AJ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AJ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AJ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BA230" i="7"/>
  <c r="AJ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AJ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AJ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AJ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AJ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AJ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A236" i="7"/>
  <c r="AJ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A237" i="7"/>
  <c r="AJ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BA238" i="7"/>
  <c r="AJ239" i="7"/>
  <c r="AO239" i="7"/>
  <c r="AP239" i="7"/>
  <c r="AQ239" i="7"/>
  <c r="AR239" i="7"/>
  <c r="AS239" i="7"/>
  <c r="AT239" i="7"/>
  <c r="AU239" i="7"/>
  <c r="AV239" i="7"/>
  <c r="AW239" i="7"/>
  <c r="AX239" i="7"/>
  <c r="AY239" i="7"/>
  <c r="AZ239" i="7"/>
  <c r="BA239" i="7"/>
  <c r="AJ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BA240" i="7"/>
  <c r="AJ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AJ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AJ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BA243" i="7"/>
  <c r="AJ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AJ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AJ246" i="7"/>
  <c r="AO246" i="7"/>
  <c r="AP246" i="7"/>
  <c r="AQ246" i="7"/>
  <c r="AR246" i="7"/>
  <c r="AS246" i="7"/>
  <c r="AT246" i="7"/>
  <c r="AU246" i="7"/>
  <c r="AV246" i="7"/>
  <c r="AW246" i="7"/>
  <c r="AX246" i="7"/>
  <c r="AY246" i="7"/>
  <c r="AZ246" i="7"/>
  <c r="BA246" i="7"/>
  <c r="AJ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AJ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AJ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BA249" i="7"/>
  <c r="AJ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AJ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AJ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AJ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BA253" i="7"/>
  <c r="AJ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AJ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AJ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AJ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AJ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AJ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BA259" i="7"/>
  <c r="AJ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BA260" i="7"/>
  <c r="AJ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AJ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AJ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BA263" i="7"/>
  <c r="AJ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AJ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BA265" i="7"/>
  <c r="AJ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BA266" i="7"/>
  <c r="AJ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BA267" i="7"/>
  <c r="AJ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AJ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BA269" i="7"/>
  <c r="AJ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BA270" i="7"/>
  <c r="AJ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BA271" i="7"/>
  <c r="AJ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BA272" i="7"/>
  <c r="AJ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AJ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AJ275" i="7"/>
  <c r="AO275" i="7"/>
  <c r="AP275" i="7"/>
  <c r="AQ275" i="7"/>
  <c r="AR275" i="7"/>
  <c r="AS275" i="7"/>
  <c r="AT275" i="7"/>
  <c r="AU275" i="7"/>
  <c r="AV275" i="7"/>
  <c r="AW275" i="7"/>
  <c r="AX275" i="7"/>
  <c r="AY275" i="7"/>
  <c r="AZ275" i="7"/>
  <c r="BA275" i="7"/>
  <c r="AJ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AJ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AJ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A278" i="7"/>
  <c r="AJ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BA279" i="7"/>
  <c r="AJ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BA280" i="7"/>
  <c r="AJ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BA281" i="7"/>
  <c r="AJ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AJ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BA283" i="7"/>
  <c r="AJ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BA284" i="7"/>
  <c r="AJ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BA285" i="7"/>
  <c r="AJ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BA286" i="7"/>
  <c r="AJ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BA287" i="7"/>
  <c r="AJ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BA288" i="7"/>
  <c r="AJ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BA289" i="7"/>
  <c r="AJ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BA290" i="7"/>
  <c r="AJ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BA291" i="7"/>
  <c r="AJ292" i="7"/>
  <c r="AO292" i="7"/>
  <c r="AP292" i="7"/>
  <c r="AQ292" i="7"/>
  <c r="AR292" i="7"/>
  <c r="AS292" i="7"/>
  <c r="AT292" i="7"/>
  <c r="AU292" i="7"/>
  <c r="AV292" i="7"/>
  <c r="AW292" i="7"/>
  <c r="AX292" i="7"/>
  <c r="AY292" i="7"/>
  <c r="AZ292" i="7"/>
  <c r="BA292" i="7"/>
  <c r="AJ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BA293" i="7"/>
  <c r="AJ294" i="7"/>
  <c r="AO294" i="7"/>
  <c r="AP294" i="7"/>
  <c r="AQ294" i="7"/>
  <c r="AR294" i="7"/>
  <c r="AS294" i="7"/>
  <c r="AT294" i="7"/>
  <c r="AU294" i="7"/>
  <c r="AV294" i="7"/>
  <c r="AW294" i="7"/>
  <c r="AX294" i="7"/>
  <c r="AY294" i="7"/>
  <c r="AZ294" i="7"/>
  <c r="BA294" i="7"/>
  <c r="AJ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BA295" i="7"/>
  <c r="AJ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BA296" i="7"/>
  <c r="AJ297" i="7"/>
  <c r="AO297" i="7"/>
  <c r="AP297" i="7"/>
  <c r="AQ297" i="7"/>
  <c r="AR297" i="7"/>
  <c r="AS297" i="7"/>
  <c r="AT297" i="7"/>
  <c r="AU297" i="7"/>
  <c r="AV297" i="7"/>
  <c r="AW297" i="7"/>
  <c r="AX297" i="7"/>
  <c r="AY297" i="7"/>
  <c r="AZ297" i="7"/>
  <c r="BA297" i="7"/>
  <c r="AJ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BA298" i="7"/>
  <c r="AJ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BA299" i="7"/>
  <c r="AJ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BA300" i="7"/>
  <c r="AJ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BA301" i="7"/>
  <c r="AJ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BA302" i="7"/>
  <c r="AJ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BA303" i="7"/>
  <c r="AJ304" i="7"/>
  <c r="AO304" i="7"/>
  <c r="AP304" i="7"/>
  <c r="AQ304" i="7"/>
  <c r="AR304" i="7"/>
  <c r="AS304" i="7"/>
  <c r="AT304" i="7"/>
  <c r="AU304" i="7"/>
  <c r="AV304" i="7"/>
  <c r="AW304" i="7"/>
  <c r="AX304" i="7"/>
  <c r="AY304" i="7"/>
  <c r="AZ304" i="7"/>
  <c r="BA304" i="7"/>
  <c r="AJ305" i="7"/>
  <c r="AO305" i="7"/>
  <c r="AP305" i="7"/>
  <c r="AQ305" i="7"/>
  <c r="AR305" i="7"/>
  <c r="AS305" i="7"/>
  <c r="AT305" i="7"/>
  <c r="AU305" i="7"/>
  <c r="AV305" i="7"/>
  <c r="AW305" i="7"/>
  <c r="AX305" i="7"/>
  <c r="AY305" i="7"/>
  <c r="AZ305" i="7"/>
  <c r="BA305" i="7"/>
  <c r="AJ306" i="7"/>
  <c r="AO306" i="7"/>
  <c r="AP306" i="7"/>
  <c r="AQ306" i="7"/>
  <c r="AR306" i="7"/>
  <c r="AS306" i="7"/>
  <c r="AT306" i="7"/>
  <c r="AU306" i="7"/>
  <c r="AV306" i="7"/>
  <c r="AW306" i="7"/>
  <c r="AX306" i="7"/>
  <c r="AY306" i="7"/>
  <c r="AZ306" i="7"/>
  <c r="BA306" i="7"/>
  <c r="AJ307" i="7"/>
  <c r="AO307" i="7"/>
  <c r="AP307" i="7"/>
  <c r="AQ307" i="7"/>
  <c r="AR307" i="7"/>
  <c r="AS307" i="7"/>
  <c r="AT307" i="7"/>
  <c r="AU307" i="7"/>
  <c r="AV307" i="7"/>
  <c r="AW307" i="7"/>
  <c r="AX307" i="7"/>
  <c r="AY307" i="7"/>
  <c r="AZ307" i="7"/>
  <c r="BA307" i="7"/>
  <c r="AJ308" i="7"/>
  <c r="AO308" i="7"/>
  <c r="AP308" i="7"/>
  <c r="AQ308" i="7"/>
  <c r="AR308" i="7"/>
  <c r="AS308" i="7"/>
  <c r="AT308" i="7"/>
  <c r="AU308" i="7"/>
  <c r="AV308" i="7"/>
  <c r="AW308" i="7"/>
  <c r="AX308" i="7"/>
  <c r="AY308" i="7"/>
  <c r="AZ308" i="7"/>
  <c r="BA308" i="7"/>
  <c r="AJ309" i="7"/>
  <c r="AO309" i="7"/>
  <c r="AP309" i="7"/>
  <c r="AQ309" i="7"/>
  <c r="AR309" i="7"/>
  <c r="AS309" i="7"/>
  <c r="AT309" i="7"/>
  <c r="AU309" i="7"/>
  <c r="AV309" i="7"/>
  <c r="AW309" i="7"/>
  <c r="AX309" i="7"/>
  <c r="AY309" i="7"/>
  <c r="AZ309" i="7"/>
  <c r="BA309" i="7"/>
  <c r="AJ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AJ311" i="7"/>
  <c r="AO311" i="7"/>
  <c r="AP311" i="7"/>
  <c r="AQ311" i="7"/>
  <c r="AR311" i="7"/>
  <c r="AS311" i="7"/>
  <c r="AT311" i="7"/>
  <c r="AU311" i="7"/>
  <c r="AV311" i="7"/>
  <c r="AW311" i="7"/>
  <c r="AX311" i="7"/>
  <c r="AY311" i="7"/>
  <c r="AZ311" i="7"/>
  <c r="BA311" i="7"/>
  <c r="AJ312" i="7"/>
  <c r="AO312" i="7"/>
  <c r="AP312" i="7"/>
  <c r="AQ312" i="7"/>
  <c r="AR312" i="7"/>
  <c r="AS312" i="7"/>
  <c r="AT312" i="7"/>
  <c r="AU312" i="7"/>
  <c r="AV312" i="7"/>
  <c r="AW312" i="7"/>
  <c r="AX312" i="7"/>
  <c r="AY312" i="7"/>
  <c r="AZ312" i="7"/>
  <c r="BA312" i="7"/>
  <c r="AJ313" i="7"/>
  <c r="AO313" i="7"/>
  <c r="AP313" i="7"/>
  <c r="AQ313" i="7"/>
  <c r="AR313" i="7"/>
  <c r="AS313" i="7"/>
  <c r="AT313" i="7"/>
  <c r="AU313" i="7"/>
  <c r="AV313" i="7"/>
  <c r="AW313" i="7"/>
  <c r="AX313" i="7"/>
  <c r="AY313" i="7"/>
  <c r="AZ313" i="7"/>
  <c r="BA313" i="7"/>
  <c r="AJ314" i="7"/>
  <c r="AO314" i="7"/>
  <c r="AP314" i="7"/>
  <c r="AQ314" i="7"/>
  <c r="AR314" i="7"/>
  <c r="AS314" i="7"/>
  <c r="AT314" i="7"/>
  <c r="AU314" i="7"/>
  <c r="AV314" i="7"/>
  <c r="AW314" i="7"/>
  <c r="AX314" i="7"/>
  <c r="AY314" i="7"/>
  <c r="AZ314" i="7"/>
  <c r="BA314" i="7"/>
  <c r="AJ315" i="7"/>
  <c r="AO315" i="7"/>
  <c r="AP315" i="7"/>
  <c r="AQ315" i="7"/>
  <c r="AR315" i="7"/>
  <c r="AS315" i="7"/>
  <c r="AT315" i="7"/>
  <c r="AU315" i="7"/>
  <c r="AV315" i="7"/>
  <c r="AW315" i="7"/>
  <c r="AX315" i="7"/>
  <c r="AY315" i="7"/>
  <c r="AZ315" i="7"/>
  <c r="BA315" i="7"/>
  <c r="AJ316" i="7"/>
  <c r="AO316" i="7"/>
  <c r="AP316" i="7"/>
  <c r="AQ316" i="7"/>
  <c r="AR316" i="7"/>
  <c r="AS316" i="7"/>
  <c r="AT316" i="7"/>
  <c r="AU316" i="7"/>
  <c r="AV316" i="7"/>
  <c r="AW316" i="7"/>
  <c r="AX316" i="7"/>
  <c r="AY316" i="7"/>
  <c r="AZ316" i="7"/>
  <c r="BA316" i="7"/>
  <c r="AJ317" i="7"/>
  <c r="AO317" i="7"/>
  <c r="AP317" i="7"/>
  <c r="AQ317" i="7"/>
  <c r="AR317" i="7"/>
  <c r="AS317" i="7"/>
  <c r="AT317" i="7"/>
  <c r="AU317" i="7"/>
  <c r="AV317" i="7"/>
  <c r="AW317" i="7"/>
  <c r="AX317" i="7"/>
  <c r="AY317" i="7"/>
  <c r="AZ317" i="7"/>
  <c r="BA317" i="7"/>
  <c r="AJ318" i="7"/>
  <c r="AO318" i="7"/>
  <c r="AP318" i="7"/>
  <c r="AQ318" i="7"/>
  <c r="AR318" i="7"/>
  <c r="AS318" i="7"/>
  <c r="AT318" i="7"/>
  <c r="AU318" i="7"/>
  <c r="AV318" i="7"/>
  <c r="AW318" i="7"/>
  <c r="AX318" i="7"/>
  <c r="AY318" i="7"/>
  <c r="AZ318" i="7"/>
  <c r="BA318" i="7"/>
  <c r="AJ319" i="7"/>
  <c r="AO319" i="7"/>
  <c r="AP319" i="7"/>
  <c r="AQ319" i="7"/>
  <c r="AR319" i="7"/>
  <c r="AS319" i="7"/>
  <c r="AT319" i="7"/>
  <c r="AU319" i="7"/>
  <c r="AV319" i="7"/>
  <c r="AW319" i="7"/>
  <c r="AX319" i="7"/>
  <c r="AY319" i="7"/>
  <c r="AZ319" i="7"/>
  <c r="BA319" i="7"/>
  <c r="AJ320" i="7"/>
  <c r="AO320" i="7"/>
  <c r="AP320" i="7"/>
  <c r="AQ320" i="7"/>
  <c r="AR320" i="7"/>
  <c r="AS320" i="7"/>
  <c r="AT320" i="7"/>
  <c r="AU320" i="7"/>
  <c r="AV320" i="7"/>
  <c r="AW320" i="7"/>
  <c r="AX320" i="7"/>
  <c r="AY320" i="7"/>
  <c r="AZ320" i="7"/>
  <c r="BA320" i="7"/>
  <c r="AJ321" i="7"/>
  <c r="AO321" i="7"/>
  <c r="AP321" i="7"/>
  <c r="AQ321" i="7"/>
  <c r="AR321" i="7"/>
  <c r="AS321" i="7"/>
  <c r="AT321" i="7"/>
  <c r="AU321" i="7"/>
  <c r="AV321" i="7"/>
  <c r="AW321" i="7"/>
  <c r="AX321" i="7"/>
  <c r="AY321" i="7"/>
  <c r="AZ321" i="7"/>
  <c r="BA321" i="7"/>
  <c r="AJ322" i="7"/>
  <c r="AO322" i="7"/>
  <c r="AP322" i="7"/>
  <c r="AQ322" i="7"/>
  <c r="AR322" i="7"/>
  <c r="AS322" i="7"/>
  <c r="AT322" i="7"/>
  <c r="AU322" i="7"/>
  <c r="AV322" i="7"/>
  <c r="AW322" i="7"/>
  <c r="AX322" i="7"/>
  <c r="AY322" i="7"/>
  <c r="AZ322" i="7"/>
  <c r="BA322" i="7"/>
  <c r="AJ323" i="7"/>
  <c r="AO323" i="7"/>
  <c r="AP323" i="7"/>
  <c r="AQ323" i="7"/>
  <c r="AR323" i="7"/>
  <c r="AS323" i="7"/>
  <c r="AT323" i="7"/>
  <c r="AU323" i="7"/>
  <c r="AV323" i="7"/>
  <c r="AW323" i="7"/>
  <c r="AX323" i="7"/>
  <c r="AY323" i="7"/>
  <c r="AZ323" i="7"/>
  <c r="BA323" i="7"/>
  <c r="AJ324" i="7"/>
  <c r="AO324" i="7"/>
  <c r="AP324" i="7"/>
  <c r="AQ324" i="7"/>
  <c r="AR324" i="7"/>
  <c r="AS324" i="7"/>
  <c r="AT324" i="7"/>
  <c r="AU324" i="7"/>
  <c r="AV324" i="7"/>
  <c r="AW324" i="7"/>
  <c r="AX324" i="7"/>
  <c r="AY324" i="7"/>
  <c r="AZ324" i="7"/>
  <c r="BA324" i="7"/>
  <c r="AJ325" i="7"/>
  <c r="AO325" i="7"/>
  <c r="AP325" i="7"/>
  <c r="AQ325" i="7"/>
  <c r="AR325" i="7"/>
  <c r="AS325" i="7"/>
  <c r="AT325" i="7"/>
  <c r="AU325" i="7"/>
  <c r="AV325" i="7"/>
  <c r="AW325" i="7"/>
  <c r="AX325" i="7"/>
  <c r="AY325" i="7"/>
  <c r="AZ325" i="7"/>
  <c r="BA325" i="7"/>
  <c r="AJ326" i="7"/>
  <c r="AO326" i="7"/>
  <c r="AP326" i="7"/>
  <c r="AQ326" i="7"/>
  <c r="AR326" i="7"/>
  <c r="AS326" i="7"/>
  <c r="AT326" i="7"/>
  <c r="AU326" i="7"/>
  <c r="AV326" i="7"/>
  <c r="AW326" i="7"/>
  <c r="AX326" i="7"/>
  <c r="AY326" i="7"/>
  <c r="AZ326" i="7"/>
  <c r="BA326" i="7"/>
  <c r="AJ327" i="7"/>
  <c r="AO327" i="7"/>
  <c r="AP327" i="7"/>
  <c r="AQ327" i="7"/>
  <c r="AR327" i="7"/>
  <c r="AS327" i="7"/>
  <c r="AT327" i="7"/>
  <c r="AU327" i="7"/>
  <c r="AV327" i="7"/>
  <c r="AW327" i="7"/>
  <c r="AX327" i="7"/>
  <c r="AY327" i="7"/>
  <c r="AZ327" i="7"/>
  <c r="BA327" i="7"/>
  <c r="AJ328" i="7"/>
  <c r="AO328" i="7"/>
  <c r="AP328" i="7"/>
  <c r="AQ328" i="7"/>
  <c r="AR328" i="7"/>
  <c r="AS328" i="7"/>
  <c r="AT328" i="7"/>
  <c r="AU328" i="7"/>
  <c r="AV328" i="7"/>
  <c r="AW328" i="7"/>
  <c r="AX328" i="7"/>
  <c r="AY328" i="7"/>
  <c r="AZ328" i="7"/>
  <c r="BA328" i="7"/>
  <c r="AJ329" i="7"/>
  <c r="AO329" i="7"/>
  <c r="AP329" i="7"/>
  <c r="AQ329" i="7"/>
  <c r="AR329" i="7"/>
  <c r="AS329" i="7"/>
  <c r="AT329" i="7"/>
  <c r="AU329" i="7"/>
  <c r="AV329" i="7"/>
  <c r="AW329" i="7"/>
  <c r="AX329" i="7"/>
  <c r="AY329" i="7"/>
  <c r="AZ329" i="7"/>
  <c r="BA329" i="7"/>
  <c r="AJ330" i="7"/>
  <c r="AO330" i="7"/>
  <c r="AP330" i="7"/>
  <c r="AQ330" i="7"/>
  <c r="AR330" i="7"/>
  <c r="AS330" i="7"/>
  <c r="AT330" i="7"/>
  <c r="AU330" i="7"/>
  <c r="AV330" i="7"/>
  <c r="AW330" i="7"/>
  <c r="AX330" i="7"/>
  <c r="AY330" i="7"/>
  <c r="AZ330" i="7"/>
  <c r="BA330" i="7"/>
  <c r="AJ331" i="7"/>
  <c r="AO331" i="7"/>
  <c r="AP331" i="7"/>
  <c r="AQ331" i="7"/>
  <c r="AR331" i="7"/>
  <c r="AS331" i="7"/>
  <c r="AT331" i="7"/>
  <c r="AU331" i="7"/>
  <c r="AV331" i="7"/>
  <c r="AW331" i="7"/>
  <c r="AX331" i="7"/>
  <c r="AY331" i="7"/>
  <c r="AZ331" i="7"/>
  <c r="BA331" i="7"/>
  <c r="AJ332" i="7"/>
  <c r="AO332" i="7"/>
  <c r="AP332" i="7"/>
  <c r="AQ332" i="7"/>
  <c r="AR332" i="7"/>
  <c r="AS332" i="7"/>
  <c r="AT332" i="7"/>
  <c r="AU332" i="7"/>
  <c r="AV332" i="7"/>
  <c r="AW332" i="7"/>
  <c r="AX332" i="7"/>
  <c r="AY332" i="7"/>
  <c r="AZ332" i="7"/>
  <c r="BA332" i="7"/>
  <c r="AJ333" i="7"/>
  <c r="AO333" i="7"/>
  <c r="AP333" i="7"/>
  <c r="AQ333" i="7"/>
  <c r="AR333" i="7"/>
  <c r="AS333" i="7"/>
  <c r="AT333" i="7"/>
  <c r="AU333" i="7"/>
  <c r="AV333" i="7"/>
  <c r="AW333" i="7"/>
  <c r="AX333" i="7"/>
  <c r="AY333" i="7"/>
  <c r="AZ333" i="7"/>
  <c r="BA333" i="7"/>
  <c r="AJ334" i="7"/>
  <c r="AO334" i="7"/>
  <c r="AP334" i="7"/>
  <c r="AQ334" i="7"/>
  <c r="AR334" i="7"/>
  <c r="AS334" i="7"/>
  <c r="AT334" i="7"/>
  <c r="AU334" i="7"/>
  <c r="AV334" i="7"/>
  <c r="AW334" i="7"/>
  <c r="AX334" i="7"/>
  <c r="AY334" i="7"/>
  <c r="AZ334" i="7"/>
  <c r="BA334" i="7"/>
  <c r="AJ335" i="7"/>
  <c r="AO335" i="7"/>
  <c r="AP335" i="7"/>
  <c r="AQ335" i="7"/>
  <c r="AR335" i="7"/>
  <c r="AS335" i="7"/>
  <c r="AT335" i="7"/>
  <c r="AU335" i="7"/>
  <c r="AV335" i="7"/>
  <c r="AW335" i="7"/>
  <c r="AX335" i="7"/>
  <c r="AY335" i="7"/>
  <c r="AZ335" i="7"/>
  <c r="BA335" i="7"/>
  <c r="AJ336" i="7"/>
  <c r="AO336" i="7"/>
  <c r="AP336" i="7"/>
  <c r="AQ336" i="7"/>
  <c r="AR336" i="7"/>
  <c r="AS336" i="7"/>
  <c r="AT336" i="7"/>
  <c r="AU336" i="7"/>
  <c r="AV336" i="7"/>
  <c r="AW336" i="7"/>
  <c r="AX336" i="7"/>
  <c r="AY336" i="7"/>
  <c r="AZ336" i="7"/>
  <c r="BA336" i="7"/>
  <c r="AJ337" i="7"/>
  <c r="AO337" i="7"/>
  <c r="AP337" i="7"/>
  <c r="AQ337" i="7"/>
  <c r="AR337" i="7"/>
  <c r="AS337" i="7"/>
  <c r="AT337" i="7"/>
  <c r="AU337" i="7"/>
  <c r="AV337" i="7"/>
  <c r="AW337" i="7"/>
  <c r="AX337" i="7"/>
  <c r="AY337" i="7"/>
  <c r="AZ337" i="7"/>
  <c r="BA337" i="7"/>
  <c r="AJ338" i="7"/>
  <c r="AO338" i="7"/>
  <c r="AP338" i="7"/>
  <c r="AQ338" i="7"/>
  <c r="AR338" i="7"/>
  <c r="AS338" i="7"/>
  <c r="AT338" i="7"/>
  <c r="AU338" i="7"/>
  <c r="AV338" i="7"/>
  <c r="AW338" i="7"/>
  <c r="AX338" i="7"/>
  <c r="AY338" i="7"/>
  <c r="AZ338" i="7"/>
  <c r="BA338" i="7"/>
  <c r="AJ339" i="7"/>
  <c r="AO339" i="7"/>
  <c r="AP339" i="7"/>
  <c r="AQ339" i="7"/>
  <c r="AR339" i="7"/>
  <c r="AS339" i="7"/>
  <c r="AT339" i="7"/>
  <c r="AU339" i="7"/>
  <c r="AV339" i="7"/>
  <c r="AW339" i="7"/>
  <c r="AX339" i="7"/>
  <c r="AY339" i="7"/>
  <c r="AZ339" i="7"/>
  <c r="BA339" i="7"/>
  <c r="AJ340" i="7"/>
  <c r="AO340" i="7"/>
  <c r="AP340" i="7"/>
  <c r="AQ340" i="7"/>
  <c r="AR340" i="7"/>
  <c r="AS340" i="7"/>
  <c r="AT340" i="7"/>
  <c r="AU340" i="7"/>
  <c r="AV340" i="7"/>
  <c r="AW340" i="7"/>
  <c r="AX340" i="7"/>
  <c r="AY340" i="7"/>
  <c r="AZ340" i="7"/>
  <c r="BA340" i="7"/>
  <c r="AJ341" i="7"/>
  <c r="AO341" i="7"/>
  <c r="AP341" i="7"/>
  <c r="AQ341" i="7"/>
  <c r="AR341" i="7"/>
  <c r="AS341" i="7"/>
  <c r="AT341" i="7"/>
  <c r="AU341" i="7"/>
  <c r="AV341" i="7"/>
  <c r="AW341" i="7"/>
  <c r="AX341" i="7"/>
  <c r="AY341" i="7"/>
  <c r="AZ341" i="7"/>
  <c r="BA341" i="7"/>
  <c r="AJ342" i="7"/>
  <c r="AO342" i="7"/>
  <c r="AP342" i="7"/>
  <c r="AQ342" i="7"/>
  <c r="AR342" i="7"/>
  <c r="AS342" i="7"/>
  <c r="AT342" i="7"/>
  <c r="AU342" i="7"/>
  <c r="AV342" i="7"/>
  <c r="AW342" i="7"/>
  <c r="AX342" i="7"/>
  <c r="AY342" i="7"/>
  <c r="AZ342" i="7"/>
  <c r="BA342" i="7"/>
  <c r="AJ343" i="7"/>
  <c r="AO343" i="7"/>
  <c r="AP343" i="7"/>
  <c r="AQ343" i="7"/>
  <c r="AR343" i="7"/>
  <c r="AS343" i="7"/>
  <c r="AT343" i="7"/>
  <c r="AU343" i="7"/>
  <c r="AV343" i="7"/>
  <c r="AW343" i="7"/>
  <c r="AX343" i="7"/>
  <c r="AY343" i="7"/>
  <c r="AZ343" i="7"/>
  <c r="BA343" i="7"/>
  <c r="AJ344" i="7"/>
  <c r="AO344" i="7"/>
  <c r="AP344" i="7"/>
  <c r="AQ344" i="7"/>
  <c r="AR344" i="7"/>
  <c r="AS344" i="7"/>
  <c r="AT344" i="7"/>
  <c r="AU344" i="7"/>
  <c r="AV344" i="7"/>
  <c r="AW344" i="7"/>
  <c r="AX344" i="7"/>
  <c r="AY344" i="7"/>
  <c r="AZ344" i="7"/>
  <c r="BA344" i="7"/>
  <c r="AJ345" i="7"/>
  <c r="AO345" i="7"/>
  <c r="AP345" i="7"/>
  <c r="AQ345" i="7"/>
  <c r="AR345" i="7"/>
  <c r="AS345" i="7"/>
  <c r="AT345" i="7"/>
  <c r="AU345" i="7"/>
  <c r="AV345" i="7"/>
  <c r="AW345" i="7"/>
  <c r="AX345" i="7"/>
  <c r="AY345" i="7"/>
  <c r="AZ345" i="7"/>
  <c r="BA345" i="7"/>
  <c r="AJ346" i="7"/>
  <c r="AO346" i="7"/>
  <c r="AP346" i="7"/>
  <c r="AQ346" i="7"/>
  <c r="AR346" i="7"/>
  <c r="AS346" i="7"/>
  <c r="AT346" i="7"/>
  <c r="AU346" i="7"/>
  <c r="AV346" i="7"/>
  <c r="AW346" i="7"/>
  <c r="AX346" i="7"/>
  <c r="AY346" i="7"/>
  <c r="AZ346" i="7"/>
  <c r="BA346" i="7"/>
  <c r="AJ347" i="7"/>
  <c r="AO347" i="7"/>
  <c r="AP347" i="7"/>
  <c r="AQ347" i="7"/>
  <c r="AR347" i="7"/>
  <c r="AS347" i="7"/>
  <c r="AT347" i="7"/>
  <c r="AU347" i="7"/>
  <c r="AV347" i="7"/>
  <c r="AW347" i="7"/>
  <c r="AX347" i="7"/>
  <c r="AY347" i="7"/>
  <c r="AZ347" i="7"/>
  <c r="BA347" i="7"/>
  <c r="AJ348" i="7"/>
  <c r="AO348" i="7"/>
  <c r="AP348" i="7"/>
  <c r="AQ348" i="7"/>
  <c r="AR348" i="7"/>
  <c r="AS348" i="7"/>
  <c r="AT348" i="7"/>
  <c r="AU348" i="7"/>
  <c r="AV348" i="7"/>
  <c r="AW348" i="7"/>
  <c r="AX348" i="7"/>
  <c r="AY348" i="7"/>
  <c r="AZ348" i="7"/>
  <c r="BA348" i="7"/>
  <c r="AJ349" i="7"/>
  <c r="AO349" i="7"/>
  <c r="AP349" i="7"/>
  <c r="AQ349" i="7"/>
  <c r="AR349" i="7"/>
  <c r="AS349" i="7"/>
  <c r="AT349" i="7"/>
  <c r="AU349" i="7"/>
  <c r="AV349" i="7"/>
  <c r="AW349" i="7"/>
  <c r="AX349" i="7"/>
  <c r="AY349" i="7"/>
  <c r="AZ349" i="7"/>
  <c r="BA349" i="7"/>
  <c r="AJ350" i="7"/>
  <c r="AO350" i="7"/>
  <c r="AP350" i="7"/>
  <c r="AQ350" i="7"/>
  <c r="AR350" i="7"/>
  <c r="AS350" i="7"/>
  <c r="AT350" i="7"/>
  <c r="AU350" i="7"/>
  <c r="AV350" i="7"/>
  <c r="AW350" i="7"/>
  <c r="AX350" i="7"/>
  <c r="AY350" i="7"/>
  <c r="AZ350" i="7"/>
  <c r="BA350" i="7"/>
  <c r="AJ351" i="7"/>
  <c r="AO351" i="7"/>
  <c r="AP351" i="7"/>
  <c r="AQ351" i="7"/>
  <c r="AR351" i="7"/>
  <c r="AS351" i="7"/>
  <c r="AT351" i="7"/>
  <c r="AU351" i="7"/>
  <c r="AV351" i="7"/>
  <c r="AW351" i="7"/>
  <c r="AX351" i="7"/>
  <c r="AY351" i="7"/>
  <c r="AZ351" i="7"/>
  <c r="BA351" i="7"/>
  <c r="AJ352" i="7"/>
  <c r="AO352" i="7"/>
  <c r="AP352" i="7"/>
  <c r="AQ352" i="7"/>
  <c r="AR352" i="7"/>
  <c r="AS352" i="7"/>
  <c r="AT352" i="7"/>
  <c r="AU352" i="7"/>
  <c r="AV352" i="7"/>
  <c r="AW352" i="7"/>
  <c r="AX352" i="7"/>
  <c r="AY352" i="7"/>
  <c r="AZ352" i="7"/>
  <c r="BA352" i="7"/>
  <c r="AJ353" i="7"/>
  <c r="AO353" i="7"/>
  <c r="AP353" i="7"/>
  <c r="AQ353" i="7"/>
  <c r="AR353" i="7"/>
  <c r="AS353" i="7"/>
  <c r="AT353" i="7"/>
  <c r="AU353" i="7"/>
  <c r="AV353" i="7"/>
  <c r="AW353" i="7"/>
  <c r="AX353" i="7"/>
  <c r="AY353" i="7"/>
  <c r="AZ353" i="7"/>
  <c r="BA353" i="7"/>
  <c r="AJ354" i="7"/>
  <c r="AO354" i="7"/>
  <c r="AP354" i="7"/>
  <c r="AQ354" i="7"/>
  <c r="AR354" i="7"/>
  <c r="AS354" i="7"/>
  <c r="AT354" i="7"/>
  <c r="AU354" i="7"/>
  <c r="AV354" i="7"/>
  <c r="AW354" i="7"/>
  <c r="AX354" i="7"/>
  <c r="AY354" i="7"/>
  <c r="AZ354" i="7"/>
  <c r="BA354" i="7"/>
  <c r="AJ355" i="7"/>
  <c r="AO355" i="7"/>
  <c r="AP355" i="7"/>
  <c r="AQ355" i="7"/>
  <c r="AR355" i="7"/>
  <c r="AS355" i="7"/>
  <c r="AT355" i="7"/>
  <c r="AU355" i="7"/>
  <c r="AV355" i="7"/>
  <c r="AW355" i="7"/>
  <c r="AX355" i="7"/>
  <c r="AY355" i="7"/>
  <c r="AZ355" i="7"/>
  <c r="BA355" i="7"/>
  <c r="AJ356" i="7"/>
  <c r="AO356" i="7"/>
  <c r="AP356" i="7"/>
  <c r="AQ356" i="7"/>
  <c r="AR356" i="7"/>
  <c r="AS356" i="7"/>
  <c r="AT356" i="7"/>
  <c r="AU356" i="7"/>
  <c r="AV356" i="7"/>
  <c r="AW356" i="7"/>
  <c r="AX356" i="7"/>
  <c r="AY356" i="7"/>
  <c r="AZ356" i="7"/>
  <c r="BA356" i="7"/>
  <c r="AJ357" i="7"/>
  <c r="AO357" i="7"/>
  <c r="AP357" i="7"/>
  <c r="AQ357" i="7"/>
  <c r="AR357" i="7"/>
  <c r="AS357" i="7"/>
  <c r="AT357" i="7"/>
  <c r="AU357" i="7"/>
  <c r="AV357" i="7"/>
  <c r="AW357" i="7"/>
  <c r="AX357" i="7"/>
  <c r="AY357" i="7"/>
  <c r="AZ357" i="7"/>
  <c r="BA357" i="7"/>
  <c r="AJ358" i="7"/>
  <c r="AO358" i="7"/>
  <c r="AP358" i="7"/>
  <c r="AQ358" i="7"/>
  <c r="AR358" i="7"/>
  <c r="AS358" i="7"/>
  <c r="AT358" i="7"/>
  <c r="AU358" i="7"/>
  <c r="AV358" i="7"/>
  <c r="AW358" i="7"/>
  <c r="AX358" i="7"/>
  <c r="AY358" i="7"/>
  <c r="AZ358" i="7"/>
  <c r="BA358" i="7"/>
  <c r="AJ359" i="7"/>
  <c r="AO359" i="7"/>
  <c r="AP359" i="7"/>
  <c r="AQ359" i="7"/>
  <c r="AR359" i="7"/>
  <c r="AS359" i="7"/>
  <c r="AT359" i="7"/>
  <c r="AU359" i="7"/>
  <c r="AV359" i="7"/>
  <c r="AW359" i="7"/>
  <c r="AX359" i="7"/>
  <c r="AY359" i="7"/>
  <c r="AZ359" i="7"/>
  <c r="BA359" i="7"/>
  <c r="AJ360" i="7"/>
  <c r="AO360" i="7"/>
  <c r="AP360" i="7"/>
  <c r="AQ360" i="7"/>
  <c r="AR360" i="7"/>
  <c r="AS360" i="7"/>
  <c r="AT360" i="7"/>
  <c r="AU360" i="7"/>
  <c r="AV360" i="7"/>
  <c r="AW360" i="7"/>
  <c r="AX360" i="7"/>
  <c r="AY360" i="7"/>
  <c r="AZ360" i="7"/>
  <c r="BA360" i="7"/>
  <c r="AJ361" i="7"/>
  <c r="AO361" i="7"/>
  <c r="AP361" i="7"/>
  <c r="AQ361" i="7"/>
  <c r="AR361" i="7"/>
  <c r="AS361" i="7"/>
  <c r="AT361" i="7"/>
  <c r="AU361" i="7"/>
  <c r="AV361" i="7"/>
  <c r="AW361" i="7"/>
  <c r="AX361" i="7"/>
  <c r="AY361" i="7"/>
  <c r="AZ361" i="7"/>
  <c r="BA361" i="7"/>
  <c r="AJ362" i="7"/>
  <c r="AO362" i="7"/>
  <c r="AP362" i="7"/>
  <c r="AQ362" i="7"/>
  <c r="AR362" i="7"/>
  <c r="AS362" i="7"/>
  <c r="AT362" i="7"/>
  <c r="AU362" i="7"/>
  <c r="AV362" i="7"/>
  <c r="AW362" i="7"/>
  <c r="AX362" i="7"/>
  <c r="AY362" i="7"/>
  <c r="AZ362" i="7"/>
  <c r="BA362" i="7"/>
  <c r="AJ363" i="7"/>
  <c r="AO363" i="7"/>
  <c r="AP363" i="7"/>
  <c r="AQ363" i="7"/>
  <c r="AR363" i="7"/>
  <c r="AS363" i="7"/>
  <c r="AT363" i="7"/>
  <c r="AU363" i="7"/>
  <c r="AV363" i="7"/>
  <c r="AW363" i="7"/>
  <c r="AX363" i="7"/>
  <c r="AY363" i="7"/>
  <c r="AZ363" i="7"/>
  <c r="BA363" i="7"/>
  <c r="AJ364" i="7"/>
  <c r="AO364" i="7"/>
  <c r="AP364" i="7"/>
  <c r="AQ364" i="7"/>
  <c r="AR364" i="7"/>
  <c r="AS364" i="7"/>
  <c r="AT364" i="7"/>
  <c r="AU364" i="7"/>
  <c r="AV364" i="7"/>
  <c r="AW364" i="7"/>
  <c r="AX364" i="7"/>
  <c r="AY364" i="7"/>
  <c r="AZ364" i="7"/>
  <c r="BA364" i="7"/>
  <c r="AJ365" i="7"/>
  <c r="AO365" i="7"/>
  <c r="AP365" i="7"/>
  <c r="AQ365" i="7"/>
  <c r="AR365" i="7"/>
  <c r="AS365" i="7"/>
  <c r="AT365" i="7"/>
  <c r="AU365" i="7"/>
  <c r="AV365" i="7"/>
  <c r="AW365" i="7"/>
  <c r="AX365" i="7"/>
  <c r="AY365" i="7"/>
  <c r="AZ365" i="7"/>
  <c r="BA365" i="7"/>
  <c r="AJ366" i="7"/>
  <c r="AO366" i="7"/>
  <c r="AP366" i="7"/>
  <c r="AQ366" i="7"/>
  <c r="AR366" i="7"/>
  <c r="AS366" i="7"/>
  <c r="AT366" i="7"/>
  <c r="AU366" i="7"/>
  <c r="AV366" i="7"/>
  <c r="AW366" i="7"/>
  <c r="AX366" i="7"/>
  <c r="AY366" i="7"/>
  <c r="AZ366" i="7"/>
  <c r="BA366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T5" i="7"/>
  <c r="S5" i="7"/>
  <c r="R5" i="7"/>
  <c r="Q5" i="7"/>
  <c r="P5" i="7"/>
  <c r="O5" i="7"/>
  <c r="C33" i="7"/>
  <c r="J6" i="7"/>
  <c r="J5" i="7"/>
  <c r="J10" i="7"/>
  <c r="J9" i="7"/>
  <c r="J8" i="7"/>
  <c r="J7" i="7"/>
  <c r="C2" i="7"/>
  <c r="C4" i="6"/>
  <c r="C3" i="6"/>
  <c r="C2" i="6"/>
  <c r="R30" i="1"/>
  <c r="Q30" i="1"/>
  <c r="P30" i="1"/>
  <c r="O30" i="1"/>
  <c r="N30" i="1"/>
  <c r="M30" i="1"/>
  <c r="M29" i="1"/>
  <c r="M22" i="1"/>
  <c r="C336" i="1"/>
  <c r="I18" i="1"/>
  <c r="R29" i="1"/>
  <c r="Q29" i="1"/>
  <c r="P29" i="1"/>
  <c r="O29" i="1"/>
  <c r="N29" i="1"/>
  <c r="M28" i="1"/>
  <c r="C306" i="1"/>
  <c r="S23" i="1"/>
  <c r="S19" i="1"/>
  <c r="R28" i="1"/>
  <c r="Q28" i="1"/>
  <c r="P28" i="1"/>
  <c r="O28" i="1"/>
  <c r="N28" i="1"/>
  <c r="M27" i="1"/>
  <c r="C275" i="1"/>
  <c r="R27" i="1"/>
  <c r="Q27" i="1"/>
  <c r="P27" i="1"/>
  <c r="O27" i="1"/>
  <c r="N27" i="1"/>
  <c r="M26" i="1"/>
  <c r="C245" i="1"/>
  <c r="R26" i="1"/>
  <c r="Q26" i="1"/>
  <c r="P26" i="1"/>
  <c r="O26" i="1"/>
  <c r="N26" i="1"/>
  <c r="M25" i="1"/>
  <c r="C214" i="1"/>
  <c r="C183" i="1"/>
  <c r="R25" i="1"/>
  <c r="Q25" i="1"/>
  <c r="P25" i="1"/>
  <c r="O25" i="1"/>
  <c r="N25" i="1"/>
  <c r="M24" i="1"/>
  <c r="R24" i="1"/>
  <c r="Q24" i="1"/>
  <c r="P24" i="1"/>
  <c r="O24" i="1"/>
  <c r="N24" i="1"/>
  <c r="M23" i="1"/>
  <c r="C153" i="1"/>
  <c r="R23" i="1"/>
  <c r="Q23" i="1"/>
  <c r="P23" i="1"/>
  <c r="N23" i="1"/>
  <c r="O23" i="1"/>
  <c r="M19" i="1"/>
  <c r="C122" i="1"/>
  <c r="R22" i="1"/>
  <c r="Q22" i="1"/>
  <c r="P22" i="1"/>
  <c r="O22" i="1"/>
  <c r="N22" i="1"/>
  <c r="R21" i="1"/>
  <c r="Q21" i="1"/>
  <c r="P21" i="1"/>
  <c r="O21" i="1"/>
  <c r="N21" i="1"/>
  <c r="M21" i="1"/>
  <c r="M20" i="1"/>
  <c r="R20" i="1"/>
  <c r="Q20" i="1"/>
  <c r="P20" i="1"/>
  <c r="O20" i="1"/>
  <c r="N20" i="1"/>
  <c r="R19" i="1"/>
  <c r="Q19" i="1"/>
  <c r="P19" i="1"/>
  <c r="O19" i="1"/>
  <c r="N19" i="1"/>
  <c r="C92" i="1"/>
  <c r="D1" i="1"/>
  <c r="C61" i="1"/>
  <c r="C32" i="1"/>
  <c r="C1" i="1"/>
  <c r="AZ33" i="11" l="1" a="1"/>
  <c r="AZ33" i="11" s="1"/>
  <c r="AZ27" i="11" a="1"/>
  <c r="AZ27" i="11" s="1"/>
  <c r="AZ26" i="11" a="1"/>
  <c r="AZ26" i="11" s="1"/>
  <c r="AZ28" i="11" a="1"/>
  <c r="AZ28" i="11" s="1"/>
  <c r="AZ30" i="11" a="1"/>
  <c r="AZ30" i="11" s="1"/>
  <c r="AZ32" i="11" a="1"/>
  <c r="AZ32" i="11" s="1"/>
  <c r="AZ31" i="11" a="1"/>
  <c r="AZ31" i="11" s="1"/>
  <c r="AZ25" i="11" a="1"/>
  <c r="AZ25" i="11" s="1"/>
  <c r="AZ34" i="11" a="1"/>
  <c r="AZ34" i="11" s="1"/>
  <c r="AZ35" i="11" a="1"/>
  <c r="AZ35" i="11" s="1"/>
  <c r="AZ29" i="11" a="1"/>
  <c r="AZ29" i="11" s="1"/>
  <c r="U63" i="7"/>
  <c r="W63" i="7" s="1"/>
  <c r="W9" i="11"/>
  <c r="K33" i="12"/>
  <c r="K34" i="12"/>
  <c r="K37" i="12"/>
  <c r="K35" i="12"/>
  <c r="K36" i="12"/>
  <c r="W5" i="11"/>
  <c r="L11" i="11"/>
  <c r="L13" i="11" s="1"/>
  <c r="P5" i="11"/>
  <c r="U13" i="7"/>
  <c r="X12" i="10"/>
  <c r="X13" i="10" s="1"/>
  <c r="D9" i="10"/>
  <c r="F4" i="10" s="1"/>
  <c r="K11" i="10" s="1"/>
  <c r="N5" i="7"/>
  <c r="J11" i="7"/>
  <c r="J13" i="7" s="1"/>
  <c r="S27" i="1"/>
  <c r="L19" i="1"/>
  <c r="H24" i="1"/>
  <c r="AZ36" i="11" l="1"/>
  <c r="M11" i="10"/>
  <c r="M9" i="10"/>
  <c r="N7" i="10" l="1"/>
  <c r="K12" i="10"/>
  <c r="M10" i="10"/>
  <c r="M12" i="10" s="1"/>
  <c r="F8" i="10" s="1"/>
  <c r="G1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95795-BC0B-4396-9CBB-B6F80EEE567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<sst xmlns="http://schemas.openxmlformats.org/spreadsheetml/2006/main" count="2494" uniqueCount="661">
  <si>
    <t>Amazing Day</t>
  </si>
  <si>
    <t>Great Day</t>
  </si>
  <si>
    <t>Good Day</t>
  </si>
  <si>
    <t>Eh Day</t>
  </si>
  <si>
    <t>Bad Day</t>
  </si>
  <si>
    <t>Terrible Day</t>
  </si>
  <si>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</si>
  <si>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</si>
  <si>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</si>
  <si>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</si>
  <si>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</si>
  <si>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</si>
  <si>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</si>
  <si>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</si>
  <si>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</si>
  <si>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</si>
  <si>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</si>
  <si>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</si>
  <si>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</si>
  <si>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</si>
  <si>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Avg Score</t>
  </si>
  <si>
    <t>Year Avg</t>
  </si>
  <si>
    <t xml:space="preserve"> </t>
  </si>
  <si>
    <t>Happiness Index</t>
  </si>
  <si>
    <t>Score</t>
  </si>
  <si>
    <t>Number of Days</t>
  </si>
  <si>
    <t>Name</t>
  </si>
  <si>
    <t>Rating</t>
  </si>
  <si>
    <t>Gauri</t>
  </si>
  <si>
    <t>Kashish</t>
  </si>
  <si>
    <t>Category</t>
  </si>
  <si>
    <t>Shreya</t>
  </si>
  <si>
    <t>Shruti</t>
  </si>
  <si>
    <t>Priya</t>
  </si>
  <si>
    <t>Bavishya</t>
  </si>
  <si>
    <t>Sameer</t>
  </si>
  <si>
    <t>Amogh</t>
  </si>
  <si>
    <t>Kushagra</t>
  </si>
  <si>
    <t>Aakash</t>
  </si>
  <si>
    <t>Abhinav</t>
  </si>
  <si>
    <t>Rajanya</t>
  </si>
  <si>
    <t>CGS</t>
  </si>
  <si>
    <t>IIITK</t>
  </si>
  <si>
    <t>KVDL</t>
  </si>
  <si>
    <t>Ashita</t>
  </si>
  <si>
    <t>Avinash</t>
  </si>
  <si>
    <t>Aditya</t>
  </si>
  <si>
    <t>Vedant</t>
  </si>
  <si>
    <t>Harshit</t>
  </si>
  <si>
    <t>Nivedita</t>
  </si>
  <si>
    <t>Nimit</t>
  </si>
  <si>
    <t>Anshul</t>
  </si>
  <si>
    <t>Close Friends</t>
  </si>
  <si>
    <t>Friends and Acquaintances</t>
  </si>
  <si>
    <t>AGCR</t>
  </si>
  <si>
    <t xml:space="preserve">New </t>
  </si>
  <si>
    <t xml:space="preserve">Old </t>
  </si>
  <si>
    <t xml:space="preserve">Name </t>
  </si>
  <si>
    <t>12th Fail</t>
  </si>
  <si>
    <t>Gabbar is Back</t>
  </si>
  <si>
    <t>Fighter</t>
  </si>
  <si>
    <t>❤️</t>
  </si>
  <si>
    <t>Welcome to Karanchi</t>
  </si>
  <si>
    <t>Annapoorni</t>
  </si>
  <si>
    <t>Tamashaa</t>
  </si>
  <si>
    <t>Oppenheimer</t>
  </si>
  <si>
    <t>Kapoor and Sons</t>
  </si>
  <si>
    <t>Article 370</t>
  </si>
  <si>
    <t>Jab Harry Met Sejal</t>
  </si>
  <si>
    <t>Amar Singh Chamkila</t>
  </si>
  <si>
    <t>Ram Leela</t>
  </si>
  <si>
    <t>Dune 2</t>
  </si>
  <si>
    <t>Dune</t>
  </si>
  <si>
    <t>Lapataa Ladies</t>
  </si>
  <si>
    <t>The Pursuit of Happyness</t>
  </si>
  <si>
    <t>Yoddha</t>
  </si>
  <si>
    <t>Piku</t>
  </si>
  <si>
    <t>Manjummel Boys</t>
  </si>
  <si>
    <t>Good Newzz</t>
  </si>
  <si>
    <t>Kalki 2898 AD</t>
  </si>
  <si>
    <t>Liberal Arts</t>
  </si>
  <si>
    <t>Deadpool and Wolverine</t>
  </si>
  <si>
    <t>Barbarian</t>
  </si>
  <si>
    <t>Stree 2</t>
  </si>
  <si>
    <t>Knock Knock</t>
  </si>
  <si>
    <t>Shaitan</t>
  </si>
  <si>
    <t>Hum Tum</t>
  </si>
  <si>
    <t>La La Land</t>
  </si>
  <si>
    <t>Zindagi Na Milegi Dobara</t>
  </si>
  <si>
    <t>The Terminal</t>
  </si>
  <si>
    <t>De Dana Dan</t>
  </si>
  <si>
    <t>Joker</t>
  </si>
  <si>
    <t>Don't Look Up</t>
  </si>
  <si>
    <t>Deadpool 1</t>
  </si>
  <si>
    <t>Deadpool 2</t>
  </si>
  <si>
    <t>Rockstar</t>
  </si>
  <si>
    <t>Dunkirk</t>
  </si>
  <si>
    <t>The Covenant</t>
  </si>
  <si>
    <t>13 Hours : The Secret Soldiers of Benghazi</t>
  </si>
  <si>
    <t>12 Strong</t>
  </si>
  <si>
    <t>Crazy Stupid Love</t>
  </si>
  <si>
    <t>American Beauty</t>
  </si>
  <si>
    <t>Captain Phillips</t>
  </si>
  <si>
    <t>Incantation</t>
  </si>
  <si>
    <t>The Intern</t>
  </si>
  <si>
    <t>Dil Dhadakne Do</t>
  </si>
  <si>
    <t>How to lose a guy in 10 days</t>
  </si>
  <si>
    <t>The Flights I have Taken till now</t>
  </si>
  <si>
    <t>Date</t>
  </si>
  <si>
    <t>From</t>
  </si>
  <si>
    <t>To</t>
  </si>
  <si>
    <t>Airline</t>
  </si>
  <si>
    <t>Fare</t>
  </si>
  <si>
    <t>Average</t>
  </si>
  <si>
    <t>Delhi</t>
  </si>
  <si>
    <t>Kochi</t>
  </si>
  <si>
    <t>Air Asia</t>
  </si>
  <si>
    <t>Vistara</t>
  </si>
  <si>
    <t>Indigo</t>
  </si>
  <si>
    <t>Air India Express</t>
  </si>
  <si>
    <t>Trivandrum</t>
  </si>
  <si>
    <t>Total Rs.</t>
  </si>
  <si>
    <t>Reason</t>
  </si>
  <si>
    <t>College</t>
  </si>
  <si>
    <t>Sem Break</t>
  </si>
  <si>
    <t>Diwali</t>
  </si>
  <si>
    <t>S No.</t>
  </si>
  <si>
    <t>Saving Private Ryan</t>
  </si>
  <si>
    <t>Kabhi Alvidaa Na Kehna</t>
  </si>
  <si>
    <t>Jigraa</t>
  </si>
  <si>
    <t>Pk</t>
  </si>
  <si>
    <t>25F</t>
  </si>
  <si>
    <t>25A</t>
  </si>
  <si>
    <t>28A</t>
  </si>
  <si>
    <t>27F</t>
  </si>
  <si>
    <t>23A</t>
  </si>
  <si>
    <t>37A</t>
  </si>
  <si>
    <t>27A</t>
  </si>
  <si>
    <t>Booked Using</t>
  </si>
  <si>
    <t>Cleartrip</t>
  </si>
  <si>
    <t>MakeMyTrip</t>
  </si>
  <si>
    <t>27B</t>
  </si>
  <si>
    <t>26F</t>
  </si>
  <si>
    <t>IRCTC</t>
  </si>
  <si>
    <t>Goibibo</t>
  </si>
  <si>
    <t>NA</t>
  </si>
  <si>
    <t>IX-1103</t>
  </si>
  <si>
    <t>IX-1104</t>
  </si>
  <si>
    <t>UK-886</t>
  </si>
  <si>
    <t>UK-885</t>
  </si>
  <si>
    <t>I5-559</t>
  </si>
  <si>
    <t>6E-706</t>
  </si>
  <si>
    <t>UK-896</t>
  </si>
  <si>
    <t>Django Unchained</t>
  </si>
  <si>
    <t>Mai Hoon Na</t>
  </si>
  <si>
    <t>Semester</t>
  </si>
  <si>
    <t>SGPA</t>
  </si>
  <si>
    <t>CGPA</t>
  </si>
  <si>
    <t>I</t>
  </si>
  <si>
    <t>II</t>
  </si>
  <si>
    <t>III</t>
  </si>
  <si>
    <t>IV</t>
  </si>
  <si>
    <t>V</t>
  </si>
  <si>
    <t>VI</t>
  </si>
  <si>
    <t>VII</t>
  </si>
  <si>
    <t>VIII</t>
  </si>
  <si>
    <t>Delhi-6</t>
  </si>
  <si>
    <t>Bhool Bhulaiya</t>
  </si>
  <si>
    <t>Amazing Days</t>
  </si>
  <si>
    <t>Great Days</t>
  </si>
  <si>
    <t>Good Days</t>
  </si>
  <si>
    <t>Eh Days</t>
  </si>
  <si>
    <t>Bad Days</t>
  </si>
  <si>
    <t>Terrible Days</t>
  </si>
  <si>
    <t>Percentage Year Completed</t>
  </si>
  <si>
    <t>Happiness Index 2025</t>
  </si>
  <si>
    <t>Kottayam</t>
  </si>
  <si>
    <t>Monthly Average</t>
  </si>
  <si>
    <t>Yearly Average</t>
  </si>
  <si>
    <t>A</t>
  </si>
  <si>
    <t>City</t>
  </si>
  <si>
    <t>Vishnu</t>
  </si>
  <si>
    <t>50 First Dates</t>
  </si>
  <si>
    <t>Season</t>
  </si>
  <si>
    <t>Squid Games</t>
  </si>
  <si>
    <t>1,2</t>
  </si>
  <si>
    <t>Modern Family</t>
  </si>
  <si>
    <t>Finished On</t>
  </si>
  <si>
    <t>Jolly LLB</t>
  </si>
  <si>
    <t>Pranav</t>
  </si>
  <si>
    <t>OK Jaanu</t>
  </si>
  <si>
    <t>Singham Again</t>
  </si>
  <si>
    <t>Lights Out</t>
  </si>
  <si>
    <t>Success Rate</t>
  </si>
  <si>
    <t>Meerut</t>
  </si>
  <si>
    <t>Meerut,Delhi</t>
  </si>
  <si>
    <t>CAME BACK TO COLLEGE</t>
  </si>
  <si>
    <t>REJECTED FROM LITMUS</t>
  </si>
  <si>
    <t>MOVIE NIGHTS @ COLLEGE</t>
  </si>
  <si>
    <t xml:space="preserve">INTERSTELLAR </t>
  </si>
  <si>
    <t>Notting Hill</t>
  </si>
  <si>
    <t>Interstellar</t>
  </si>
  <si>
    <t>Whatever it takes</t>
  </si>
  <si>
    <t>Still Alice</t>
  </si>
  <si>
    <t>1,2,3,4,5,6,7,8,9,10,11</t>
  </si>
  <si>
    <t>Movie</t>
  </si>
  <si>
    <t>Headphone</t>
  </si>
  <si>
    <t>Day</t>
  </si>
  <si>
    <t>Udta Punjab</t>
  </si>
  <si>
    <t>Chhaava</t>
  </si>
  <si>
    <t>Kunal Bhaiya</t>
  </si>
  <si>
    <t>Billu</t>
  </si>
  <si>
    <t>Akash Nair</t>
  </si>
  <si>
    <t xml:space="preserve">Kung Fu Panda 4 </t>
  </si>
  <si>
    <t>IX-1142</t>
  </si>
  <si>
    <t>Spirited Away</t>
  </si>
  <si>
    <t>Inglourious Basterds</t>
  </si>
  <si>
    <t>S</t>
  </si>
  <si>
    <t>B</t>
  </si>
  <si>
    <t>C</t>
  </si>
  <si>
    <t>D</t>
  </si>
  <si>
    <t>E</t>
  </si>
  <si>
    <t>F</t>
  </si>
  <si>
    <t>Game of Thrones</t>
  </si>
  <si>
    <t>Friends</t>
  </si>
  <si>
    <t>How I Met Your Mother</t>
  </si>
  <si>
    <t>The Office</t>
  </si>
  <si>
    <t>Young Sheldon</t>
  </si>
  <si>
    <t>The Walking Dead</t>
  </si>
  <si>
    <t>The Vampire Diaries</t>
  </si>
  <si>
    <t>Wanda Vision</t>
  </si>
  <si>
    <t>Loki</t>
  </si>
  <si>
    <t>Captain America and Winter Soldier</t>
  </si>
  <si>
    <t>The Crown</t>
  </si>
  <si>
    <t>Never Have I Ever</t>
  </si>
  <si>
    <t>Sex Education</t>
  </si>
  <si>
    <t>Fear the Walking Dead</t>
  </si>
  <si>
    <t>Walking Dead : Dead City</t>
  </si>
  <si>
    <t>Walking Dead : Daryl Dixon</t>
  </si>
  <si>
    <t>Walking Dead : World Beyond</t>
  </si>
  <si>
    <t>Sex Life</t>
  </si>
  <si>
    <t>House of the Dragons</t>
  </si>
  <si>
    <t>Breaking Bad</t>
  </si>
  <si>
    <t>Better Call Saul</t>
  </si>
  <si>
    <t>Money Heist</t>
  </si>
  <si>
    <t>Panchayat</t>
  </si>
  <si>
    <t>Suzhal</t>
  </si>
  <si>
    <t>Dhoota</t>
  </si>
  <si>
    <t>The Big Bang Theory</t>
  </si>
  <si>
    <t>Mirzapur</t>
  </si>
  <si>
    <t>Moon Knight</t>
  </si>
  <si>
    <t>Stranger Things</t>
  </si>
  <si>
    <t>Ted</t>
  </si>
  <si>
    <t>Fruits Basket</t>
  </si>
  <si>
    <t>Sarabhai vs Sarabhai</t>
  </si>
  <si>
    <t>Kota Factory</t>
  </si>
  <si>
    <t>Aspirants</t>
  </si>
  <si>
    <t>Peaky Blinders</t>
  </si>
  <si>
    <t>Cosmos</t>
  </si>
  <si>
    <t>CSK won, call with Kash and mummy</t>
  </si>
  <si>
    <t>call with Kash, Gauri</t>
  </si>
  <si>
    <t>Kottayam,Kochi,Delhi,Meerut</t>
  </si>
  <si>
    <t>Anora</t>
  </si>
  <si>
    <t>Hons</t>
  </si>
  <si>
    <t>14+ First Love</t>
  </si>
  <si>
    <t>Sem</t>
  </si>
  <si>
    <t>SUBJECT</t>
  </si>
  <si>
    <t>Credits</t>
  </si>
  <si>
    <t>Grade</t>
  </si>
  <si>
    <t>Total Credits</t>
  </si>
  <si>
    <t>Best Possible</t>
  </si>
  <si>
    <t>Loss</t>
  </si>
  <si>
    <t>Meerut,Delhi,Noida</t>
  </si>
  <si>
    <t>Homecoming</t>
  </si>
  <si>
    <t>Mummy Transfer Party</t>
  </si>
  <si>
    <t>Highway</t>
  </si>
  <si>
    <t>Sky Force</t>
  </si>
  <si>
    <t>A Man Called Otto</t>
  </si>
  <si>
    <t>Meerut,Noida</t>
  </si>
  <si>
    <t>Game Of Thrones</t>
  </si>
  <si>
    <t>1,2,3,4,5,6,7,8</t>
  </si>
  <si>
    <t>XY</t>
  </si>
  <si>
    <t>Case of Kondana</t>
  </si>
  <si>
    <t>Tumbbad</t>
  </si>
  <si>
    <t>Fight with mummy</t>
  </si>
  <si>
    <t>Rush Hour</t>
  </si>
  <si>
    <t>Tamasha</t>
  </si>
  <si>
    <t>Meerut,Aligarh</t>
  </si>
  <si>
    <t>Aligarh,Mathura,Meerut</t>
  </si>
  <si>
    <t>Meerut,Haridwar</t>
  </si>
  <si>
    <t>Haridwar,Meerut</t>
  </si>
  <si>
    <t>Bhool Chook Maaf</t>
  </si>
  <si>
    <t>Suits</t>
  </si>
  <si>
    <t>1,2,3,4,5,6,7,8,9</t>
  </si>
  <si>
    <t>Kesari 2</t>
  </si>
  <si>
    <t>1,2,3</t>
  </si>
  <si>
    <t>Raid 2</t>
  </si>
  <si>
    <t>Meerut, Gajraula</t>
  </si>
  <si>
    <t>Gajraula,Moradabad,Meerut</t>
  </si>
  <si>
    <t>Karawan</t>
  </si>
  <si>
    <t>The Diplomat</t>
  </si>
  <si>
    <t>Captain America : Brave new World</t>
  </si>
  <si>
    <t>6E-2315</t>
  </si>
  <si>
    <t>Sitaare Zameen Par</t>
  </si>
  <si>
    <t>Kubera</t>
  </si>
  <si>
    <t>Cast Away</t>
  </si>
  <si>
    <t>Label</t>
  </si>
  <si>
    <t>Emotional Center</t>
  </si>
  <si>
    <t>Soul Safe</t>
  </si>
  <si>
    <t>Life Anchors</t>
  </si>
  <si>
    <t>Warm Constants</t>
  </si>
  <si>
    <t>Nostalgic Bonds</t>
  </si>
  <si>
    <t>Situational Circle</t>
  </si>
  <si>
    <t>Friendly Acquaintances</t>
  </si>
  <si>
    <t>Emotionally Draining</t>
  </si>
  <si>
    <t>Changes how you relate to others; unique, irreplaceable.</t>
  </si>
  <si>
    <t>Emotional honesty, no judgment, long trust.</t>
  </si>
  <si>
    <t>Reliable, available, you go to them often.</t>
  </si>
  <si>
    <t>Warmth + familiarity + fun, but limited depth.</t>
  </si>
  <si>
    <t>Shared past, some comfort, but emotional mismatch today.</t>
  </si>
  <si>
    <t>Friendly, dependable in that space only.</t>
  </si>
  <si>
    <t>Low interaction or investment.</t>
  </si>
  <si>
    <t>Guilt, fear of judgment, tiredness after talking.</t>
  </si>
  <si>
    <t>0,1,4</t>
  </si>
  <si>
    <t>0,1,2</t>
  </si>
  <si>
    <t>0,1,3</t>
  </si>
  <si>
    <t>2,3</t>
  </si>
  <si>
    <t>3,4</t>
  </si>
  <si>
    <t>3,5</t>
  </si>
  <si>
    <t>5,6</t>
  </si>
  <si>
    <t>3,4,6</t>
  </si>
  <si>
    <t>4,6</t>
  </si>
  <si>
    <t>4,6,7</t>
  </si>
  <si>
    <t>0,2,3</t>
  </si>
  <si>
    <t>1,3,4</t>
  </si>
  <si>
    <t>Point</t>
  </si>
  <si>
    <t>Final Score</t>
  </si>
  <si>
    <t>Rating x Category Point</t>
  </si>
  <si>
    <t>Saiyaara</t>
  </si>
  <si>
    <t>Housefull 5</t>
  </si>
  <si>
    <t>Aap Jaisa Koi</t>
  </si>
  <si>
    <t>Meerut,Delhi,Kochi,Kottayam</t>
  </si>
  <si>
    <t>Delhi,Kochi,Kottayam</t>
  </si>
  <si>
    <t>Shaadi M Zaroor Aana</t>
  </si>
  <si>
    <t>CP meet</t>
  </si>
  <si>
    <t>KMs</t>
  </si>
  <si>
    <t>Seat</t>
  </si>
  <si>
    <t>Flight</t>
  </si>
  <si>
    <t>Life in a Metro</t>
  </si>
  <si>
    <t>Y2025</t>
  </si>
  <si>
    <t>Y2024</t>
  </si>
  <si>
    <t>War 2</t>
  </si>
  <si>
    <t>Devdas</t>
  </si>
  <si>
    <t>Sick</t>
  </si>
  <si>
    <t>The Conjuring : Last Rites</t>
  </si>
  <si>
    <t>Air India</t>
  </si>
  <si>
    <t>AI-822</t>
  </si>
  <si>
    <t>Hepatitits Outbreak</t>
  </si>
  <si>
    <t>Noida,Meerut</t>
  </si>
  <si>
    <t>Job</t>
  </si>
  <si>
    <t>Passenger</t>
  </si>
  <si>
    <t>Bahubali : The Conclusion</t>
  </si>
  <si>
    <t>Bahubali : Part 1</t>
  </si>
  <si>
    <t>Jolly LLB 3</t>
  </si>
  <si>
    <t>Kuldeep Bhaiya Birthday</t>
  </si>
  <si>
    <t>Chennai</t>
  </si>
  <si>
    <t>30A</t>
  </si>
  <si>
    <t>6E-434</t>
  </si>
  <si>
    <t>6E-597</t>
  </si>
  <si>
    <t>Airports Visited Till Date</t>
  </si>
  <si>
    <t>DEL</t>
  </si>
  <si>
    <t>COK</t>
  </si>
  <si>
    <t>MAA</t>
  </si>
  <si>
    <t>TRV</t>
  </si>
  <si>
    <t>Carrier</t>
  </si>
  <si>
    <t>Number Of Flights</t>
  </si>
  <si>
    <t>Kantara</t>
  </si>
  <si>
    <t>old</t>
  </si>
  <si>
    <t>new</t>
  </si>
  <si>
    <t>Hepatitis Break Extended</t>
  </si>
  <si>
    <t>ZNMD</t>
  </si>
  <si>
    <t>Qarib Qarib Single</t>
  </si>
  <si>
    <t>Meerut,Delhi,Chennai,Kochi,Kottayam</t>
  </si>
  <si>
    <t>Dhadak 2</t>
  </si>
  <si>
    <t>Kantara A Legend Chapter 1</t>
  </si>
  <si>
    <t>Top 5 New</t>
  </si>
  <si>
    <t>Top 5 Old</t>
  </si>
  <si>
    <t>Worst 5 Old</t>
  </si>
  <si>
    <t>Worst 5 New</t>
  </si>
  <si>
    <t>Honourable Mentions</t>
  </si>
  <si>
    <t>Movie of the Year</t>
  </si>
  <si>
    <t>Movies I Watched on the big screen</t>
  </si>
  <si>
    <t>Exam</t>
  </si>
  <si>
    <t>The Rookie</t>
  </si>
  <si>
    <t>BTP</t>
  </si>
  <si>
    <t>Space Force</t>
  </si>
  <si>
    <t>Bavishya Annoyed me</t>
  </si>
  <si>
    <t>Hons,  impromptu pala trip</t>
  </si>
  <si>
    <t>Sree Vardhan</t>
  </si>
  <si>
    <t>Gaurav</t>
  </si>
  <si>
    <t>Aslam</t>
  </si>
  <si>
    <t>1,2,3,4</t>
  </si>
  <si>
    <t>Close to heart</t>
  </si>
  <si>
    <t>AI-1816</t>
  </si>
  <si>
    <t>Big Data Lab Exam</t>
  </si>
  <si>
    <t>DE Shaw</t>
  </si>
  <si>
    <t>BTP Report</t>
  </si>
  <si>
    <t>Aslam Sambram Treat, Cricket, Exam Prpe</t>
  </si>
  <si>
    <t>Bajrangi Bhaijan</t>
  </si>
  <si>
    <t>Kottayam,Trivandrum</t>
  </si>
  <si>
    <t>Trivandrum,Varkala</t>
  </si>
  <si>
    <t>Varkala,Trivandrum</t>
  </si>
  <si>
    <t>Trivandrum,Kottayam</t>
  </si>
  <si>
    <t>Last day of sem7</t>
  </si>
  <si>
    <t>Meerut,Kanpur</t>
  </si>
  <si>
    <t>Kanpur</t>
  </si>
  <si>
    <t>Kanpur,Meerut</t>
  </si>
  <si>
    <t>Sunny Sanskari ki Tulsi Kumari</t>
  </si>
  <si>
    <t>Rab Ne Bana Di Jodi</t>
  </si>
  <si>
    <t>Jab Tak Hai Jaan</t>
  </si>
  <si>
    <t>Dhurandhar</t>
  </si>
  <si>
    <t>Grave of Fireflies</t>
  </si>
  <si>
    <t>AI-1724</t>
  </si>
  <si>
    <t>Unbroken</t>
  </si>
  <si>
    <t>Homebound</t>
  </si>
  <si>
    <t>Baaramulla</t>
  </si>
  <si>
    <t>Airport</t>
  </si>
  <si>
    <t>Latitude</t>
  </si>
  <si>
    <t>Longitude</t>
  </si>
  <si>
    <t>Remark</t>
  </si>
  <si>
    <t>Chennai Express</t>
  </si>
  <si>
    <t>Thursday</t>
  </si>
  <si>
    <t>Friday</t>
  </si>
  <si>
    <t>Saturday</t>
  </si>
  <si>
    <t>Sunday</t>
  </si>
  <si>
    <t>Monday</t>
  </si>
  <si>
    <t>Tuesday</t>
  </si>
  <si>
    <t>Wednesday</t>
  </si>
  <si>
    <t>Meerut,Shamli</t>
  </si>
  <si>
    <t>Lata Didi, Close Call with Tractor, Fraud CBI call from Pakistan, Drove Khatiyan's bullet to Ahlawat's house</t>
  </si>
  <si>
    <t>Haq</t>
  </si>
  <si>
    <t>TaRaRumPum</t>
  </si>
  <si>
    <t>New York</t>
  </si>
  <si>
    <t>Ananya</t>
  </si>
  <si>
    <t>Back to college</t>
  </si>
  <si>
    <t>Rough day</t>
  </si>
  <si>
    <t>Trip</t>
  </si>
  <si>
    <t>Aditya Left</t>
  </si>
  <si>
    <t>Frankenstein</t>
  </si>
  <si>
    <t>Pala, Shopping</t>
  </si>
  <si>
    <t>Time Series</t>
  </si>
  <si>
    <t>MLOps</t>
  </si>
  <si>
    <t>LLM</t>
  </si>
  <si>
    <t>A Knight of the Seven Kingdoms</t>
  </si>
  <si>
    <t>Cat</t>
  </si>
  <si>
    <t>The Fantastic Four : First Steps</t>
  </si>
  <si>
    <t>Final Destination 6 Bloodlines</t>
  </si>
  <si>
    <t>Dumb Charades in Parking Area</t>
  </si>
  <si>
    <t>Did Honours stuff and BTP stuff</t>
  </si>
  <si>
    <t>Went to Pala</t>
  </si>
  <si>
    <t>Average Day</t>
  </si>
  <si>
    <t>Euphoria</t>
  </si>
  <si>
    <t>Banglore</t>
  </si>
  <si>
    <t>Month Avg</t>
  </si>
  <si>
    <t>Wedding</t>
  </si>
  <si>
    <t>Honours Review</t>
  </si>
  <si>
    <t>Kottayam,Kochi,Delhi,Moradabad</t>
  </si>
  <si>
    <t>Moradabad</t>
  </si>
  <si>
    <t>Moradabad,Meerut</t>
  </si>
  <si>
    <t>22F</t>
  </si>
  <si>
    <t>AI-2473</t>
  </si>
  <si>
    <t>Departure</t>
  </si>
  <si>
    <t>Arrival</t>
  </si>
  <si>
    <t>Number of times</t>
  </si>
  <si>
    <t>HPE</t>
  </si>
  <si>
    <t>5A</t>
  </si>
  <si>
    <t>IX-1890</t>
  </si>
  <si>
    <t>Kottayam,Kochi,Banglore</t>
  </si>
  <si>
    <t>Sick %</t>
  </si>
  <si>
    <t>year</t>
  </si>
  <si>
    <t>score</t>
  </si>
  <si>
    <t>Career growth, financial confidence rising</t>
  </si>
  <si>
    <t>Stability in Bangalore, stronger identity</t>
  </si>
  <si>
    <t>First major career stress / comparison phase</t>
  </si>
  <si>
    <t>Big professional breakthrough / clarity</t>
  </si>
  <si>
    <t>Peak confidence, strong network</t>
  </si>
  <si>
    <t>Personal relationship turbulence / family pressure</t>
  </si>
  <si>
    <t>Emotional maturity upgrade, possibly serious partnership</t>
  </si>
  <si>
    <t>Financial milestone (house/investment success)</t>
  </si>
  <si>
    <t>Existential questioning phase (“Is this all?”)</t>
  </si>
  <si>
    <t>Deep peace phase — not excitement, but grounded happiness</t>
  </si>
  <si>
    <t>Leadership phase, career authority</t>
  </si>
  <si>
    <t>Burnout scare or life re-evaluation</t>
  </si>
  <si>
    <t>Reinvention. Strongest version of you yet.</t>
  </si>
  <si>
    <t>Family stability + financial security peak</t>
  </si>
  <si>
    <t>Responsibility-heavy year (kids/parents/work balance)</t>
  </si>
  <si>
    <t>Emotional fulfillment phase</t>
  </si>
  <si>
    <t>Transition planning (next chapter thinking)</t>
  </si>
  <si>
    <t>Legacy mindset. Calm dominance.</t>
  </si>
  <si>
    <t>Mentorship phase</t>
  </si>
  <si>
    <t>Deep satisfaction — not flashy, just solid</t>
  </si>
  <si>
    <t>Bittersweet day</t>
  </si>
  <si>
    <t>Don't Breathe</t>
  </si>
  <si>
    <t>Bring Her Back</t>
  </si>
  <si>
    <t>American Psycho</t>
  </si>
  <si>
    <t>The Ritual</t>
  </si>
  <si>
    <t>Visited Shruti's college</t>
  </si>
  <si>
    <t>WFH</t>
  </si>
  <si>
    <t>Chanda Jha</t>
  </si>
  <si>
    <t>Durga</t>
  </si>
  <si>
    <t>Travel Date</t>
  </si>
  <si>
    <t>Mode</t>
  </si>
  <si>
    <t>Bus</t>
  </si>
  <si>
    <t>Marathahalli</t>
  </si>
  <si>
    <t>Pala</t>
  </si>
  <si>
    <t>Booked Via</t>
  </si>
  <si>
    <t>Abhibus</t>
  </si>
  <si>
    <t xml:space="preserve">Reason </t>
  </si>
  <si>
    <t>Fest</t>
  </si>
  <si>
    <t>Banglore,Kottayam</t>
  </si>
  <si>
    <t>Kottayam,Banglore</t>
  </si>
  <si>
    <t>Maryiln Monroe</t>
  </si>
  <si>
    <t>Peaky Blinders : The Immortal Man</t>
  </si>
  <si>
    <t>Lalbagh</t>
  </si>
  <si>
    <t>Back to Office</t>
  </si>
  <si>
    <t>Project Hail Mary</t>
  </si>
  <si>
    <t>Dry Martini</t>
  </si>
  <si>
    <t>Dhurandhar 2</t>
  </si>
  <si>
    <t>Fall for me</t>
  </si>
  <si>
    <t>Farewell</t>
  </si>
  <si>
    <t>Group Photo</t>
  </si>
  <si>
    <t>End Sem</t>
  </si>
  <si>
    <t>Kottayam,Munnar</t>
  </si>
  <si>
    <t>Munnar</t>
  </si>
  <si>
    <t>Munnar,Kottayam</t>
  </si>
  <si>
    <t>Last Day In College</t>
  </si>
  <si>
    <t>First day of not being a student</t>
  </si>
  <si>
    <t xml:space="preserve">Last Night Of Btech, Cried, Amritha </t>
  </si>
  <si>
    <t>Lady Chatterley's Lover</t>
  </si>
  <si>
    <t>Meri Pyaari Bindu</t>
  </si>
  <si>
    <t>Sita Ramam</t>
  </si>
  <si>
    <t>Hridayam</t>
  </si>
  <si>
    <t>Meghana Biryani</t>
  </si>
  <si>
    <t>Total Score</t>
  </si>
  <si>
    <t>Career Prep</t>
  </si>
  <si>
    <t>Technical Growth</t>
  </si>
  <si>
    <t>Fitness and Physical Growth</t>
  </si>
  <si>
    <t>Discipine and Control</t>
  </si>
  <si>
    <t>Reflection and planning</t>
  </si>
  <si>
    <t>Count</t>
  </si>
  <si>
    <t>Weak</t>
  </si>
  <si>
    <t>Acceptable</t>
  </si>
  <si>
    <t>Strong</t>
  </si>
  <si>
    <t>Excellent</t>
  </si>
  <si>
    <t>Elite</t>
  </si>
  <si>
    <t>Sem 8</t>
  </si>
  <si>
    <t>Mummy Bday</t>
  </si>
  <si>
    <t>Akasa Air</t>
  </si>
  <si>
    <t>QP-1811</t>
  </si>
  <si>
    <t>QP-1812</t>
  </si>
  <si>
    <t>28F</t>
  </si>
  <si>
    <t>Banglore,Delhi,Meerut</t>
  </si>
  <si>
    <t>Meerut,Delhi,Banglore</t>
  </si>
  <si>
    <t>Cubbon Park Visit</t>
  </si>
  <si>
    <t>Hard Feelings</t>
  </si>
  <si>
    <t>Bhoot Bangla</t>
  </si>
  <si>
    <t>Invisible Man</t>
  </si>
  <si>
    <t>Lokah Chapter 1 : Chandra</t>
  </si>
  <si>
    <t>Love Aajkal</t>
  </si>
  <si>
    <t>The Nun</t>
  </si>
  <si>
    <t>The Nun II</t>
  </si>
  <si>
    <t>Shruti's Fest</t>
  </si>
  <si>
    <t>34A</t>
  </si>
  <si>
    <t>Seven Years In Tibet</t>
  </si>
  <si>
    <t>Obsession</t>
  </si>
  <si>
    <t>Meerut,Rishikesh</t>
  </si>
  <si>
    <t>Rishikesh,Meerut</t>
  </si>
  <si>
    <t>New Shoes</t>
  </si>
  <si>
    <t>Met Gauri</t>
  </si>
  <si>
    <t>Mummy Birthday</t>
  </si>
  <si>
    <t>Scam by taxi, work pressure, IPO 6k+ profit</t>
  </si>
  <si>
    <t>Weapons</t>
  </si>
  <si>
    <t>Enola Holmes</t>
  </si>
  <si>
    <t>Enola Holmes II</t>
  </si>
  <si>
    <t>Enola Homes III</t>
  </si>
  <si>
    <t>Don Jon</t>
  </si>
  <si>
    <t>Intern Day, 7k Profit made on PPO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</si>
  <si>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</si>
  <si>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</si>
  <si>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</si>
  <si>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</si>
  <si>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</si>
  <si>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</si>
  <si>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</si>
  <si>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</si>
  <si>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</si>
  <si>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</si>
  <si>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</si>
  <si>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</si>
  <si>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</si>
  <si>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</si>
  <si>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</si>
  <si>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</si>
  <si>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</si>
  <si>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</si>
  <si>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</si>
  <si>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</si>
  <si>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</si>
  <si>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</si>
  <si>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</si>
  <si>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Odyssey</t>
  </si>
  <si>
    <t xml:space="preserve">Break between intern and full time </t>
  </si>
  <si>
    <t>6E-869</t>
  </si>
  <si>
    <t>33F</t>
  </si>
  <si>
    <t>Back to Full Time</t>
  </si>
  <si>
    <t>32A</t>
  </si>
  <si>
    <t>Varkala</t>
  </si>
  <si>
    <t>Banglore,Varkala</t>
  </si>
  <si>
    <t>Varkala,Banglore</t>
  </si>
  <si>
    <t>Helper</t>
  </si>
  <si>
    <t>Unique Cities</t>
  </si>
  <si>
    <t>Noida</t>
  </si>
  <si>
    <t>Rishikesh</t>
  </si>
  <si>
    <t>Shamli</t>
  </si>
  <si>
    <t>Mall with Chanda and Aarushi</t>
  </si>
  <si>
    <t>Last Day of Intern</t>
  </si>
  <si>
    <t>Birthday</t>
  </si>
  <si>
    <t>Aligarh,Noida</t>
  </si>
  <si>
    <t>Toxic</t>
  </si>
  <si>
    <t>Baramulla</t>
  </si>
  <si>
    <t>Rewatch</t>
  </si>
  <si>
    <t>Tehran</t>
  </si>
  <si>
    <t>Rise of the planet of the apes</t>
  </si>
  <si>
    <t>Dawn of the planet of the apes</t>
  </si>
  <si>
    <t>Back to Banglore</t>
  </si>
  <si>
    <t>First day as FTE in HPE</t>
  </si>
  <si>
    <t>Orientation Ends, Had 5.5 hour call with sweet corn soup</t>
  </si>
  <si>
    <t>Family Day, Room Setup, Mall with Aditi Chanda and Jhanvi</t>
  </si>
  <si>
    <t>Met Shruti</t>
  </si>
  <si>
    <t>VC with Gauri</t>
  </si>
  <si>
    <t>Went out with Chanda. Met Aslam Gaurav at the tea joint. Had dinner with Chanda, came back to PG. These two hours made the day nice.</t>
  </si>
  <si>
    <t>Went on a walk with Chanda, Aditi, Jhanvi, Aarushi and Avni. Again these two hours made the day nice!</t>
  </si>
  <si>
    <t>Average Score</t>
  </si>
  <si>
    <t xml:space="preserve"> ARYA</t>
  </si>
  <si>
    <t>Tharun's Farewell part, got haircut, met with sameer, at night went on a walk with Chanda Aditi and Vardhan</t>
  </si>
  <si>
    <t>Met Sameer for his shopping</t>
  </si>
  <si>
    <t>Met Sameer for tea</t>
  </si>
  <si>
    <t>Banglore,Kochi</t>
  </si>
  <si>
    <t>CSFE Fun day, Dinner with Chanda, Bus to Kerala</t>
  </si>
  <si>
    <t>Kochi,Kottayam</t>
  </si>
  <si>
    <t>Headache due to bus, booked hotel near COK then took mummy from airport and then went to Pala</t>
  </si>
  <si>
    <t>Day of the convocation, could have been 10 but I got emotional and sad</t>
  </si>
  <si>
    <t>Bangalore</t>
  </si>
  <si>
    <t>Mummy left, went to Kottayam Railway station, also last treat at PJs</t>
  </si>
  <si>
    <t>Sameer, Chanda Walk</t>
  </si>
  <si>
    <t>Mall with Sameer, Walk with Chanda</t>
  </si>
  <si>
    <t>Walk with Chanda</t>
  </si>
  <si>
    <t xml:space="preserve">movie with chanda avni aarushi </t>
  </si>
  <si>
    <t>Doraemon</t>
  </si>
  <si>
    <t>Chanda Break Up News, she kind of had a breakdown at night</t>
  </si>
  <si>
    <t>Lunch at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</si>
</sst>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148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0E9EE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6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/>
    <xf numFmtId="0" fontId="3" fillId="2" borderId="10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11" borderId="16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10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15" borderId="1" xfId="0" applyFont="1" applyFill="1" applyBorder="1"/>
    <xf numFmtId="0" fontId="2" fillId="1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0" fillId="0" borderId="0" xfId="0" applyNumberFormat="1"/>
    <xf numFmtId="0" fontId="5" fillId="8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4" borderId="1" xfId="0" applyFill="1" applyBorder="1"/>
    <xf numFmtId="14" fontId="0" fillId="0" borderId="1" xfId="0" applyNumberFormat="1" applyBorder="1"/>
    <xf numFmtId="0" fontId="2" fillId="0" borderId="27" xfId="0" applyFont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2" fontId="0" fillId="0" borderId="1" xfId="0" applyNumberFormat="1" applyBorder="1"/>
    <xf numFmtId="0" fontId="5" fillId="8" borderId="2" xfId="0" applyFont="1" applyFill="1" applyBorder="1" applyAlignment="1">
      <alignment horizontal="center" vertical="center" wrapText="1"/>
    </xf>
    <xf numFmtId="0" fontId="0" fillId="2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0" fillId="7" borderId="1" xfId="0" applyFill="1" applyBorder="1"/>
    <xf numFmtId="0" fontId="0" fillId="21" borderId="1" xfId="0" applyFill="1" applyBorder="1"/>
    <xf numFmtId="0" fontId="0" fillId="22" borderId="37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7" xfId="0" applyFont="1" applyBorder="1"/>
    <xf numFmtId="0" fontId="5" fillId="0" borderId="29" xfId="0" applyFont="1" applyBorder="1"/>
    <xf numFmtId="0" fontId="5" fillId="0" borderId="8" xfId="0" applyFont="1" applyBorder="1" applyAlignment="1">
      <alignment horizontal="center"/>
    </xf>
    <xf numFmtId="0" fontId="0" fillId="0" borderId="51" xfId="0" applyBorder="1"/>
    <xf numFmtId="165" fontId="0" fillId="0" borderId="0" xfId="0" applyNumberFormat="1"/>
    <xf numFmtId="164" fontId="0" fillId="0" borderId="1" xfId="0" applyNumberFormat="1" applyBorder="1"/>
    <xf numFmtId="0" fontId="5" fillId="0" borderId="17" xfId="0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27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 vertical="center"/>
    </xf>
    <xf numFmtId="2" fontId="0" fillId="0" borderId="0" xfId="0" applyNumberFormat="1"/>
    <xf numFmtId="0" fontId="2" fillId="21" borderId="1" xfId="0" applyFont="1" applyFill="1" applyBorder="1"/>
    <xf numFmtId="0" fontId="0" fillId="24" borderId="7" xfId="0" applyFill="1" applyBorder="1" applyAlignment="1">
      <alignment horizontal="center" vertical="center" wrapText="1"/>
    </xf>
    <xf numFmtId="0" fontId="0" fillId="24" borderId="29" xfId="0" applyFill="1" applyBorder="1" applyAlignment="1">
      <alignment horizontal="center" vertical="center" wrapText="1"/>
    </xf>
    <xf numFmtId="0" fontId="0" fillId="24" borderId="30" xfId="0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4" borderId="20" xfId="0" applyFill="1" applyBorder="1" applyAlignment="1">
      <alignment horizontal="center" vertical="center" wrapText="1"/>
    </xf>
    <xf numFmtId="0" fontId="0" fillId="24" borderId="40" xfId="0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4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 vertical="center" wrapText="1"/>
    </xf>
    <xf numFmtId="0" fontId="0" fillId="25" borderId="29" xfId="0" applyFill="1" applyBorder="1" applyAlignment="1">
      <alignment horizontal="center" vertical="center" wrapText="1"/>
    </xf>
    <xf numFmtId="0" fontId="0" fillId="25" borderId="30" xfId="0" applyFill="1" applyBorder="1" applyAlignment="1">
      <alignment horizontal="center" vertical="center" wrapText="1"/>
    </xf>
    <xf numFmtId="0" fontId="0" fillId="25" borderId="8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20" xfId="0" applyFill="1" applyBorder="1" applyAlignment="1">
      <alignment horizontal="center" vertical="center" wrapText="1"/>
    </xf>
    <xf numFmtId="0" fontId="0" fillId="25" borderId="40" xfId="0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1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11" borderId="30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 wrapText="1"/>
    </xf>
    <xf numFmtId="0" fontId="0" fillId="13" borderId="44" xfId="0" applyFill="1" applyBorder="1" applyAlignment="1">
      <alignment horizontal="center" vertical="center" wrapText="1"/>
    </xf>
    <xf numFmtId="0" fontId="0" fillId="13" borderId="45" xfId="0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40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26" borderId="42" xfId="0" applyFill="1" applyBorder="1" applyAlignment="1">
      <alignment horizontal="center" vertical="center" wrapText="1"/>
    </xf>
    <xf numFmtId="0" fontId="0" fillId="26" borderId="43" xfId="0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10" borderId="57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center"/>
    </xf>
    <xf numFmtId="0" fontId="0" fillId="19" borderId="8" xfId="0" applyFill="1" applyBorder="1" applyAlignment="1">
      <alignment horizontal="center" vertical="center"/>
    </xf>
    <xf numFmtId="0" fontId="0" fillId="0" borderId="35" xfId="0" applyBorder="1"/>
    <xf numFmtId="0" fontId="0" fillId="0" borderId="52" xfId="0" applyBorder="1"/>
    <xf numFmtId="0" fontId="0" fillId="19" borderId="57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4" fontId="0" fillId="11" borderId="1" xfId="0" applyNumberFormat="1" applyFill="1" applyBorder="1" applyAlignment="1">
      <alignment horizontal="left" vertical="center"/>
    </xf>
    <xf numFmtId="14" fontId="0" fillId="13" borderId="1" xfId="0" applyNumberFormat="1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14" fontId="0" fillId="26" borderId="1" xfId="0" applyNumberFormat="1" applyFill="1" applyBorder="1" applyAlignment="1">
      <alignment horizontal="left" vertical="center"/>
    </xf>
    <xf numFmtId="0" fontId="0" fillId="0" borderId="3" xfId="0" applyBorder="1"/>
    <xf numFmtId="14" fontId="0" fillId="0" borderId="0" xfId="0" applyNumberFormat="1"/>
    <xf numFmtId="14" fontId="0" fillId="9" borderId="1" xfId="0" applyNumberFormat="1" applyFill="1" applyBorder="1" applyAlignment="1">
      <alignment horizontal="left" vertical="center"/>
    </xf>
    <xf numFmtId="0" fontId="7" fillId="0" borderId="0" xfId="0" applyFont="1"/>
    <xf numFmtId="0" fontId="5" fillId="0" borderId="0" xfId="0" applyFont="1"/>
    <xf numFmtId="2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25" borderId="1" xfId="0" applyFill="1" applyBorder="1" applyAlignment="1">
      <alignment horizontal="left" vertical="center"/>
    </xf>
    <xf numFmtId="11" fontId="0" fillId="25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8" fillId="0" borderId="1" xfId="0" applyFont="1" applyBorder="1"/>
    <xf numFmtId="165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9" fillId="28" borderId="37" xfId="0" applyFont="1" applyFill="1" applyBorder="1"/>
    <xf numFmtId="0" fontId="9" fillId="28" borderId="60" xfId="0" applyFont="1" applyFill="1" applyBorder="1"/>
    <xf numFmtId="0" fontId="0" fillId="28" borderId="37" xfId="0" applyFill="1" applyBorder="1" applyAlignment="1">
      <alignment horizontal="center" vertical="center"/>
    </xf>
    <xf numFmtId="0" fontId="0" fillId="28" borderId="60" xfId="0" applyFill="1" applyBorder="1" applyAlignment="1">
      <alignment horizontal="center" vertical="center"/>
    </xf>
    <xf numFmtId="0" fontId="0" fillId="28" borderId="6" xfId="0" applyFill="1" applyBorder="1"/>
    <xf numFmtId="0" fontId="0" fillId="18" borderId="31" xfId="0" applyFill="1" applyBorder="1"/>
    <xf numFmtId="0" fontId="0" fillId="18" borderId="33" xfId="0" applyFill="1" applyBorder="1"/>
    <xf numFmtId="0" fontId="0" fillId="29" borderId="34" xfId="0" applyFill="1" applyBorder="1"/>
    <xf numFmtId="0" fontId="0" fillId="29" borderId="50" xfId="0" applyFill="1" applyBorder="1"/>
    <xf numFmtId="0" fontId="0" fillId="29" borderId="36" xfId="0" applyFill="1" applyBorder="1"/>
    <xf numFmtId="0" fontId="0" fillId="29" borderId="61" xfId="0" applyFill="1" applyBorder="1"/>
    <xf numFmtId="0" fontId="0" fillId="29" borderId="35" xfId="0" applyFill="1" applyBorder="1"/>
    <xf numFmtId="0" fontId="0" fillId="29" borderId="52" xfId="0" applyFill="1" applyBorder="1"/>
    <xf numFmtId="2" fontId="0" fillId="29" borderId="34" xfId="0" applyNumberFormat="1" applyFill="1" applyBorder="1"/>
    <xf numFmtId="2" fontId="0" fillId="29" borderId="36" xfId="0" applyNumberFormat="1" applyFill="1" applyBorder="1"/>
    <xf numFmtId="2" fontId="0" fillId="29" borderId="35" xfId="0" applyNumberFormat="1" applyFill="1" applyBorder="1"/>
    <xf numFmtId="0" fontId="0" fillId="19" borderId="34" xfId="0" applyFill="1" applyBorder="1"/>
    <xf numFmtId="0" fontId="0" fillId="19" borderId="60" xfId="0" applyFill="1" applyBorder="1"/>
    <xf numFmtId="0" fontId="0" fillId="19" borderId="37" xfId="0" applyFill="1" applyBorder="1"/>
    <xf numFmtId="0" fontId="0" fillId="19" borderId="50" xfId="0" applyFill="1" applyBorder="1"/>
    <xf numFmtId="0" fontId="0" fillId="19" borderId="35" xfId="0" applyFill="1" applyBorder="1"/>
    <xf numFmtId="0" fontId="0" fillId="19" borderId="52" xfId="0" applyFill="1" applyBorder="1"/>
    <xf numFmtId="0" fontId="4" fillId="19" borderId="52" xfId="0" applyFont="1" applyFill="1" applyBorder="1" applyAlignment="1">
      <alignment horizontal="center" vertical="center"/>
    </xf>
    <xf numFmtId="0" fontId="4" fillId="19" borderId="35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6" xfId="0" applyFill="1" applyBorder="1"/>
    <xf numFmtId="0" fontId="0" fillId="22" borderId="0" xfId="0" applyFill="1"/>
    <xf numFmtId="0" fontId="0" fillId="8" borderId="49" xfId="0" applyFill="1" applyBorder="1"/>
    <xf numFmtId="0" fontId="0" fillId="8" borderId="0" xfId="0" applyFill="1"/>
    <xf numFmtId="2" fontId="2" fillId="8" borderId="0" xfId="0" applyNumberFormat="1" applyFont="1" applyFill="1" applyAlignment="1">
      <alignment horizontal="center" vertical="center"/>
    </xf>
    <xf numFmtId="2" fontId="2" fillId="8" borderId="51" xfId="0" applyNumberFormat="1" applyFont="1" applyFill="1" applyBorder="1" applyAlignment="1">
      <alignment horizontal="center" vertical="center"/>
    </xf>
    <xf numFmtId="0" fontId="0" fillId="8" borderId="51" xfId="0" applyFill="1" applyBorder="1"/>
    <xf numFmtId="0" fontId="0" fillId="8" borderId="36" xfId="0" applyFill="1" applyBorder="1"/>
    <xf numFmtId="0" fontId="0" fillId="8" borderId="0" xfId="0" applyFill="1" applyAlignment="1">
      <alignment horizontal="center" vertical="center"/>
    </xf>
    <xf numFmtId="0" fontId="0" fillId="8" borderId="61" xfId="0" applyFill="1" applyBorder="1"/>
    <xf numFmtId="2" fontId="0" fillId="8" borderId="0" xfId="0" applyNumberFormat="1" applyFill="1"/>
    <xf numFmtId="0" fontId="0" fillId="10" borderId="27" xfId="0" applyFill="1" applyBorder="1"/>
    <xf numFmtId="0" fontId="0" fillId="10" borderId="24" xfId="0" applyFill="1" applyBorder="1"/>
    <xf numFmtId="0" fontId="0" fillId="27" borderId="0" xfId="0" applyFill="1"/>
    <xf numFmtId="0" fontId="0" fillId="27" borderId="61" xfId="0" applyFill="1" applyBorder="1"/>
    <xf numFmtId="0" fontId="0" fillId="27" borderId="36" xfId="0" applyFill="1" applyBorder="1"/>
    <xf numFmtId="0" fontId="0" fillId="30" borderId="49" xfId="0" applyFill="1" applyBorder="1"/>
    <xf numFmtId="0" fontId="0" fillId="30" borderId="51" xfId="0" applyFill="1" applyBorder="1" applyAlignment="1">
      <alignment horizontal="center" vertical="center"/>
    </xf>
    <xf numFmtId="0" fontId="0" fillId="30" borderId="62" xfId="0" applyFill="1" applyBorder="1" applyAlignment="1">
      <alignment horizontal="center" vertical="center"/>
    </xf>
    <xf numFmtId="0" fontId="0" fillId="30" borderId="0" xfId="0" applyFill="1"/>
    <xf numFmtId="0" fontId="0" fillId="21" borderId="51" xfId="0" applyFill="1" applyBorder="1"/>
    <xf numFmtId="0" fontId="0" fillId="21" borderId="0" xfId="0" applyFill="1" applyAlignment="1">
      <alignment horizontal="center" vertical="center"/>
    </xf>
    <xf numFmtId="0" fontId="0" fillId="0" borderId="36" xfId="0" applyBorder="1"/>
    <xf numFmtId="0" fontId="0" fillId="0" borderId="61" xfId="0" applyBorder="1" applyAlignment="1">
      <alignment horizontal="center" vertical="center"/>
    </xf>
    <xf numFmtId="0" fontId="0" fillId="31" borderId="35" xfId="0" applyFill="1" applyBorder="1"/>
    <xf numFmtId="0" fontId="0" fillId="31" borderId="51" xfId="0" applyFill="1" applyBorder="1"/>
    <xf numFmtId="0" fontId="0" fillId="31" borderId="52" xfId="0" applyFill="1" applyBorder="1"/>
    <xf numFmtId="0" fontId="0" fillId="18" borderId="34" xfId="0" applyFill="1" applyBorder="1"/>
    <xf numFmtId="0" fontId="0" fillId="18" borderId="49" xfId="0" applyFill="1" applyBorder="1"/>
    <xf numFmtId="0" fontId="0" fillId="18" borderId="50" xfId="0" applyFill="1" applyBorder="1" applyAlignment="1">
      <alignment horizontal="center" vertical="center"/>
    </xf>
    <xf numFmtId="0" fontId="0" fillId="19" borderId="0" xfId="0" applyFill="1"/>
    <xf numFmtId="0" fontId="0" fillId="21" borderId="37" xfId="0" applyFill="1" applyBorder="1" applyAlignment="1">
      <alignment horizontal="center"/>
    </xf>
    <xf numFmtId="0" fontId="0" fillId="21" borderId="60" xfId="0" applyFill="1" applyBorder="1" applyAlignment="1">
      <alignment horizontal="center"/>
    </xf>
    <xf numFmtId="0" fontId="5" fillId="0" borderId="0" xfId="0" applyFont="1" applyAlignment="1">
      <alignment wrapText="1"/>
    </xf>
    <xf numFmtId="0" fontId="0" fillId="18" borderId="0" xfId="0" applyFill="1"/>
    <xf numFmtId="0" fontId="0" fillId="32" borderId="0" xfId="0" applyFill="1"/>
    <xf numFmtId="0" fontId="0" fillId="5" borderId="1" xfId="0" applyFill="1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/>
    </xf>
    <xf numFmtId="14" fontId="2" fillId="0" borderId="63" xfId="0" applyNumberFormat="1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65" fontId="0" fillId="0" borderId="59" xfId="0" applyNumberFormat="1" applyBorder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5" fillId="19" borderId="34" xfId="0" applyFont="1" applyFill="1" applyBorder="1" applyAlignment="1">
      <alignment horizontal="center" wrapText="1"/>
    </xf>
    <xf numFmtId="0" fontId="5" fillId="19" borderId="50" xfId="0" applyFont="1" applyFill="1" applyBorder="1" applyAlignment="1">
      <alignment horizontal="center" wrapText="1"/>
    </xf>
    <xf numFmtId="0" fontId="5" fillId="19" borderId="35" xfId="0" applyFont="1" applyFill="1" applyBorder="1" applyAlignment="1">
      <alignment horizontal="center" wrapText="1"/>
    </xf>
    <xf numFmtId="0" fontId="5" fillId="19" borderId="52" xfId="0" applyFont="1" applyFill="1" applyBorder="1" applyAlignment="1">
      <alignment horizontal="center" wrapText="1"/>
    </xf>
    <xf numFmtId="2" fontId="5" fillId="4" borderId="50" xfId="0" applyNumberFormat="1" applyFont="1" applyFill="1" applyBorder="1" applyAlignment="1">
      <alignment horizontal="center" vertical="center"/>
    </xf>
    <xf numFmtId="2" fontId="5" fillId="4" borderId="5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4" fontId="0" fillId="26" borderId="2" xfId="0" applyNumberFormat="1" applyFill="1" applyBorder="1" applyAlignment="1">
      <alignment horizontal="center" vertical="center"/>
    </xf>
    <xf numFmtId="14" fontId="0" fillId="26" borderId="4" xfId="0" applyNumberForma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21" borderId="1" xfId="0" applyNumberFormat="1" applyFill="1" applyBorder="1" applyAlignment="1">
      <alignment horizontal="center" vertical="center"/>
    </xf>
    <xf numFmtId="165" fontId="0" fillId="21" borderId="47" xfId="0" applyNumberFormat="1" applyFill="1" applyBorder="1" applyAlignment="1">
      <alignment horizontal="center" vertical="center"/>
    </xf>
    <xf numFmtId="165" fontId="0" fillId="21" borderId="48" xfId="0" applyNumberFormat="1" applyFill="1" applyBorder="1" applyAlignment="1">
      <alignment horizontal="center" vertical="center"/>
    </xf>
    <xf numFmtId="165" fontId="0" fillId="21" borderId="25" xfId="0" applyNumberFormat="1" applyFill="1" applyBorder="1" applyAlignment="1">
      <alignment horizontal="center" vertical="center"/>
    </xf>
    <xf numFmtId="165" fontId="0" fillId="21" borderId="23" xfId="0" applyNumberForma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0" fontId="0" fillId="18" borderId="35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21" borderId="34" xfId="0" applyFill="1" applyBorder="1" applyAlignment="1">
      <alignment horizontal="center" vertical="center"/>
    </xf>
    <xf numFmtId="0" fontId="0" fillId="21" borderId="36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E9EE"/>
      <color rgb="FF9148C8"/>
      <color rgb="FF66FF66"/>
      <color rgb="FFFF00FF"/>
      <color rgb="FFFF0101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'HI2026'!$O$4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'HI2026'!$N$5:$N$16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'HI2026'!$O$5:$O$16</c:f>
              <c:numCache>
                <c:formatCode>0.000</c:formatCode>
                <c:ptCount val="12"/>
                <c:pt idx="0">
                  <c:v>5.9290322580645176</c:v>
                </c:pt>
                <c:pt idx="1">
                  <c:v>6.4964285714285719</c:v>
                </c:pt>
                <c:pt idx="2">
                  <c:v>6.5161290322580649</c:v>
                </c:pt>
                <c:pt idx="3">
                  <c:v>6.13</c:v>
                </c:pt>
                <c:pt idx="4">
                  <c:v>5.616666666666668</c:v>
                </c:pt>
                <c:pt idx="5">
                  <c:v>5.6033333333333335</c:v>
                </c:pt>
                <c:pt idx="6">
                  <c:v>6.1032258064516114</c:v>
                </c:pt>
                <c:pt idx="7">
                  <c:v>6.3258064516129027</c:v>
                </c:pt>
                <c:pt idx="8">
                  <c:v>5.7233333333333318</c:v>
                </c:pt>
                <c:pt idx="9">
                  <c:v>5.7347826086956513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E-4CBC-969C-449436A6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662671"/>
        <c:axId val="1372642991"/>
      </c:lineChart>
      <c:catAx>
        <c:axId val="13726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42991"/>
        <c:crosses val="autoZero"/>
        <c:auto val="1"/>
        <c:lblAlgn val="ctr"/>
        <c:lblOffset val="100"/>
        <c:noMultiLvlLbl val="0"/>
      </c:catAx>
      <c:valAx>
        <c:axId val="13726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Happiness</a:t>
            </a:r>
            <a:r>
              <a:rPr lang="en-IN" baseline="0"/>
              <a:t>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'HI2026'!$B$2:$B$366</c:f>
              <c:numCache>
                <c:formatCode>m/d/yyyy</c:formatCode>
                <c:ptCount val="36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  <c:pt idx="302">
                  <c:v>46325</c:v>
                </c:pt>
                <c:pt idx="303">
                  <c:v>46326</c:v>
                </c:pt>
                <c:pt idx="304">
                  <c:v>46327</c:v>
                </c:pt>
                <c:pt idx="305">
                  <c:v>46328</c:v>
                </c:pt>
                <c:pt idx="306">
                  <c:v>46329</c:v>
                </c:pt>
                <c:pt idx="307">
                  <c:v>46330</c:v>
                </c:pt>
                <c:pt idx="308">
                  <c:v>46331</c:v>
                </c:pt>
                <c:pt idx="309">
                  <c:v>46332</c:v>
                </c:pt>
                <c:pt idx="310">
                  <c:v>46333</c:v>
                </c:pt>
                <c:pt idx="311">
                  <c:v>46334</c:v>
                </c:pt>
                <c:pt idx="312">
                  <c:v>46335</c:v>
                </c:pt>
                <c:pt idx="313">
                  <c:v>46336</c:v>
                </c:pt>
                <c:pt idx="314">
                  <c:v>46337</c:v>
                </c:pt>
                <c:pt idx="315">
                  <c:v>46338</c:v>
                </c:pt>
                <c:pt idx="316">
                  <c:v>46339</c:v>
                </c:pt>
                <c:pt idx="317">
                  <c:v>46340</c:v>
                </c:pt>
                <c:pt idx="318">
                  <c:v>46341</c:v>
                </c:pt>
                <c:pt idx="319">
                  <c:v>46342</c:v>
                </c:pt>
                <c:pt idx="320">
                  <c:v>46343</c:v>
                </c:pt>
                <c:pt idx="321">
                  <c:v>46344</c:v>
                </c:pt>
                <c:pt idx="322">
                  <c:v>46345</c:v>
                </c:pt>
                <c:pt idx="323">
                  <c:v>46346</c:v>
                </c:pt>
                <c:pt idx="324">
                  <c:v>46347</c:v>
                </c:pt>
                <c:pt idx="325">
                  <c:v>46348</c:v>
                </c:pt>
                <c:pt idx="326">
                  <c:v>46349</c:v>
                </c:pt>
                <c:pt idx="327">
                  <c:v>46350</c:v>
                </c:pt>
                <c:pt idx="328">
                  <c:v>46351</c:v>
                </c:pt>
                <c:pt idx="329">
                  <c:v>46352</c:v>
                </c:pt>
                <c:pt idx="330">
                  <c:v>46353</c:v>
                </c:pt>
                <c:pt idx="331">
                  <c:v>46354</c:v>
                </c:pt>
                <c:pt idx="332">
                  <c:v>46355</c:v>
                </c:pt>
                <c:pt idx="333">
                  <c:v>46356</c:v>
                </c:pt>
                <c:pt idx="334">
                  <c:v>46357</c:v>
                </c:pt>
                <c:pt idx="335">
                  <c:v>46358</c:v>
                </c:pt>
                <c:pt idx="336">
                  <c:v>46359</c:v>
                </c:pt>
                <c:pt idx="337">
                  <c:v>46360</c:v>
                </c:pt>
                <c:pt idx="338">
                  <c:v>46361</c:v>
                </c:pt>
                <c:pt idx="339">
                  <c:v>46362</c:v>
                </c:pt>
                <c:pt idx="340">
                  <c:v>46363</c:v>
                </c:pt>
                <c:pt idx="341">
                  <c:v>46364</c:v>
                </c:pt>
                <c:pt idx="342">
                  <c:v>46365</c:v>
                </c:pt>
                <c:pt idx="343">
                  <c:v>46366</c:v>
                </c:pt>
                <c:pt idx="344">
                  <c:v>46367</c:v>
                </c:pt>
                <c:pt idx="345">
                  <c:v>46368</c:v>
                </c:pt>
                <c:pt idx="346">
                  <c:v>46369</c:v>
                </c:pt>
                <c:pt idx="347">
                  <c:v>46370</c:v>
                </c:pt>
                <c:pt idx="348">
                  <c:v>46371</c:v>
                </c:pt>
                <c:pt idx="349">
                  <c:v>46372</c:v>
                </c:pt>
                <c:pt idx="350">
                  <c:v>46373</c:v>
                </c:pt>
                <c:pt idx="351">
                  <c:v>46374</c:v>
                </c:pt>
                <c:pt idx="352">
                  <c:v>46375</c:v>
                </c:pt>
                <c:pt idx="353">
                  <c:v>46376</c:v>
                </c:pt>
                <c:pt idx="354">
                  <c:v>46377</c:v>
                </c:pt>
                <c:pt idx="355">
                  <c:v>46378</c:v>
                </c:pt>
                <c:pt idx="356">
                  <c:v>46379</c:v>
                </c:pt>
                <c:pt idx="357">
                  <c:v>46380</c:v>
                </c:pt>
                <c:pt idx="358">
                  <c:v>46381</c:v>
                </c:pt>
                <c:pt idx="359">
                  <c:v>46382</c:v>
                </c:pt>
                <c:pt idx="360">
                  <c:v>46383</c:v>
                </c:pt>
                <c:pt idx="361">
                  <c:v>46384</c:v>
                </c:pt>
                <c:pt idx="362">
                  <c:v>46385</c:v>
                </c:pt>
                <c:pt idx="363">
                  <c:v>46386</c:v>
                </c:pt>
                <c:pt idx="364">
                  <c:v>46387</c:v>
                </c:pt>
              </c:numCache>
            </c:numRef>
          </c:cat>
          <c:val>
            <c:numRef>
              <c:f>'HI2026'!$C$2:$C$366</c:f>
              <c:numCache>
                <c:formatCode>General</c:formatCode>
                <c:ptCount val="365"/>
                <c:pt idx="0">
                  <c:v>6</c:v>
                </c:pt>
                <c:pt idx="1">
                  <c:v>4.5</c:v>
                </c:pt>
                <c:pt idx="2">
                  <c:v>7.8</c:v>
                </c:pt>
                <c:pt idx="3">
                  <c:v>5.8</c:v>
                </c:pt>
                <c:pt idx="4">
                  <c:v>5.9</c:v>
                </c:pt>
                <c:pt idx="5">
                  <c:v>7.5</c:v>
                </c:pt>
                <c:pt idx="6">
                  <c:v>4.8</c:v>
                </c:pt>
                <c:pt idx="7">
                  <c:v>4.5</c:v>
                </c:pt>
                <c:pt idx="8">
                  <c:v>6.5</c:v>
                </c:pt>
                <c:pt idx="9">
                  <c:v>5.0999999999999996</c:v>
                </c:pt>
                <c:pt idx="10">
                  <c:v>6</c:v>
                </c:pt>
                <c:pt idx="11">
                  <c:v>3.9</c:v>
                </c:pt>
                <c:pt idx="12">
                  <c:v>4.4000000000000004</c:v>
                </c:pt>
                <c:pt idx="13">
                  <c:v>5.3</c:v>
                </c:pt>
                <c:pt idx="14">
                  <c:v>5.4</c:v>
                </c:pt>
                <c:pt idx="15">
                  <c:v>6</c:v>
                </c:pt>
                <c:pt idx="16">
                  <c:v>6.9</c:v>
                </c:pt>
                <c:pt idx="17">
                  <c:v>7.6</c:v>
                </c:pt>
                <c:pt idx="18">
                  <c:v>6.5</c:v>
                </c:pt>
                <c:pt idx="19">
                  <c:v>6</c:v>
                </c:pt>
                <c:pt idx="20">
                  <c:v>6.7</c:v>
                </c:pt>
                <c:pt idx="21">
                  <c:v>5.8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5.0999999999999996</c:v>
                </c:pt>
                <c:pt idx="26">
                  <c:v>5.3</c:v>
                </c:pt>
                <c:pt idx="27">
                  <c:v>5</c:v>
                </c:pt>
                <c:pt idx="28">
                  <c:v>8</c:v>
                </c:pt>
                <c:pt idx="29">
                  <c:v>7</c:v>
                </c:pt>
                <c:pt idx="30">
                  <c:v>4.5</c:v>
                </c:pt>
                <c:pt idx="31">
                  <c:v>5</c:v>
                </c:pt>
                <c:pt idx="32">
                  <c:v>5.4</c:v>
                </c:pt>
                <c:pt idx="33">
                  <c:v>6</c:v>
                </c:pt>
                <c:pt idx="34">
                  <c:v>7.4</c:v>
                </c:pt>
                <c:pt idx="35">
                  <c:v>6</c:v>
                </c:pt>
                <c:pt idx="36">
                  <c:v>10</c:v>
                </c:pt>
                <c:pt idx="37">
                  <c:v>8</c:v>
                </c:pt>
                <c:pt idx="38">
                  <c:v>6</c:v>
                </c:pt>
                <c:pt idx="39">
                  <c:v>5.3</c:v>
                </c:pt>
                <c:pt idx="40">
                  <c:v>5.6</c:v>
                </c:pt>
                <c:pt idx="41">
                  <c:v>6.5</c:v>
                </c:pt>
                <c:pt idx="42">
                  <c:v>5</c:v>
                </c:pt>
                <c:pt idx="43">
                  <c:v>5.2</c:v>
                </c:pt>
                <c:pt idx="44">
                  <c:v>5.5</c:v>
                </c:pt>
                <c:pt idx="45">
                  <c:v>5.8</c:v>
                </c:pt>
                <c:pt idx="46">
                  <c:v>4</c:v>
                </c:pt>
                <c:pt idx="47">
                  <c:v>7</c:v>
                </c:pt>
                <c:pt idx="48">
                  <c:v>6.8</c:v>
                </c:pt>
                <c:pt idx="49">
                  <c:v>7.5</c:v>
                </c:pt>
                <c:pt idx="50">
                  <c:v>7.2</c:v>
                </c:pt>
                <c:pt idx="51">
                  <c:v>7</c:v>
                </c:pt>
                <c:pt idx="52">
                  <c:v>7.6</c:v>
                </c:pt>
                <c:pt idx="53">
                  <c:v>9</c:v>
                </c:pt>
                <c:pt idx="54">
                  <c:v>5.5</c:v>
                </c:pt>
                <c:pt idx="55">
                  <c:v>7.8</c:v>
                </c:pt>
                <c:pt idx="56">
                  <c:v>6</c:v>
                </c:pt>
                <c:pt idx="57">
                  <c:v>6.5</c:v>
                </c:pt>
                <c:pt idx="58">
                  <c:v>7.3</c:v>
                </c:pt>
                <c:pt idx="59">
                  <c:v>6.5</c:v>
                </c:pt>
                <c:pt idx="60">
                  <c:v>6</c:v>
                </c:pt>
                <c:pt idx="61">
                  <c:v>6.8</c:v>
                </c:pt>
                <c:pt idx="62">
                  <c:v>7</c:v>
                </c:pt>
                <c:pt idx="63">
                  <c:v>6.9</c:v>
                </c:pt>
                <c:pt idx="64">
                  <c:v>6.5</c:v>
                </c:pt>
                <c:pt idx="65">
                  <c:v>5</c:v>
                </c:pt>
                <c:pt idx="66">
                  <c:v>8.4</c:v>
                </c:pt>
                <c:pt idx="67">
                  <c:v>5.3</c:v>
                </c:pt>
                <c:pt idx="68">
                  <c:v>5.8</c:v>
                </c:pt>
                <c:pt idx="69">
                  <c:v>5.5</c:v>
                </c:pt>
                <c:pt idx="70">
                  <c:v>5.6</c:v>
                </c:pt>
                <c:pt idx="71">
                  <c:v>8.5</c:v>
                </c:pt>
                <c:pt idx="72">
                  <c:v>7.8</c:v>
                </c:pt>
                <c:pt idx="73">
                  <c:v>10</c:v>
                </c:pt>
                <c:pt idx="74">
                  <c:v>7.5</c:v>
                </c:pt>
                <c:pt idx="75">
                  <c:v>6.2</c:v>
                </c:pt>
                <c:pt idx="76">
                  <c:v>6.2</c:v>
                </c:pt>
                <c:pt idx="77">
                  <c:v>8</c:v>
                </c:pt>
                <c:pt idx="78">
                  <c:v>4</c:v>
                </c:pt>
                <c:pt idx="79">
                  <c:v>5</c:v>
                </c:pt>
                <c:pt idx="80">
                  <c:v>5.9</c:v>
                </c:pt>
                <c:pt idx="81">
                  <c:v>6</c:v>
                </c:pt>
                <c:pt idx="82">
                  <c:v>7</c:v>
                </c:pt>
                <c:pt idx="83">
                  <c:v>6.5</c:v>
                </c:pt>
                <c:pt idx="84">
                  <c:v>5.9</c:v>
                </c:pt>
                <c:pt idx="85">
                  <c:v>6.2</c:v>
                </c:pt>
                <c:pt idx="86">
                  <c:v>5.5</c:v>
                </c:pt>
                <c:pt idx="87">
                  <c:v>5.5</c:v>
                </c:pt>
                <c:pt idx="88">
                  <c:v>8</c:v>
                </c:pt>
                <c:pt idx="89">
                  <c:v>7</c:v>
                </c:pt>
                <c:pt idx="90">
                  <c:v>5.5</c:v>
                </c:pt>
                <c:pt idx="91">
                  <c:v>5</c:v>
                </c:pt>
                <c:pt idx="92">
                  <c:v>5.8</c:v>
                </c:pt>
                <c:pt idx="93">
                  <c:v>5.5</c:v>
                </c:pt>
                <c:pt idx="94">
                  <c:v>6</c:v>
                </c:pt>
                <c:pt idx="95">
                  <c:v>6.6</c:v>
                </c:pt>
                <c:pt idx="96">
                  <c:v>5.8</c:v>
                </c:pt>
                <c:pt idx="97">
                  <c:v>5.9</c:v>
                </c:pt>
                <c:pt idx="98">
                  <c:v>6</c:v>
                </c:pt>
                <c:pt idx="99">
                  <c:v>6.2</c:v>
                </c:pt>
                <c:pt idx="100">
                  <c:v>7.5</c:v>
                </c:pt>
                <c:pt idx="101">
                  <c:v>6.3</c:v>
                </c:pt>
                <c:pt idx="102">
                  <c:v>6.5</c:v>
                </c:pt>
                <c:pt idx="103">
                  <c:v>5</c:v>
                </c:pt>
                <c:pt idx="104">
                  <c:v>5.7</c:v>
                </c:pt>
                <c:pt idx="105">
                  <c:v>6</c:v>
                </c:pt>
                <c:pt idx="106">
                  <c:v>5.9</c:v>
                </c:pt>
                <c:pt idx="107">
                  <c:v>5.8</c:v>
                </c:pt>
                <c:pt idx="108">
                  <c:v>7.2</c:v>
                </c:pt>
                <c:pt idx="109">
                  <c:v>5.5</c:v>
                </c:pt>
                <c:pt idx="110">
                  <c:v>6.3</c:v>
                </c:pt>
                <c:pt idx="111">
                  <c:v>1.9</c:v>
                </c:pt>
                <c:pt idx="112">
                  <c:v>7</c:v>
                </c:pt>
                <c:pt idx="113">
                  <c:v>10</c:v>
                </c:pt>
                <c:pt idx="114">
                  <c:v>9</c:v>
                </c:pt>
                <c:pt idx="115">
                  <c:v>6.3</c:v>
                </c:pt>
                <c:pt idx="116">
                  <c:v>6.2</c:v>
                </c:pt>
                <c:pt idx="117">
                  <c:v>5.7</c:v>
                </c:pt>
                <c:pt idx="118">
                  <c:v>4.8</c:v>
                </c:pt>
                <c:pt idx="119">
                  <c:v>7</c:v>
                </c:pt>
                <c:pt idx="120">
                  <c:v>6.2</c:v>
                </c:pt>
                <c:pt idx="121">
                  <c:v>5.6</c:v>
                </c:pt>
                <c:pt idx="122">
                  <c:v>5.4</c:v>
                </c:pt>
                <c:pt idx="123">
                  <c:v>4.8</c:v>
                </c:pt>
                <c:pt idx="124">
                  <c:v>4.5</c:v>
                </c:pt>
                <c:pt idx="125">
                  <c:v>6</c:v>
                </c:pt>
                <c:pt idx="126">
                  <c:v>7</c:v>
                </c:pt>
                <c:pt idx="127">
                  <c:v>4.8</c:v>
                </c:pt>
                <c:pt idx="128">
                  <c:v>6.5</c:v>
                </c:pt>
                <c:pt idx="129">
                  <c:v>6.2</c:v>
                </c:pt>
                <c:pt idx="130">
                  <c:v>6.9</c:v>
                </c:pt>
                <c:pt idx="131">
                  <c:v>5.2</c:v>
                </c:pt>
                <c:pt idx="132">
                  <c:v>5.8</c:v>
                </c:pt>
                <c:pt idx="133">
                  <c:v>5.5</c:v>
                </c:pt>
                <c:pt idx="134">
                  <c:v>5.2</c:v>
                </c:pt>
                <c:pt idx="135">
                  <c:v>5.4</c:v>
                </c:pt>
                <c:pt idx="136">
                  <c:v>5.6</c:v>
                </c:pt>
                <c:pt idx="137">
                  <c:v>5.2</c:v>
                </c:pt>
                <c:pt idx="138">
                  <c:v>6.2</c:v>
                </c:pt>
                <c:pt idx="139">
                  <c:v>5.8</c:v>
                </c:pt>
                <c:pt idx="140">
                  <c:v>5.3</c:v>
                </c:pt>
                <c:pt idx="141">
                  <c:v>5.4</c:v>
                </c:pt>
                <c:pt idx="142">
                  <c:v>6.3</c:v>
                </c:pt>
                <c:pt idx="143">
                  <c:v>5.4</c:v>
                </c:pt>
                <c:pt idx="144">
                  <c:v>6</c:v>
                </c:pt>
                <c:pt idx="145">
                  <c:v>5.7</c:v>
                </c:pt>
                <c:pt idx="146">
                  <c:v>4.8</c:v>
                </c:pt>
                <c:pt idx="147">
                  <c:v>5</c:v>
                </c:pt>
                <c:pt idx="148">
                  <c:v>5.8</c:v>
                </c:pt>
                <c:pt idx="149">
                  <c:v>5</c:v>
                </c:pt>
                <c:pt idx="150">
                  <c:v>5.6</c:v>
                </c:pt>
                <c:pt idx="151">
                  <c:v>5.2</c:v>
                </c:pt>
                <c:pt idx="152">
                  <c:v>5.0999999999999996</c:v>
                </c:pt>
                <c:pt idx="153">
                  <c:v>5</c:v>
                </c:pt>
                <c:pt idx="154">
                  <c:v>4.8</c:v>
                </c:pt>
                <c:pt idx="155">
                  <c:v>5.3</c:v>
                </c:pt>
                <c:pt idx="156">
                  <c:v>3.9</c:v>
                </c:pt>
                <c:pt idx="157">
                  <c:v>5.0999999999999996</c:v>
                </c:pt>
                <c:pt idx="158">
                  <c:v>5</c:v>
                </c:pt>
                <c:pt idx="159">
                  <c:v>5.2</c:v>
                </c:pt>
                <c:pt idx="160">
                  <c:v>5</c:v>
                </c:pt>
                <c:pt idx="161">
                  <c:v>5.6</c:v>
                </c:pt>
                <c:pt idx="162">
                  <c:v>5.4</c:v>
                </c:pt>
                <c:pt idx="163">
                  <c:v>6</c:v>
                </c:pt>
                <c:pt idx="164">
                  <c:v>6.2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4.9000000000000004</c:v>
                </c:pt>
                <c:pt idx="169">
                  <c:v>6.2</c:v>
                </c:pt>
                <c:pt idx="170">
                  <c:v>5.6</c:v>
                </c:pt>
                <c:pt idx="171">
                  <c:v>6</c:v>
                </c:pt>
                <c:pt idx="172">
                  <c:v>5.3</c:v>
                </c:pt>
                <c:pt idx="173">
                  <c:v>7.4</c:v>
                </c:pt>
                <c:pt idx="174">
                  <c:v>5.8</c:v>
                </c:pt>
                <c:pt idx="175">
                  <c:v>6.5</c:v>
                </c:pt>
                <c:pt idx="176">
                  <c:v>8</c:v>
                </c:pt>
                <c:pt idx="177">
                  <c:v>7.2</c:v>
                </c:pt>
                <c:pt idx="178">
                  <c:v>6</c:v>
                </c:pt>
                <c:pt idx="179">
                  <c:v>5.4</c:v>
                </c:pt>
                <c:pt idx="180">
                  <c:v>6</c:v>
                </c:pt>
                <c:pt idx="181">
                  <c:v>6.1</c:v>
                </c:pt>
                <c:pt idx="182">
                  <c:v>6.2</c:v>
                </c:pt>
                <c:pt idx="183">
                  <c:v>6.3</c:v>
                </c:pt>
                <c:pt idx="184">
                  <c:v>7</c:v>
                </c:pt>
                <c:pt idx="185">
                  <c:v>6.6</c:v>
                </c:pt>
                <c:pt idx="186">
                  <c:v>6</c:v>
                </c:pt>
                <c:pt idx="187">
                  <c:v>6.5</c:v>
                </c:pt>
                <c:pt idx="188">
                  <c:v>6.8</c:v>
                </c:pt>
                <c:pt idx="189">
                  <c:v>8</c:v>
                </c:pt>
                <c:pt idx="190">
                  <c:v>7.5</c:v>
                </c:pt>
                <c:pt idx="191">
                  <c:v>10</c:v>
                </c:pt>
                <c:pt idx="192">
                  <c:v>7.5</c:v>
                </c:pt>
                <c:pt idx="193">
                  <c:v>5.5</c:v>
                </c:pt>
                <c:pt idx="194">
                  <c:v>5</c:v>
                </c:pt>
                <c:pt idx="195">
                  <c:v>1</c:v>
                </c:pt>
                <c:pt idx="196">
                  <c:v>5.5</c:v>
                </c:pt>
                <c:pt idx="197">
                  <c:v>6</c:v>
                </c:pt>
                <c:pt idx="198">
                  <c:v>5.3</c:v>
                </c:pt>
                <c:pt idx="199">
                  <c:v>5.8</c:v>
                </c:pt>
                <c:pt idx="200">
                  <c:v>5.3</c:v>
                </c:pt>
                <c:pt idx="201">
                  <c:v>5.4</c:v>
                </c:pt>
                <c:pt idx="202">
                  <c:v>5.2</c:v>
                </c:pt>
                <c:pt idx="203">
                  <c:v>5.3</c:v>
                </c:pt>
                <c:pt idx="204">
                  <c:v>5.5</c:v>
                </c:pt>
                <c:pt idx="205">
                  <c:v>5.7</c:v>
                </c:pt>
                <c:pt idx="206">
                  <c:v>5.6</c:v>
                </c:pt>
                <c:pt idx="207">
                  <c:v>5.3</c:v>
                </c:pt>
                <c:pt idx="208">
                  <c:v>6.5</c:v>
                </c:pt>
                <c:pt idx="209">
                  <c:v>5.6</c:v>
                </c:pt>
                <c:pt idx="210">
                  <c:v>10</c:v>
                </c:pt>
                <c:pt idx="211">
                  <c:v>5.2</c:v>
                </c:pt>
                <c:pt idx="212">
                  <c:v>5.5</c:v>
                </c:pt>
                <c:pt idx="213">
                  <c:v>6.5</c:v>
                </c:pt>
                <c:pt idx="214">
                  <c:v>5.3</c:v>
                </c:pt>
                <c:pt idx="215">
                  <c:v>5.2</c:v>
                </c:pt>
                <c:pt idx="216">
                  <c:v>6.1</c:v>
                </c:pt>
                <c:pt idx="217">
                  <c:v>6.2</c:v>
                </c:pt>
                <c:pt idx="218">
                  <c:v>5.8</c:v>
                </c:pt>
                <c:pt idx="219">
                  <c:v>6</c:v>
                </c:pt>
                <c:pt idx="220">
                  <c:v>5.3</c:v>
                </c:pt>
                <c:pt idx="221">
                  <c:v>5.3</c:v>
                </c:pt>
                <c:pt idx="222">
                  <c:v>5</c:v>
                </c:pt>
                <c:pt idx="223">
                  <c:v>6</c:v>
                </c:pt>
                <c:pt idx="224">
                  <c:v>7</c:v>
                </c:pt>
                <c:pt idx="225">
                  <c:v>6.1</c:v>
                </c:pt>
                <c:pt idx="226">
                  <c:v>6.1</c:v>
                </c:pt>
                <c:pt idx="227">
                  <c:v>7.1</c:v>
                </c:pt>
                <c:pt idx="228">
                  <c:v>10</c:v>
                </c:pt>
                <c:pt idx="229">
                  <c:v>6.1</c:v>
                </c:pt>
                <c:pt idx="230">
                  <c:v>6.4</c:v>
                </c:pt>
                <c:pt idx="231">
                  <c:v>6.7</c:v>
                </c:pt>
                <c:pt idx="232">
                  <c:v>6.5</c:v>
                </c:pt>
                <c:pt idx="233">
                  <c:v>5.5</c:v>
                </c:pt>
                <c:pt idx="234">
                  <c:v>6</c:v>
                </c:pt>
                <c:pt idx="235">
                  <c:v>6</c:v>
                </c:pt>
                <c:pt idx="236">
                  <c:v>6.6</c:v>
                </c:pt>
                <c:pt idx="237">
                  <c:v>6.8</c:v>
                </c:pt>
                <c:pt idx="238">
                  <c:v>6.5</c:v>
                </c:pt>
                <c:pt idx="239">
                  <c:v>6.8</c:v>
                </c:pt>
                <c:pt idx="240">
                  <c:v>10</c:v>
                </c:pt>
                <c:pt idx="241">
                  <c:v>6.2</c:v>
                </c:pt>
                <c:pt idx="242">
                  <c:v>5.5</c:v>
                </c:pt>
                <c:pt idx="243">
                  <c:v>5.2</c:v>
                </c:pt>
                <c:pt idx="244">
                  <c:v>6</c:v>
                </c:pt>
                <c:pt idx="245">
                  <c:v>5.5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5.5</c:v>
                </c:pt>
                <c:pt idx="250">
                  <c:v>5.5</c:v>
                </c:pt>
                <c:pt idx="251">
                  <c:v>6.5</c:v>
                </c:pt>
                <c:pt idx="252">
                  <c:v>6</c:v>
                </c:pt>
                <c:pt idx="253">
                  <c:v>6</c:v>
                </c:pt>
                <c:pt idx="254">
                  <c:v>5.5</c:v>
                </c:pt>
                <c:pt idx="255">
                  <c:v>6.9</c:v>
                </c:pt>
                <c:pt idx="256">
                  <c:v>6</c:v>
                </c:pt>
                <c:pt idx="257">
                  <c:v>5.3</c:v>
                </c:pt>
                <c:pt idx="258">
                  <c:v>5.8</c:v>
                </c:pt>
                <c:pt idx="259">
                  <c:v>5.2</c:v>
                </c:pt>
                <c:pt idx="260">
                  <c:v>5</c:v>
                </c:pt>
                <c:pt idx="261">
                  <c:v>6.2</c:v>
                </c:pt>
                <c:pt idx="262">
                  <c:v>6</c:v>
                </c:pt>
                <c:pt idx="263">
                  <c:v>5.7</c:v>
                </c:pt>
                <c:pt idx="264">
                  <c:v>5.0999999999999996</c:v>
                </c:pt>
                <c:pt idx="265">
                  <c:v>4.5</c:v>
                </c:pt>
                <c:pt idx="266">
                  <c:v>4.5999999999999996</c:v>
                </c:pt>
                <c:pt idx="267">
                  <c:v>5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6.1</c:v>
                </c:pt>
                <c:pt idx="272">
                  <c:v>6</c:v>
                </c:pt>
                <c:pt idx="273">
                  <c:v>6</c:v>
                </c:pt>
                <c:pt idx="274">
                  <c:v>5.8</c:v>
                </c:pt>
                <c:pt idx="275">
                  <c:v>9</c:v>
                </c:pt>
                <c:pt idx="276">
                  <c:v>5.7</c:v>
                </c:pt>
                <c:pt idx="277">
                  <c:v>5</c:v>
                </c:pt>
                <c:pt idx="278">
                  <c:v>5.5</c:v>
                </c:pt>
                <c:pt idx="279">
                  <c:v>5.7</c:v>
                </c:pt>
                <c:pt idx="280">
                  <c:v>5.7</c:v>
                </c:pt>
                <c:pt idx="281">
                  <c:v>6</c:v>
                </c:pt>
                <c:pt idx="282">
                  <c:v>6.2</c:v>
                </c:pt>
                <c:pt idx="283">
                  <c:v>5.8</c:v>
                </c:pt>
                <c:pt idx="284">
                  <c:v>5</c:v>
                </c:pt>
                <c:pt idx="285">
                  <c:v>5.7</c:v>
                </c:pt>
                <c:pt idx="286">
                  <c:v>5.6</c:v>
                </c:pt>
                <c:pt idx="287">
                  <c:v>5.6</c:v>
                </c:pt>
                <c:pt idx="288">
                  <c:v>5.7</c:v>
                </c:pt>
                <c:pt idx="289">
                  <c:v>5.8</c:v>
                </c:pt>
                <c:pt idx="290">
                  <c:v>5.5</c:v>
                </c:pt>
                <c:pt idx="291">
                  <c:v>5</c:v>
                </c:pt>
                <c:pt idx="292">
                  <c:v>5</c:v>
                </c:pt>
                <c:pt idx="293">
                  <c:v>5.6</c:v>
                </c:pt>
                <c:pt idx="294">
                  <c:v>5.8</c:v>
                </c:pt>
                <c:pt idx="295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52-4402-A53E-BE09634EC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663136"/>
        <c:axId val="1162653536"/>
      </c:lineChart>
      <c:dateAx>
        <c:axId val="1162663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3536"/>
        <c:crosses val="autoZero"/>
        <c:auto val="1"/>
        <c:lblOffset val="100"/>
        <c:baseTimeUnit val="days"/>
      </c:dateAx>
      <c:valAx>
        <c:axId val="11626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6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'HI2026'!$AF$14:$AF$25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'HI2026'!$AG$14:$AG$25</c:f>
              <c:numCache>
                <c:formatCode>0.00</c:formatCode>
                <c:ptCount val="12"/>
                <c:pt idx="0">
                  <c:v>48.387096774193552</c:v>
                </c:pt>
                <c:pt idx="1">
                  <c:v>71.428571428571431</c:v>
                </c:pt>
                <c:pt idx="2" formatCode="General">
                  <c:v>51.612903225806448</c:v>
                </c:pt>
                <c:pt idx="3" formatCode="General">
                  <c:v>70</c:v>
                </c:pt>
                <c:pt idx="4" formatCode="General">
                  <c:v>61.29032258064516</c:v>
                </c:pt>
                <c:pt idx="5" formatCode="0.0">
                  <c:v>60</c:v>
                </c:pt>
                <c:pt idx="6" formatCode="0.0">
                  <c:v>60</c:v>
                </c:pt>
                <c:pt idx="7" formatCode="General">
                  <c:v>58.064516129032263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E-468A-8D77-B3126D8A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205839"/>
        <c:axId val="998206319"/>
      </c:lineChart>
      <c:catAx>
        <c:axId val="9982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06319"/>
        <c:crosses val="autoZero"/>
        <c:auto val="1"/>
        <c:lblAlgn val="ctr"/>
        <c:lblOffset val="100"/>
        <c:noMultiLvlLbl val="0"/>
      </c:catAx>
      <c:valAx>
        <c:axId val="9982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'HI2026'!$AF$14:$AF$25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'HI2026'!$AG$14:$AG$25</c:f>
              <c:numCache>
                <c:formatCode>0.00</c:formatCode>
                <c:ptCount val="12"/>
                <c:pt idx="0">
                  <c:v>48.387096774193552</c:v>
                </c:pt>
                <c:pt idx="1">
                  <c:v>71.428571428571431</c:v>
                </c:pt>
                <c:pt idx="2" formatCode="General">
                  <c:v>51.612903225806448</c:v>
                </c:pt>
                <c:pt idx="3" formatCode="General">
                  <c:v>70</c:v>
                </c:pt>
                <c:pt idx="4" formatCode="General">
                  <c:v>61.29032258064516</c:v>
                </c:pt>
                <c:pt idx="5" formatCode="0.0">
                  <c:v>60</c:v>
                </c:pt>
                <c:pt idx="6" formatCode="0.0">
                  <c:v>60</c:v>
                </c:pt>
                <c:pt idx="7" formatCode="General">
                  <c:v>58.064516129032263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4-4572-957D-2AD7E409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015599"/>
        <c:axId val="1550019439"/>
      </c:lineChart>
      <c:catAx>
        <c:axId val="15500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19439"/>
        <c:crosses val="autoZero"/>
        <c:auto val="1"/>
        <c:lblAlgn val="ctr"/>
        <c:lblOffset val="100"/>
        <c:noMultiLvlLbl val="0"/>
      </c:catAx>
      <c:valAx>
        <c:axId val="15500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'HI2026'!$AJ$14:$AJ$19</c:f>
              <c:strCache>
                <c:ptCount val="6"/>
                <c:pt idx="0">
                  <c:v>Amazing Day</c:v>
                </c:pt>
                <c:pt idx="1">
                  <c:v>Great Day</c:v>
                </c:pt>
                <c:pt idx="2">
                  <c:v>Good Day</c:v>
                </c:pt>
                <c:pt idx="3">
                  <c:v>Eh Day</c:v>
                </c:pt>
                <c:pt idx="4">
                  <c:v>Bad Day</c:v>
                </c:pt>
                <c:pt idx="5">
                  <c:v>Terrible Day</c:v>
                </c:pt>
              </c:strCache>
            </c:strRef>
          </c:cat>
          <c:val>
            <c:numRef>
              <c:f>'HI2026'!$AK$14:$AK$19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128</c:v>
                </c:pt>
                <c:pt idx="3">
                  <c:v>146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9-489E-AC1B-8512D84254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017039"/>
        <c:axId val="1550021359"/>
      </c:barChart>
      <c:catAx>
        <c:axId val="155001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21359"/>
        <c:crosses val="autoZero"/>
        <c:auto val="1"/>
        <c:lblAlgn val="ctr"/>
        <c:lblOffset val="100"/>
        <c:noMultiLvlLbl val="0"/>
      </c:catAx>
      <c:valAx>
        <c:axId val="15500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1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'HI2026'!$AT$4:$AT$35</c:f>
              <c:strCache>
                <c:ptCount val="3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  <c:pt idx="26">
                  <c:v>AA</c:v>
                </c:pt>
                <c:pt idx="27">
                  <c:v>AB</c:v>
                </c:pt>
                <c:pt idx="28">
                  <c:v>AC</c:v>
                </c:pt>
                <c:pt idx="29">
                  <c:v>AD</c:v>
                </c:pt>
                <c:pt idx="30">
                  <c:v>AE</c:v>
                </c:pt>
                <c:pt idx="31">
                  <c:v>AF</c:v>
                </c:pt>
              </c:strCache>
            </c:strRef>
          </c:cat>
          <c:val>
            <c:numRef>
              <c:f>'HI2026'!$AU$4:$AU$35</c:f>
              <c:numCache>
                <c:formatCode>0.00</c:formatCode>
                <c:ptCount val="32"/>
                <c:pt idx="0">
                  <c:v>5.290322580645161</c:v>
                </c:pt>
                <c:pt idx="1">
                  <c:v>4.4137931034482758</c:v>
                </c:pt>
                <c:pt idx="2">
                  <c:v>5.5483870967741939</c:v>
                </c:pt>
                <c:pt idx="3">
                  <c:v>4.4666666666666668</c:v>
                </c:pt>
                <c:pt idx="4">
                  <c:v>6.129032258064516</c:v>
                </c:pt>
                <c:pt idx="5">
                  <c:v>5.333333333333333</c:v>
                </c:pt>
                <c:pt idx="6">
                  <c:v>5.032258064516129</c:v>
                </c:pt>
                <c:pt idx="7">
                  <c:v>4.967741935483871</c:v>
                </c:pt>
                <c:pt idx="8">
                  <c:v>5.2666666666666666</c:v>
                </c:pt>
                <c:pt idx="9">
                  <c:v>5.612903225806452</c:v>
                </c:pt>
                <c:pt idx="10">
                  <c:v>5.5333333333333332</c:v>
                </c:pt>
                <c:pt idx="11">
                  <c:v>4.709677419354839</c:v>
                </c:pt>
                <c:pt idx="12" formatCode="General">
                  <c:v>5</c:v>
                </c:pt>
                <c:pt idx="13" formatCode="General">
                  <c:v>4.7571428571428571</c:v>
                </c:pt>
                <c:pt idx="14" formatCode="General">
                  <c:v>5.1967741935483867</c:v>
                </c:pt>
                <c:pt idx="15" formatCode="General">
                  <c:v>4.8866666666666676</c:v>
                </c:pt>
                <c:pt idx="16" formatCode="General">
                  <c:v>5.8967741935483877</c:v>
                </c:pt>
                <c:pt idx="17" formatCode="General">
                  <c:v>4.8600000000000003</c:v>
                </c:pt>
                <c:pt idx="18" formatCode="General">
                  <c:v>5.3903225806451607</c:v>
                </c:pt>
                <c:pt idx="19" formatCode="General">
                  <c:v>4.6545454545454543</c:v>
                </c:pt>
                <c:pt idx="20" formatCode="General">
                  <c:v>5.8166666666666673</c:v>
                </c:pt>
                <c:pt idx="21" formatCode="General">
                  <c:v>5.629032258064516</c:v>
                </c:pt>
                <c:pt idx="22" formatCode="General">
                  <c:v>6.0733333333333333</c:v>
                </c:pt>
                <c:pt idx="23" formatCode="General">
                  <c:v>5.8258064516129036</c:v>
                </c:pt>
                <c:pt idx="24" formatCode="General">
                  <c:v>5.9290322580645176</c:v>
                </c:pt>
                <c:pt idx="25" formatCode="General">
                  <c:v>6.4964285714285719</c:v>
                </c:pt>
                <c:pt idx="26" formatCode="General">
                  <c:v>6.5161290322580649</c:v>
                </c:pt>
                <c:pt idx="27" formatCode="General">
                  <c:v>6.1333333333333337</c:v>
                </c:pt>
                <c:pt idx="28" formatCode="General">
                  <c:v>5.616666666666668</c:v>
                </c:pt>
                <c:pt idx="29" formatCode="General">
                  <c:v>5.6033333333333335</c:v>
                </c:pt>
                <c:pt idx="30" formatCode="General">
                  <c:v>6.1032258064516114</c:v>
                </c:pt>
                <c:pt idx="31" formatCode="General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2-4D26-91BE-5F7C88C16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958863"/>
        <c:axId val="1030995183"/>
      </c:lineChart>
      <c:catAx>
        <c:axId val="16709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95183"/>
        <c:crosses val="autoZero"/>
        <c:auto val="1"/>
        <c:lblAlgn val="ctr"/>
        <c:lblOffset val="100"/>
        <c:noMultiLvlLbl val="0"/>
      </c:catAx>
      <c:valAx>
        <c:axId val="10309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5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Days in Each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'HI2026'!$AZ$24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'HI2026'!$AY$25:$AY$35</c:f>
              <c:strCache>
                <c:ptCount val="11"/>
                <c:pt idx="0">
                  <c:v>Shamli</c:v>
                </c:pt>
                <c:pt idx="1">
                  <c:v>Noida</c:v>
                </c:pt>
                <c:pt idx="2">
                  <c:v>Rishikesh</c:v>
                </c:pt>
                <c:pt idx="3">
                  <c:v>Kochi</c:v>
                </c:pt>
                <c:pt idx="4">
                  <c:v>Delhi</c:v>
                </c:pt>
                <c:pt idx="5">
                  <c:v>Moradabad</c:v>
                </c:pt>
                <c:pt idx="6">
                  <c:v>Munnar</c:v>
                </c:pt>
                <c:pt idx="7">
                  <c:v>Varkala</c:v>
                </c:pt>
                <c:pt idx="8">
                  <c:v>Meerut</c:v>
                </c:pt>
                <c:pt idx="9">
                  <c:v>Kottayam</c:v>
                </c:pt>
                <c:pt idx="10">
                  <c:v>Banglore</c:v>
                </c:pt>
              </c:strCache>
            </c:strRef>
          </c:cat>
          <c:val>
            <c:numRef>
              <c:f>'HI2026'!$AZ$25:$AZ$35</c:f>
              <c:numCache>
                <c:formatCode>0.0</c:formatCode>
                <c:ptCount val="11"/>
                <c:pt idx="0">
                  <c:v>0.5</c:v>
                </c:pt>
                <c:pt idx="1">
                  <c:v>2</c:v>
                </c:pt>
                <c:pt idx="2">
                  <c:v>1</c:v>
                </c:pt>
                <c:pt idx="3">
                  <c:v>2.083333333333333</c:v>
                </c:pt>
                <c:pt idx="4">
                  <c:v>2.083333333333333</c:v>
                </c:pt>
                <c:pt idx="5">
                  <c:v>1.75</c:v>
                </c:pt>
                <c:pt idx="6">
                  <c:v>3</c:v>
                </c:pt>
                <c:pt idx="7">
                  <c:v>3</c:v>
                </c:pt>
                <c:pt idx="8">
                  <c:v>47.833333333333336</c:v>
                </c:pt>
                <c:pt idx="9">
                  <c:v>71.083333333333343</c:v>
                </c:pt>
                <c:pt idx="10">
                  <c:v>141.66666666666663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1-4D03-B16A-E76E9BDA9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6126319"/>
        <c:axId val="1140572239"/>
      </c:barChart>
      <c:catAx>
        <c:axId val="14861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72239"/>
        <c:crosses val="autoZero"/>
        <c:auto val="1"/>
        <c:lblAlgn val="ctr"/>
        <c:lblOffset val="100"/>
        <c:noMultiLvlLbl val="0"/>
      </c:catAx>
      <c:valAx>
        <c:axId val="11405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2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Happiness Score as the week progresses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'HI2026'!$N$80</c:f>
              <c:strCache>
                <c:ptCount val="1"/>
                <c:pt idx="0">
                  <c:v>Average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'HI2026'!$M$81:$M$87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'HI2026'!$N$81:$N$87</c:f>
              <c:numCache>
                <c:formatCode>0.00</c:formatCode>
                <c:ptCount val="7"/>
                <c:pt idx="0">
                  <c:v>5.8119047619047626</c:v>
                </c:pt>
                <c:pt idx="1">
                  <c:v>5.7833333333333323</c:v>
                </c:pt>
                <c:pt idx="2">
                  <c:v>5.6714285714285708</c:v>
                </c:pt>
                <c:pt idx="3">
                  <c:v>6.0930232558139537</c:v>
                </c:pt>
                <c:pt idx="4">
                  <c:v>6.1790697674418613</c:v>
                </c:pt>
                <c:pt idx="5">
                  <c:v>6.3738095238095234</c:v>
                </c:pt>
                <c:pt idx="6">
                  <c:v>6.2404761904761896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B-4FF3-8F40-2170F82338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741232"/>
        <c:axId val="130811344"/>
      </c:lineChart>
      <c:catAx>
        <c:axId val="18674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1344"/>
        <c:crosses val="autoZero"/>
        <c:auto val="1"/>
        <c:lblAlgn val="ctr"/>
        <c:lblOffset val="100"/>
        <c:noMultiLvlLbl val="0"/>
      </c:catAx>
      <c:valAx>
        <c:axId val="1308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4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'HI2026'!$N$106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'HI2026'!$M$107:$M$139</c:f>
              <c:strCache>
                <c:ptCount val="3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</c:strCache>
            </c:strRef>
          </c:cat>
          <c:val>
            <c:numRef>
              <c:f>'HI2026'!$N$107:$N$139</c:f>
              <c:numCache>
                <c:formatCode>0.00</c:formatCode>
                <c:ptCount val="33"/>
                <c:pt idx="0">
                  <c:v>5.290322580645161</c:v>
                </c:pt>
                <c:pt idx="1">
                  <c:v>4.4137931034482758</c:v>
                </c:pt>
                <c:pt idx="2">
                  <c:v>5.5483870967741939</c:v>
                </c:pt>
                <c:pt idx="3">
                  <c:v>4.4666666666666668</c:v>
                </c:pt>
                <c:pt idx="4">
                  <c:v>6.129032258064516</c:v>
                </c:pt>
                <c:pt idx="5">
                  <c:v>5.333333333333333</c:v>
                </c:pt>
                <c:pt idx="6">
                  <c:v>5.032258064516129</c:v>
                </c:pt>
                <c:pt idx="7">
                  <c:v>4.967741935483871</c:v>
                </c:pt>
                <c:pt idx="8">
                  <c:v>5.2666666666666666</c:v>
                </c:pt>
                <c:pt idx="9">
                  <c:v>5.612903225806452</c:v>
                </c:pt>
                <c:pt idx="10">
                  <c:v>5.5333333333333332</c:v>
                </c:pt>
                <c:pt idx="11">
                  <c:v>4.709677419354839</c:v>
                </c:pt>
                <c:pt idx="12">
                  <c:v>5</c:v>
                </c:pt>
                <c:pt idx="13">
                  <c:v>4.7571428571428571</c:v>
                </c:pt>
                <c:pt idx="14">
                  <c:v>5.1967741935483867</c:v>
                </c:pt>
                <c:pt idx="15">
                  <c:v>4.8866666666666676</c:v>
                </c:pt>
                <c:pt idx="16">
                  <c:v>5.8967741935483877</c:v>
                </c:pt>
                <c:pt idx="17">
                  <c:v>4.8600000000000003</c:v>
                </c:pt>
                <c:pt idx="18">
                  <c:v>5.3903225806451607</c:v>
                </c:pt>
                <c:pt idx="19">
                  <c:v>4.6545454545454543</c:v>
                </c:pt>
                <c:pt idx="20">
                  <c:v>5.8166666666666673</c:v>
                </c:pt>
                <c:pt idx="21">
                  <c:v>5.629032258064516</c:v>
                </c:pt>
                <c:pt idx="22">
                  <c:v>6.0733333333333333</c:v>
                </c:pt>
                <c:pt idx="23">
                  <c:v>5.8258064516129036</c:v>
                </c:pt>
                <c:pt idx="24">
                  <c:v>5.9290322580645176</c:v>
                </c:pt>
                <c:pt idx="25">
                  <c:v>6.4964285714285719</c:v>
                </c:pt>
                <c:pt idx="26">
                  <c:v>6.5161290322580649</c:v>
                </c:pt>
                <c:pt idx="27">
                  <c:v>6.13</c:v>
                </c:pt>
                <c:pt idx="28">
                  <c:v>5.616666666666668</c:v>
                </c:pt>
                <c:pt idx="29">
                  <c:v>5.6033333333333335</c:v>
                </c:pt>
                <c:pt idx="30">
                  <c:v>6.1032258064516114</c:v>
                </c:pt>
                <c:pt idx="31">
                  <c:v>6.3258064516129027</c:v>
                </c:pt>
                <c:pt idx="32">
                  <c:v>5.6814814814814802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A-4186-AF9E-735DF8905D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706896"/>
        <c:axId val="130889104"/>
      </c:lineChart>
      <c:catAx>
        <c:axId val="1867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9104"/>
        <c:crosses val="autoZero"/>
        <c:auto val="1"/>
        <c:lblAlgn val="ctr"/>
        <c:lblOffset val="100"/>
        <c:noMultiLvlLbl val="0"/>
      </c:catAx>
      <c:valAx>
        <c:axId val="1308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'HI2025'!$M$4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'HI2025'!$L$5:$L$16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'HI2025'!$M$5:$M$16</c:f>
              <c:numCache>
                <c:formatCode>General</c:formatCode>
                <c:ptCount val="12"/>
                <c:pt idx="0">
                  <c:v>5</c:v>
                </c:pt>
                <c:pt idx="1">
                  <c:v>4.7571428571428571</c:v>
                </c:pt>
                <c:pt idx="2">
                  <c:v>5.1967741935483867</c:v>
                </c:pt>
                <c:pt idx="3">
                  <c:v>4.8866666666666676</c:v>
                </c:pt>
                <c:pt idx="4">
                  <c:v>5.8967741935483877</c:v>
                </c:pt>
                <c:pt idx="5">
                  <c:v>4.8600000000000003</c:v>
                </c:pt>
                <c:pt idx="6">
                  <c:v>5.3903225806451607</c:v>
                </c:pt>
                <c:pt idx="7">
                  <c:v>4.6545454545454543</c:v>
                </c:pt>
                <c:pt idx="8">
                  <c:v>5.8166666666666673</c:v>
                </c:pt>
                <c:pt idx="9">
                  <c:v>5.629032258064516</c:v>
                </c:pt>
                <c:pt idx="10">
                  <c:v>6.0733333333333333</c:v>
                </c:pt>
                <c:pt idx="11">
                  <c:v>5.8258064516129036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1-4EAB-A373-B014ED19B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662671"/>
        <c:axId val="1372642991"/>
      </c:lineChart>
      <c:catAx>
        <c:axId val="13726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42991"/>
        <c:crosses val="autoZero"/>
        <c:auto val="1"/>
        <c:lblAlgn val="ctr"/>
        <c:lblOffset val="100"/>
        <c:noMultiLvlLbl val="0"/>
      </c:catAx>
      <c:valAx>
        <c:axId val="13726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'HI2025'!$H$5:$H$10</c:f>
              <c:strCache>
                <c:ptCount val="6"/>
                <c:pt idx="0">
                  <c:v>Amazing Day</c:v>
                </c:pt>
                <c:pt idx="1">
                  <c:v>Great Day</c:v>
                </c:pt>
                <c:pt idx="2">
                  <c:v>Good Day</c:v>
                </c:pt>
                <c:pt idx="3">
                  <c:v>Eh Day</c:v>
                </c:pt>
                <c:pt idx="4">
                  <c:v>Bad Day</c:v>
                </c:pt>
                <c:pt idx="5">
                  <c:v>Terrible Day</c:v>
                </c:pt>
              </c:strCache>
            </c:strRef>
          </c:cat>
          <c:val>
            <c:numRef>
              <c:f>'HI2025'!$J$5:$J$10</c:f>
              <c:numCache>
                <c:formatCode>General</c:formatCode>
                <c:ptCount val="6"/>
                <c:pt idx="0">
                  <c:v>3</c:v>
                </c:pt>
                <c:pt idx="1">
                  <c:v>29</c:v>
                </c:pt>
                <c:pt idx="2">
                  <c:v>103</c:v>
                </c:pt>
                <c:pt idx="3">
                  <c:v>184</c:v>
                </c:pt>
                <c:pt idx="4">
                  <c:v>34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4-4E98-92B9-C9971656E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7705872"/>
        <c:axId val="1877699152"/>
      </c:barChart>
      <c:catAx>
        <c:axId val="18777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99152"/>
        <c:crosses val="autoZero"/>
        <c:auto val="1"/>
        <c:lblAlgn val="ctr"/>
        <c:lblOffset val="100"/>
        <c:noMultiLvlLbl val="0"/>
      </c:catAx>
      <c:valAx>
        <c:axId val="18776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'HI2025'!$AH$14:$AH$19</c:f>
              <c:strCache>
                <c:ptCount val="6"/>
                <c:pt idx="0">
                  <c:v>Amazing Day</c:v>
                </c:pt>
                <c:pt idx="1">
                  <c:v>Great Day</c:v>
                </c:pt>
                <c:pt idx="2">
                  <c:v>Good Day</c:v>
                </c:pt>
                <c:pt idx="3">
                  <c:v>Eh Day</c:v>
                </c:pt>
                <c:pt idx="4">
                  <c:v>Bad Day</c:v>
                </c:pt>
                <c:pt idx="5">
                  <c:v>Terrible Day</c:v>
                </c:pt>
              </c:strCache>
            </c:strRef>
          </c:cat>
          <c:val>
            <c:numRef>
              <c:f>'HI2025'!$AI$14:$AI$19</c:f>
              <c:numCache>
                <c:formatCode>General</c:formatCode>
                <c:ptCount val="6"/>
                <c:pt idx="0">
                  <c:v>13</c:v>
                </c:pt>
                <c:pt idx="1">
                  <c:v>33</c:v>
                </c:pt>
                <c:pt idx="2">
                  <c:v>158</c:v>
                </c:pt>
                <c:pt idx="3">
                  <c:v>127</c:v>
                </c:pt>
                <c:pt idx="4">
                  <c:v>26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2A2-AA76-C103E0DCF7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9534687"/>
        <c:axId val="259535167"/>
      </c:barChart>
      <c:catAx>
        <c:axId val="2595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35167"/>
        <c:crosses val="autoZero"/>
        <c:auto val="1"/>
        <c:lblAlgn val="ctr"/>
        <c:lblOffset val="100"/>
        <c:noMultiLvlLbl val="0"/>
      </c:catAx>
      <c:valAx>
        <c:axId val="2595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3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 with Previous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9237095363079619E-2"/>
          <c:y val="0.16708333333333336"/>
          <c:w val="0.85131430446194223"/>
          <c:h val="0.49241943715368913"/>
        </c:manualLayout>
      </c:layout>
      <c:lineChart>
        <c:grouping val="standard"/>
        <c:varyColors val="0"/>
        <c:ser>
          <c:idx val="0"/>
          <c:order val="0"/>
          <c:tx>
            <c:strRef>
              <c:f>'HI2025'!$AL$1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'HI2025'!$AK$2:$AK$366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'HI2025'!$AL$2:$AL$366</c:f>
              <c:numCache>
                <c:formatCode>General</c:formatCode>
                <c:ptCount val="365"/>
                <c:pt idx="0">
                  <c:v>2.5</c:v>
                </c:pt>
                <c:pt idx="1">
                  <c:v>2.8</c:v>
                </c:pt>
                <c:pt idx="2">
                  <c:v>4.8</c:v>
                </c:pt>
                <c:pt idx="3">
                  <c:v>8.1999999999999993</c:v>
                </c:pt>
                <c:pt idx="4">
                  <c:v>6.2</c:v>
                </c:pt>
                <c:pt idx="5">
                  <c:v>6.1</c:v>
                </c:pt>
                <c:pt idx="6">
                  <c:v>3.5</c:v>
                </c:pt>
                <c:pt idx="7">
                  <c:v>1.2</c:v>
                </c:pt>
                <c:pt idx="8">
                  <c:v>5.6</c:v>
                </c:pt>
                <c:pt idx="9">
                  <c:v>4.3</c:v>
                </c:pt>
                <c:pt idx="10">
                  <c:v>5.4</c:v>
                </c:pt>
                <c:pt idx="11">
                  <c:v>7.2</c:v>
                </c:pt>
                <c:pt idx="12">
                  <c:v>3.9</c:v>
                </c:pt>
                <c:pt idx="13">
                  <c:v>1.5</c:v>
                </c:pt>
                <c:pt idx="14">
                  <c:v>5.2</c:v>
                </c:pt>
                <c:pt idx="15">
                  <c:v>6.5</c:v>
                </c:pt>
                <c:pt idx="16">
                  <c:v>2.9</c:v>
                </c:pt>
                <c:pt idx="17">
                  <c:v>3.3</c:v>
                </c:pt>
                <c:pt idx="18">
                  <c:v>6.2</c:v>
                </c:pt>
                <c:pt idx="19">
                  <c:v>5</c:v>
                </c:pt>
                <c:pt idx="20">
                  <c:v>4.3</c:v>
                </c:pt>
                <c:pt idx="21">
                  <c:v>4.0999999999999996</c:v>
                </c:pt>
                <c:pt idx="22">
                  <c:v>1.2</c:v>
                </c:pt>
                <c:pt idx="23">
                  <c:v>6.2</c:v>
                </c:pt>
                <c:pt idx="24">
                  <c:v>8.1</c:v>
                </c:pt>
                <c:pt idx="25">
                  <c:v>6.8</c:v>
                </c:pt>
                <c:pt idx="26">
                  <c:v>5</c:v>
                </c:pt>
                <c:pt idx="27">
                  <c:v>5.8</c:v>
                </c:pt>
                <c:pt idx="28">
                  <c:v>5.3</c:v>
                </c:pt>
                <c:pt idx="29">
                  <c:v>7.4</c:v>
                </c:pt>
                <c:pt idx="30">
                  <c:v>8.5</c:v>
                </c:pt>
                <c:pt idx="31">
                  <c:v>4.8</c:v>
                </c:pt>
                <c:pt idx="32">
                  <c:v>4.5</c:v>
                </c:pt>
                <c:pt idx="33">
                  <c:v>5</c:v>
                </c:pt>
                <c:pt idx="34">
                  <c:v>2.2999999999999998</c:v>
                </c:pt>
                <c:pt idx="35">
                  <c:v>3.3</c:v>
                </c:pt>
                <c:pt idx="36">
                  <c:v>2</c:v>
                </c:pt>
                <c:pt idx="37">
                  <c:v>1.3</c:v>
                </c:pt>
                <c:pt idx="38">
                  <c:v>8.5</c:v>
                </c:pt>
                <c:pt idx="39">
                  <c:v>4.5</c:v>
                </c:pt>
                <c:pt idx="40">
                  <c:v>3.8</c:v>
                </c:pt>
                <c:pt idx="41">
                  <c:v>5.5</c:v>
                </c:pt>
                <c:pt idx="42">
                  <c:v>5.8</c:v>
                </c:pt>
                <c:pt idx="43">
                  <c:v>5.5</c:v>
                </c:pt>
                <c:pt idx="44">
                  <c:v>0</c:v>
                </c:pt>
                <c:pt idx="45">
                  <c:v>4.5</c:v>
                </c:pt>
                <c:pt idx="46">
                  <c:v>6.6</c:v>
                </c:pt>
                <c:pt idx="47">
                  <c:v>7.5</c:v>
                </c:pt>
                <c:pt idx="48">
                  <c:v>5</c:v>
                </c:pt>
                <c:pt idx="49">
                  <c:v>4.8</c:v>
                </c:pt>
                <c:pt idx="50">
                  <c:v>6.8</c:v>
                </c:pt>
                <c:pt idx="51">
                  <c:v>2.2000000000000002</c:v>
                </c:pt>
                <c:pt idx="52">
                  <c:v>5.5</c:v>
                </c:pt>
                <c:pt idx="53">
                  <c:v>4.5</c:v>
                </c:pt>
                <c:pt idx="54">
                  <c:v>6.5</c:v>
                </c:pt>
                <c:pt idx="55">
                  <c:v>4.5</c:v>
                </c:pt>
                <c:pt idx="56">
                  <c:v>7.5</c:v>
                </c:pt>
                <c:pt idx="57">
                  <c:v>5</c:v>
                </c:pt>
                <c:pt idx="58">
                  <c:v>5.5</c:v>
                </c:pt>
                <c:pt idx="59">
                  <c:v>6</c:v>
                </c:pt>
                <c:pt idx="60">
                  <c:v>6</c:v>
                </c:pt>
                <c:pt idx="61">
                  <c:v>8</c:v>
                </c:pt>
                <c:pt idx="62">
                  <c:v>6</c:v>
                </c:pt>
                <c:pt idx="63">
                  <c:v>4</c:v>
                </c:pt>
                <c:pt idx="64">
                  <c:v>4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4</c:v>
                </c:pt>
                <c:pt idx="70">
                  <c:v>6</c:v>
                </c:pt>
                <c:pt idx="71">
                  <c:v>6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6</c:v>
                </c:pt>
                <c:pt idx="77">
                  <c:v>2</c:v>
                </c:pt>
                <c:pt idx="78">
                  <c:v>8</c:v>
                </c:pt>
                <c:pt idx="79">
                  <c:v>6</c:v>
                </c:pt>
                <c:pt idx="80">
                  <c:v>8</c:v>
                </c:pt>
                <c:pt idx="81">
                  <c:v>6</c:v>
                </c:pt>
                <c:pt idx="82">
                  <c:v>2</c:v>
                </c:pt>
                <c:pt idx="83">
                  <c:v>8</c:v>
                </c:pt>
                <c:pt idx="84">
                  <c:v>6</c:v>
                </c:pt>
                <c:pt idx="85">
                  <c:v>4</c:v>
                </c:pt>
                <c:pt idx="86">
                  <c:v>6</c:v>
                </c:pt>
                <c:pt idx="87">
                  <c:v>4</c:v>
                </c:pt>
                <c:pt idx="88">
                  <c:v>6</c:v>
                </c:pt>
                <c:pt idx="89">
                  <c:v>6</c:v>
                </c:pt>
                <c:pt idx="90">
                  <c:v>4.8</c:v>
                </c:pt>
                <c:pt idx="91">
                  <c:v>4.2</c:v>
                </c:pt>
                <c:pt idx="92">
                  <c:v>4</c:v>
                </c:pt>
                <c:pt idx="93">
                  <c:v>0</c:v>
                </c:pt>
                <c:pt idx="94">
                  <c:v>0.5</c:v>
                </c:pt>
                <c:pt idx="95">
                  <c:v>5.2</c:v>
                </c:pt>
                <c:pt idx="96">
                  <c:v>6</c:v>
                </c:pt>
                <c:pt idx="97">
                  <c:v>4.8</c:v>
                </c:pt>
                <c:pt idx="98">
                  <c:v>1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6.5</c:v>
                </c:pt>
                <c:pt idx="103">
                  <c:v>7</c:v>
                </c:pt>
                <c:pt idx="104">
                  <c:v>6</c:v>
                </c:pt>
                <c:pt idx="105">
                  <c:v>5</c:v>
                </c:pt>
                <c:pt idx="106">
                  <c:v>7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5</c:v>
                </c:pt>
                <c:pt idx="111">
                  <c:v>3.5</c:v>
                </c:pt>
                <c:pt idx="112">
                  <c:v>2</c:v>
                </c:pt>
                <c:pt idx="113">
                  <c:v>5</c:v>
                </c:pt>
                <c:pt idx="114">
                  <c:v>7</c:v>
                </c:pt>
                <c:pt idx="115">
                  <c:v>4.8</c:v>
                </c:pt>
                <c:pt idx="116">
                  <c:v>5</c:v>
                </c:pt>
                <c:pt idx="117">
                  <c:v>7</c:v>
                </c:pt>
                <c:pt idx="118">
                  <c:v>9</c:v>
                </c:pt>
                <c:pt idx="119">
                  <c:v>8.3000000000000007</c:v>
                </c:pt>
                <c:pt idx="120">
                  <c:v>6.2</c:v>
                </c:pt>
                <c:pt idx="121">
                  <c:v>7.3</c:v>
                </c:pt>
                <c:pt idx="122">
                  <c:v>8</c:v>
                </c:pt>
                <c:pt idx="123">
                  <c:v>5.5</c:v>
                </c:pt>
                <c:pt idx="124">
                  <c:v>5.8</c:v>
                </c:pt>
                <c:pt idx="125">
                  <c:v>5.4</c:v>
                </c:pt>
                <c:pt idx="126">
                  <c:v>5.2</c:v>
                </c:pt>
                <c:pt idx="127">
                  <c:v>5.2</c:v>
                </c:pt>
                <c:pt idx="128">
                  <c:v>6</c:v>
                </c:pt>
                <c:pt idx="129">
                  <c:v>7</c:v>
                </c:pt>
                <c:pt idx="130">
                  <c:v>6.8</c:v>
                </c:pt>
                <c:pt idx="131">
                  <c:v>9</c:v>
                </c:pt>
                <c:pt idx="132">
                  <c:v>5.5</c:v>
                </c:pt>
                <c:pt idx="133">
                  <c:v>5.4</c:v>
                </c:pt>
                <c:pt idx="134">
                  <c:v>5.3</c:v>
                </c:pt>
                <c:pt idx="135">
                  <c:v>5.2</c:v>
                </c:pt>
                <c:pt idx="136">
                  <c:v>6.5</c:v>
                </c:pt>
                <c:pt idx="137">
                  <c:v>7</c:v>
                </c:pt>
                <c:pt idx="138">
                  <c:v>4.5</c:v>
                </c:pt>
                <c:pt idx="139">
                  <c:v>4.5</c:v>
                </c:pt>
                <c:pt idx="140">
                  <c:v>6</c:v>
                </c:pt>
                <c:pt idx="141">
                  <c:v>7</c:v>
                </c:pt>
                <c:pt idx="142">
                  <c:v>5</c:v>
                </c:pt>
                <c:pt idx="143">
                  <c:v>7</c:v>
                </c:pt>
                <c:pt idx="144">
                  <c:v>7</c:v>
                </c:pt>
                <c:pt idx="145">
                  <c:v>6.5</c:v>
                </c:pt>
                <c:pt idx="146">
                  <c:v>5.5</c:v>
                </c:pt>
                <c:pt idx="147">
                  <c:v>5</c:v>
                </c:pt>
                <c:pt idx="148">
                  <c:v>5</c:v>
                </c:pt>
                <c:pt idx="149">
                  <c:v>3.5</c:v>
                </c:pt>
                <c:pt idx="150">
                  <c:v>4</c:v>
                </c:pt>
                <c:pt idx="151">
                  <c:v>5</c:v>
                </c:pt>
                <c:pt idx="152">
                  <c:v>0</c:v>
                </c:pt>
                <c:pt idx="153">
                  <c:v>4</c:v>
                </c:pt>
                <c:pt idx="154">
                  <c:v>4</c:v>
                </c:pt>
                <c:pt idx="155">
                  <c:v>6</c:v>
                </c:pt>
                <c:pt idx="156">
                  <c:v>5</c:v>
                </c:pt>
                <c:pt idx="157">
                  <c:v>5.5</c:v>
                </c:pt>
                <c:pt idx="158">
                  <c:v>6</c:v>
                </c:pt>
                <c:pt idx="159">
                  <c:v>4</c:v>
                </c:pt>
                <c:pt idx="160">
                  <c:v>5</c:v>
                </c:pt>
                <c:pt idx="161">
                  <c:v>2</c:v>
                </c:pt>
                <c:pt idx="162">
                  <c:v>4</c:v>
                </c:pt>
                <c:pt idx="163">
                  <c:v>5</c:v>
                </c:pt>
                <c:pt idx="164">
                  <c:v>5</c:v>
                </c:pt>
                <c:pt idx="165">
                  <c:v>4.8</c:v>
                </c:pt>
                <c:pt idx="166">
                  <c:v>4</c:v>
                </c:pt>
                <c:pt idx="167">
                  <c:v>4</c:v>
                </c:pt>
                <c:pt idx="168">
                  <c:v>4.5</c:v>
                </c:pt>
                <c:pt idx="169">
                  <c:v>4.5</c:v>
                </c:pt>
                <c:pt idx="170">
                  <c:v>5</c:v>
                </c:pt>
                <c:pt idx="171">
                  <c:v>8.5</c:v>
                </c:pt>
                <c:pt idx="172">
                  <c:v>9</c:v>
                </c:pt>
                <c:pt idx="173">
                  <c:v>3.5</c:v>
                </c:pt>
                <c:pt idx="174">
                  <c:v>6</c:v>
                </c:pt>
                <c:pt idx="175">
                  <c:v>6</c:v>
                </c:pt>
                <c:pt idx="176">
                  <c:v>4.5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5</c:v>
                </c:pt>
                <c:pt idx="181">
                  <c:v>4</c:v>
                </c:pt>
                <c:pt idx="182">
                  <c:v>4.0999999999999996</c:v>
                </c:pt>
                <c:pt idx="183">
                  <c:v>4.2</c:v>
                </c:pt>
                <c:pt idx="184">
                  <c:v>8.8000000000000007</c:v>
                </c:pt>
                <c:pt idx="185">
                  <c:v>9</c:v>
                </c:pt>
                <c:pt idx="186">
                  <c:v>4.3</c:v>
                </c:pt>
                <c:pt idx="187">
                  <c:v>4.4000000000000004</c:v>
                </c:pt>
                <c:pt idx="188">
                  <c:v>5</c:v>
                </c:pt>
                <c:pt idx="189">
                  <c:v>1</c:v>
                </c:pt>
                <c:pt idx="190">
                  <c:v>6.5</c:v>
                </c:pt>
                <c:pt idx="191">
                  <c:v>9.1999999999999993</c:v>
                </c:pt>
                <c:pt idx="192">
                  <c:v>4.5</c:v>
                </c:pt>
                <c:pt idx="193">
                  <c:v>3</c:v>
                </c:pt>
                <c:pt idx="194">
                  <c:v>7.5</c:v>
                </c:pt>
                <c:pt idx="195">
                  <c:v>7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6</c:v>
                </c:pt>
                <c:pt idx="200">
                  <c:v>6</c:v>
                </c:pt>
                <c:pt idx="201">
                  <c:v>4</c:v>
                </c:pt>
                <c:pt idx="202">
                  <c:v>3.5</c:v>
                </c:pt>
                <c:pt idx="203">
                  <c:v>4</c:v>
                </c:pt>
                <c:pt idx="204">
                  <c:v>4.5</c:v>
                </c:pt>
                <c:pt idx="205">
                  <c:v>4.5999999999999996</c:v>
                </c:pt>
                <c:pt idx="206">
                  <c:v>8</c:v>
                </c:pt>
                <c:pt idx="207">
                  <c:v>7.5</c:v>
                </c:pt>
                <c:pt idx="208">
                  <c:v>4.5</c:v>
                </c:pt>
                <c:pt idx="209">
                  <c:v>5</c:v>
                </c:pt>
                <c:pt idx="210">
                  <c:v>3.5</c:v>
                </c:pt>
                <c:pt idx="211">
                  <c:v>10</c:v>
                </c:pt>
                <c:pt idx="212">
                  <c:v>7</c:v>
                </c:pt>
                <c:pt idx="213">
                  <c:v>4</c:v>
                </c:pt>
                <c:pt idx="214">
                  <c:v>2</c:v>
                </c:pt>
                <c:pt idx="215">
                  <c:v>4</c:v>
                </c:pt>
                <c:pt idx="216">
                  <c:v>3.9</c:v>
                </c:pt>
                <c:pt idx="217">
                  <c:v>4</c:v>
                </c:pt>
                <c:pt idx="218">
                  <c:v>5.5</c:v>
                </c:pt>
                <c:pt idx="219">
                  <c:v>6</c:v>
                </c:pt>
                <c:pt idx="220">
                  <c:v>5.8</c:v>
                </c:pt>
                <c:pt idx="221">
                  <c:v>4</c:v>
                </c:pt>
                <c:pt idx="222">
                  <c:v>5</c:v>
                </c:pt>
                <c:pt idx="223">
                  <c:v>5.5</c:v>
                </c:pt>
                <c:pt idx="224">
                  <c:v>7.5</c:v>
                </c:pt>
                <c:pt idx="225">
                  <c:v>5</c:v>
                </c:pt>
                <c:pt idx="226">
                  <c:v>5</c:v>
                </c:pt>
                <c:pt idx="227">
                  <c:v>6</c:v>
                </c:pt>
                <c:pt idx="228">
                  <c:v>7</c:v>
                </c:pt>
                <c:pt idx="229">
                  <c:v>4</c:v>
                </c:pt>
                <c:pt idx="230">
                  <c:v>2</c:v>
                </c:pt>
                <c:pt idx="231">
                  <c:v>4</c:v>
                </c:pt>
                <c:pt idx="232">
                  <c:v>4</c:v>
                </c:pt>
                <c:pt idx="233">
                  <c:v>5</c:v>
                </c:pt>
                <c:pt idx="234">
                  <c:v>7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6</c:v>
                </c:pt>
                <c:pt idx="241">
                  <c:v>6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4.5</c:v>
                </c:pt>
                <c:pt idx="246">
                  <c:v>5</c:v>
                </c:pt>
                <c:pt idx="247">
                  <c:v>6</c:v>
                </c:pt>
                <c:pt idx="248">
                  <c:v>7</c:v>
                </c:pt>
                <c:pt idx="249">
                  <c:v>7</c:v>
                </c:pt>
                <c:pt idx="250">
                  <c:v>6</c:v>
                </c:pt>
                <c:pt idx="251">
                  <c:v>3</c:v>
                </c:pt>
                <c:pt idx="252">
                  <c:v>5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3</c:v>
                </c:pt>
                <c:pt idx="257">
                  <c:v>8</c:v>
                </c:pt>
                <c:pt idx="258">
                  <c:v>6</c:v>
                </c:pt>
                <c:pt idx="259">
                  <c:v>10</c:v>
                </c:pt>
                <c:pt idx="260">
                  <c:v>6</c:v>
                </c:pt>
                <c:pt idx="261">
                  <c:v>8.1</c:v>
                </c:pt>
                <c:pt idx="262">
                  <c:v>8</c:v>
                </c:pt>
                <c:pt idx="263">
                  <c:v>7.5</c:v>
                </c:pt>
                <c:pt idx="264">
                  <c:v>6</c:v>
                </c:pt>
                <c:pt idx="265">
                  <c:v>5.5</c:v>
                </c:pt>
                <c:pt idx="266">
                  <c:v>5.3</c:v>
                </c:pt>
                <c:pt idx="267">
                  <c:v>3.5</c:v>
                </c:pt>
                <c:pt idx="268">
                  <c:v>4.5</c:v>
                </c:pt>
                <c:pt idx="269">
                  <c:v>6.8</c:v>
                </c:pt>
                <c:pt idx="270">
                  <c:v>7.8</c:v>
                </c:pt>
                <c:pt idx="271">
                  <c:v>6</c:v>
                </c:pt>
                <c:pt idx="272">
                  <c:v>7</c:v>
                </c:pt>
                <c:pt idx="273">
                  <c:v>5.6</c:v>
                </c:pt>
                <c:pt idx="274">
                  <c:v>6.4</c:v>
                </c:pt>
                <c:pt idx="275">
                  <c:v>5</c:v>
                </c:pt>
                <c:pt idx="276">
                  <c:v>8</c:v>
                </c:pt>
                <c:pt idx="277">
                  <c:v>6.5</c:v>
                </c:pt>
                <c:pt idx="278">
                  <c:v>4.5</c:v>
                </c:pt>
                <c:pt idx="279">
                  <c:v>4</c:v>
                </c:pt>
                <c:pt idx="280">
                  <c:v>4.5</c:v>
                </c:pt>
                <c:pt idx="281">
                  <c:v>4.5</c:v>
                </c:pt>
                <c:pt idx="282">
                  <c:v>4.5</c:v>
                </c:pt>
                <c:pt idx="283">
                  <c:v>6</c:v>
                </c:pt>
                <c:pt idx="284">
                  <c:v>3.5</c:v>
                </c:pt>
                <c:pt idx="285">
                  <c:v>8</c:v>
                </c:pt>
                <c:pt idx="286">
                  <c:v>7</c:v>
                </c:pt>
                <c:pt idx="287">
                  <c:v>6</c:v>
                </c:pt>
                <c:pt idx="288">
                  <c:v>7</c:v>
                </c:pt>
                <c:pt idx="289">
                  <c:v>5.5</c:v>
                </c:pt>
                <c:pt idx="290">
                  <c:v>7</c:v>
                </c:pt>
                <c:pt idx="291">
                  <c:v>7</c:v>
                </c:pt>
                <c:pt idx="292">
                  <c:v>4</c:v>
                </c:pt>
                <c:pt idx="293">
                  <c:v>6</c:v>
                </c:pt>
                <c:pt idx="294">
                  <c:v>6</c:v>
                </c:pt>
                <c:pt idx="295">
                  <c:v>3</c:v>
                </c:pt>
                <c:pt idx="296">
                  <c:v>8.3000000000000007</c:v>
                </c:pt>
                <c:pt idx="297">
                  <c:v>5.7</c:v>
                </c:pt>
                <c:pt idx="298">
                  <c:v>4</c:v>
                </c:pt>
                <c:pt idx="299">
                  <c:v>4.5</c:v>
                </c:pt>
                <c:pt idx="300">
                  <c:v>7</c:v>
                </c:pt>
                <c:pt idx="301">
                  <c:v>4.5</c:v>
                </c:pt>
                <c:pt idx="302">
                  <c:v>5</c:v>
                </c:pt>
                <c:pt idx="303">
                  <c:v>6</c:v>
                </c:pt>
                <c:pt idx="304">
                  <c:v>4.8</c:v>
                </c:pt>
                <c:pt idx="305">
                  <c:v>4.5</c:v>
                </c:pt>
                <c:pt idx="306">
                  <c:v>0.5</c:v>
                </c:pt>
                <c:pt idx="307">
                  <c:v>6</c:v>
                </c:pt>
                <c:pt idx="308">
                  <c:v>5</c:v>
                </c:pt>
                <c:pt idx="309">
                  <c:v>6</c:v>
                </c:pt>
                <c:pt idx="310">
                  <c:v>5.8</c:v>
                </c:pt>
                <c:pt idx="311">
                  <c:v>6</c:v>
                </c:pt>
                <c:pt idx="312">
                  <c:v>5.5</c:v>
                </c:pt>
                <c:pt idx="313">
                  <c:v>5.6</c:v>
                </c:pt>
                <c:pt idx="314">
                  <c:v>5</c:v>
                </c:pt>
                <c:pt idx="315">
                  <c:v>6.5</c:v>
                </c:pt>
                <c:pt idx="316">
                  <c:v>5.5</c:v>
                </c:pt>
                <c:pt idx="317">
                  <c:v>7.5</c:v>
                </c:pt>
                <c:pt idx="318">
                  <c:v>9</c:v>
                </c:pt>
                <c:pt idx="319">
                  <c:v>6.8</c:v>
                </c:pt>
                <c:pt idx="320">
                  <c:v>7</c:v>
                </c:pt>
                <c:pt idx="321">
                  <c:v>6</c:v>
                </c:pt>
                <c:pt idx="322">
                  <c:v>6</c:v>
                </c:pt>
                <c:pt idx="323">
                  <c:v>5.6</c:v>
                </c:pt>
                <c:pt idx="324">
                  <c:v>5.5</c:v>
                </c:pt>
                <c:pt idx="325">
                  <c:v>5</c:v>
                </c:pt>
                <c:pt idx="326">
                  <c:v>8</c:v>
                </c:pt>
                <c:pt idx="327">
                  <c:v>7.5</c:v>
                </c:pt>
                <c:pt idx="328">
                  <c:v>10</c:v>
                </c:pt>
                <c:pt idx="329">
                  <c:v>9.9</c:v>
                </c:pt>
                <c:pt idx="330">
                  <c:v>4.7</c:v>
                </c:pt>
                <c:pt idx="331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4-45B7-B4AF-E61BA9F7C6A4}"/>
            </c:ext>
          </c:extLst>
        </c:ser>
        <c:ser>
          <c:idx val="1"/>
          <c:order val="1"/>
          <c:tx>
            <c:strRef>
              <c:f>'HI2025'!$AM$1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 cmpd="sng" algn="ctr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'HI2025'!$AK$2:$AK$366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'HI2025'!$AM$2:$AM$366</c:f>
              <c:numCache>
                <c:formatCode>General</c:formatCode>
                <c:ptCount val="365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0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6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4</c:v>
                </c:pt>
                <c:pt idx="35">
                  <c:v>2</c:v>
                </c:pt>
                <c:pt idx="36">
                  <c:v>6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10</c:v>
                </c:pt>
                <c:pt idx="45">
                  <c:v>6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6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4.8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6.5</c:v>
                </c:pt>
                <c:pt idx="65">
                  <c:v>6</c:v>
                </c:pt>
                <c:pt idx="66">
                  <c:v>6.1</c:v>
                </c:pt>
                <c:pt idx="67">
                  <c:v>8</c:v>
                </c:pt>
                <c:pt idx="68">
                  <c:v>4.5</c:v>
                </c:pt>
                <c:pt idx="69">
                  <c:v>7</c:v>
                </c:pt>
                <c:pt idx="70">
                  <c:v>4.8</c:v>
                </c:pt>
                <c:pt idx="71">
                  <c:v>5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4.2</c:v>
                </c:pt>
                <c:pt idx="76">
                  <c:v>5.5</c:v>
                </c:pt>
                <c:pt idx="77">
                  <c:v>3</c:v>
                </c:pt>
                <c:pt idx="78">
                  <c:v>5</c:v>
                </c:pt>
                <c:pt idx="79">
                  <c:v>5</c:v>
                </c:pt>
                <c:pt idx="80">
                  <c:v>7.5</c:v>
                </c:pt>
                <c:pt idx="81">
                  <c:v>7</c:v>
                </c:pt>
                <c:pt idx="82">
                  <c:v>4.5</c:v>
                </c:pt>
                <c:pt idx="83">
                  <c:v>5.5</c:v>
                </c:pt>
                <c:pt idx="84">
                  <c:v>6</c:v>
                </c:pt>
                <c:pt idx="85">
                  <c:v>5.2</c:v>
                </c:pt>
                <c:pt idx="86">
                  <c:v>4.5</c:v>
                </c:pt>
                <c:pt idx="87">
                  <c:v>4</c:v>
                </c:pt>
                <c:pt idx="88">
                  <c:v>6.5</c:v>
                </c:pt>
                <c:pt idx="89">
                  <c:v>5.5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0</c:v>
                </c:pt>
                <c:pt idx="95">
                  <c:v>2</c:v>
                </c:pt>
                <c:pt idx="96">
                  <c:v>4</c:v>
                </c:pt>
                <c:pt idx="97">
                  <c:v>4</c:v>
                </c:pt>
                <c:pt idx="98">
                  <c:v>6</c:v>
                </c:pt>
                <c:pt idx="99">
                  <c:v>2</c:v>
                </c:pt>
                <c:pt idx="100">
                  <c:v>0</c:v>
                </c:pt>
                <c:pt idx="101">
                  <c:v>6</c:v>
                </c:pt>
                <c:pt idx="102">
                  <c:v>6</c:v>
                </c:pt>
                <c:pt idx="103">
                  <c:v>4</c:v>
                </c:pt>
                <c:pt idx="104">
                  <c:v>6</c:v>
                </c:pt>
                <c:pt idx="105">
                  <c:v>4</c:v>
                </c:pt>
                <c:pt idx="106">
                  <c:v>8</c:v>
                </c:pt>
                <c:pt idx="107">
                  <c:v>6</c:v>
                </c:pt>
                <c:pt idx="108">
                  <c:v>6</c:v>
                </c:pt>
                <c:pt idx="109">
                  <c:v>4</c:v>
                </c:pt>
                <c:pt idx="110">
                  <c:v>6</c:v>
                </c:pt>
                <c:pt idx="111">
                  <c:v>6</c:v>
                </c:pt>
                <c:pt idx="112">
                  <c:v>4</c:v>
                </c:pt>
                <c:pt idx="113">
                  <c:v>6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6</c:v>
                </c:pt>
                <c:pt idx="119">
                  <c:v>6</c:v>
                </c:pt>
                <c:pt idx="120">
                  <c:v>8</c:v>
                </c:pt>
                <c:pt idx="121">
                  <c:v>6</c:v>
                </c:pt>
                <c:pt idx="122">
                  <c:v>6</c:v>
                </c:pt>
                <c:pt idx="123">
                  <c:v>10</c:v>
                </c:pt>
                <c:pt idx="124">
                  <c:v>6</c:v>
                </c:pt>
                <c:pt idx="125">
                  <c:v>4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8</c:v>
                </c:pt>
                <c:pt idx="130">
                  <c:v>8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4</c:v>
                </c:pt>
                <c:pt idx="136">
                  <c:v>4</c:v>
                </c:pt>
                <c:pt idx="137">
                  <c:v>6</c:v>
                </c:pt>
                <c:pt idx="138">
                  <c:v>4</c:v>
                </c:pt>
                <c:pt idx="139">
                  <c:v>4</c:v>
                </c:pt>
                <c:pt idx="140">
                  <c:v>6</c:v>
                </c:pt>
                <c:pt idx="141">
                  <c:v>6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6</c:v>
                </c:pt>
                <c:pt idx="146">
                  <c:v>4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4</c:v>
                </c:pt>
                <c:pt idx="154">
                  <c:v>8</c:v>
                </c:pt>
                <c:pt idx="155">
                  <c:v>10</c:v>
                </c:pt>
                <c:pt idx="156">
                  <c:v>6</c:v>
                </c:pt>
                <c:pt idx="157">
                  <c:v>4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0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10</c:v>
                </c:pt>
                <c:pt idx="170">
                  <c:v>2</c:v>
                </c:pt>
                <c:pt idx="171">
                  <c:v>2</c:v>
                </c:pt>
                <c:pt idx="172">
                  <c:v>4</c:v>
                </c:pt>
                <c:pt idx="173">
                  <c:v>4</c:v>
                </c:pt>
                <c:pt idx="174">
                  <c:v>6</c:v>
                </c:pt>
                <c:pt idx="175">
                  <c:v>4</c:v>
                </c:pt>
                <c:pt idx="176">
                  <c:v>4</c:v>
                </c:pt>
                <c:pt idx="177">
                  <c:v>6</c:v>
                </c:pt>
                <c:pt idx="178">
                  <c:v>10</c:v>
                </c:pt>
                <c:pt idx="179">
                  <c:v>8</c:v>
                </c:pt>
                <c:pt idx="180">
                  <c:v>6</c:v>
                </c:pt>
                <c:pt idx="181">
                  <c:v>6</c:v>
                </c:pt>
                <c:pt idx="182">
                  <c:v>4</c:v>
                </c:pt>
                <c:pt idx="183">
                  <c:v>2</c:v>
                </c:pt>
                <c:pt idx="184">
                  <c:v>4</c:v>
                </c:pt>
                <c:pt idx="185">
                  <c:v>4</c:v>
                </c:pt>
                <c:pt idx="186">
                  <c:v>10</c:v>
                </c:pt>
                <c:pt idx="187">
                  <c:v>6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6</c:v>
                </c:pt>
                <c:pt idx="192">
                  <c:v>4</c:v>
                </c:pt>
                <c:pt idx="193">
                  <c:v>10</c:v>
                </c:pt>
                <c:pt idx="194">
                  <c:v>6</c:v>
                </c:pt>
                <c:pt idx="195">
                  <c:v>4</c:v>
                </c:pt>
                <c:pt idx="196">
                  <c:v>4</c:v>
                </c:pt>
                <c:pt idx="197">
                  <c:v>6</c:v>
                </c:pt>
                <c:pt idx="198">
                  <c:v>4</c:v>
                </c:pt>
                <c:pt idx="199">
                  <c:v>2</c:v>
                </c:pt>
                <c:pt idx="200">
                  <c:v>8</c:v>
                </c:pt>
                <c:pt idx="201">
                  <c:v>6</c:v>
                </c:pt>
                <c:pt idx="202">
                  <c:v>4</c:v>
                </c:pt>
                <c:pt idx="203">
                  <c:v>4</c:v>
                </c:pt>
                <c:pt idx="204">
                  <c:v>2</c:v>
                </c:pt>
                <c:pt idx="205">
                  <c:v>4</c:v>
                </c:pt>
                <c:pt idx="206">
                  <c:v>4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8</c:v>
                </c:pt>
                <c:pt idx="216">
                  <c:v>4</c:v>
                </c:pt>
                <c:pt idx="217">
                  <c:v>4</c:v>
                </c:pt>
                <c:pt idx="218">
                  <c:v>6</c:v>
                </c:pt>
                <c:pt idx="219">
                  <c:v>4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4</c:v>
                </c:pt>
                <c:pt idx="225">
                  <c:v>2</c:v>
                </c:pt>
                <c:pt idx="226">
                  <c:v>2</c:v>
                </c:pt>
                <c:pt idx="227">
                  <c:v>4</c:v>
                </c:pt>
                <c:pt idx="228">
                  <c:v>6</c:v>
                </c:pt>
                <c:pt idx="229">
                  <c:v>8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6</c:v>
                </c:pt>
                <c:pt idx="235">
                  <c:v>4</c:v>
                </c:pt>
                <c:pt idx="236">
                  <c:v>4</c:v>
                </c:pt>
                <c:pt idx="237">
                  <c:v>6</c:v>
                </c:pt>
                <c:pt idx="238">
                  <c:v>2</c:v>
                </c:pt>
                <c:pt idx="239">
                  <c:v>6</c:v>
                </c:pt>
                <c:pt idx="240">
                  <c:v>6</c:v>
                </c:pt>
                <c:pt idx="241">
                  <c:v>4</c:v>
                </c:pt>
                <c:pt idx="242">
                  <c:v>6</c:v>
                </c:pt>
                <c:pt idx="243">
                  <c:v>4</c:v>
                </c:pt>
                <c:pt idx="244">
                  <c:v>4</c:v>
                </c:pt>
                <c:pt idx="245">
                  <c:v>6</c:v>
                </c:pt>
                <c:pt idx="246">
                  <c:v>4</c:v>
                </c:pt>
                <c:pt idx="247">
                  <c:v>6</c:v>
                </c:pt>
                <c:pt idx="248">
                  <c:v>4</c:v>
                </c:pt>
                <c:pt idx="249">
                  <c:v>4</c:v>
                </c:pt>
                <c:pt idx="250">
                  <c:v>6</c:v>
                </c:pt>
                <c:pt idx="251">
                  <c:v>4</c:v>
                </c:pt>
                <c:pt idx="252">
                  <c:v>4</c:v>
                </c:pt>
                <c:pt idx="253">
                  <c:v>6</c:v>
                </c:pt>
                <c:pt idx="254">
                  <c:v>6</c:v>
                </c:pt>
                <c:pt idx="255">
                  <c:v>10</c:v>
                </c:pt>
                <c:pt idx="256">
                  <c:v>8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2</c:v>
                </c:pt>
                <c:pt idx="261">
                  <c:v>4</c:v>
                </c:pt>
                <c:pt idx="262">
                  <c:v>4</c:v>
                </c:pt>
                <c:pt idx="263">
                  <c:v>6</c:v>
                </c:pt>
                <c:pt idx="264">
                  <c:v>6</c:v>
                </c:pt>
                <c:pt idx="265">
                  <c:v>4</c:v>
                </c:pt>
                <c:pt idx="266">
                  <c:v>2</c:v>
                </c:pt>
                <c:pt idx="267">
                  <c:v>6</c:v>
                </c:pt>
                <c:pt idx="268">
                  <c:v>8</c:v>
                </c:pt>
                <c:pt idx="269">
                  <c:v>4</c:v>
                </c:pt>
                <c:pt idx="270">
                  <c:v>6</c:v>
                </c:pt>
                <c:pt idx="271">
                  <c:v>8</c:v>
                </c:pt>
                <c:pt idx="272">
                  <c:v>6</c:v>
                </c:pt>
                <c:pt idx="273">
                  <c:v>4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2</c:v>
                </c:pt>
                <c:pt idx="278">
                  <c:v>4</c:v>
                </c:pt>
                <c:pt idx="279">
                  <c:v>0</c:v>
                </c:pt>
                <c:pt idx="280">
                  <c:v>2</c:v>
                </c:pt>
                <c:pt idx="281">
                  <c:v>6</c:v>
                </c:pt>
                <c:pt idx="282">
                  <c:v>6</c:v>
                </c:pt>
                <c:pt idx="283">
                  <c:v>8</c:v>
                </c:pt>
                <c:pt idx="284">
                  <c:v>8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4</c:v>
                </c:pt>
                <c:pt idx="289">
                  <c:v>6</c:v>
                </c:pt>
                <c:pt idx="290">
                  <c:v>8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4</c:v>
                </c:pt>
                <c:pt idx="296">
                  <c:v>4</c:v>
                </c:pt>
                <c:pt idx="297">
                  <c:v>6</c:v>
                </c:pt>
                <c:pt idx="298">
                  <c:v>6</c:v>
                </c:pt>
                <c:pt idx="299">
                  <c:v>4</c:v>
                </c:pt>
                <c:pt idx="300">
                  <c:v>6</c:v>
                </c:pt>
                <c:pt idx="301">
                  <c:v>8</c:v>
                </c:pt>
                <c:pt idx="302">
                  <c:v>8</c:v>
                </c:pt>
                <c:pt idx="303">
                  <c:v>10</c:v>
                </c:pt>
                <c:pt idx="304">
                  <c:v>6</c:v>
                </c:pt>
                <c:pt idx="305">
                  <c:v>2</c:v>
                </c:pt>
                <c:pt idx="306">
                  <c:v>0</c:v>
                </c:pt>
                <c:pt idx="307">
                  <c:v>4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8</c:v>
                </c:pt>
                <c:pt idx="312">
                  <c:v>6</c:v>
                </c:pt>
                <c:pt idx="313">
                  <c:v>8</c:v>
                </c:pt>
                <c:pt idx="314">
                  <c:v>8</c:v>
                </c:pt>
                <c:pt idx="315">
                  <c:v>2</c:v>
                </c:pt>
                <c:pt idx="316">
                  <c:v>6</c:v>
                </c:pt>
                <c:pt idx="317">
                  <c:v>8</c:v>
                </c:pt>
                <c:pt idx="318">
                  <c:v>8</c:v>
                </c:pt>
                <c:pt idx="319">
                  <c:v>6</c:v>
                </c:pt>
                <c:pt idx="320">
                  <c:v>6</c:v>
                </c:pt>
                <c:pt idx="321">
                  <c:v>4</c:v>
                </c:pt>
                <c:pt idx="322">
                  <c:v>8</c:v>
                </c:pt>
                <c:pt idx="323">
                  <c:v>6</c:v>
                </c:pt>
                <c:pt idx="324">
                  <c:v>4</c:v>
                </c:pt>
                <c:pt idx="325">
                  <c:v>4</c:v>
                </c:pt>
                <c:pt idx="326">
                  <c:v>6</c:v>
                </c:pt>
                <c:pt idx="327">
                  <c:v>8</c:v>
                </c:pt>
                <c:pt idx="328">
                  <c:v>4</c:v>
                </c:pt>
                <c:pt idx="329">
                  <c:v>6</c:v>
                </c:pt>
                <c:pt idx="330">
                  <c:v>6</c:v>
                </c:pt>
                <c:pt idx="331">
                  <c:v>2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4</c:v>
                </c:pt>
                <c:pt idx="336">
                  <c:v>4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6</c:v>
                </c:pt>
                <c:pt idx="346">
                  <c:v>4</c:v>
                </c:pt>
                <c:pt idx="347">
                  <c:v>6</c:v>
                </c:pt>
                <c:pt idx="348">
                  <c:v>4</c:v>
                </c:pt>
                <c:pt idx="349">
                  <c:v>4</c:v>
                </c:pt>
                <c:pt idx="350">
                  <c:v>2</c:v>
                </c:pt>
                <c:pt idx="351">
                  <c:v>4</c:v>
                </c:pt>
                <c:pt idx="352">
                  <c:v>2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10</c:v>
                </c:pt>
                <c:pt idx="358">
                  <c:v>6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6</c:v>
                </c:pt>
                <c:pt idx="363">
                  <c:v>4</c:v>
                </c:pt>
                <c:pt idx="36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4-45B7-B4AF-E61BA9F7C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4058543"/>
        <c:axId val="174059023"/>
      </c:lineChart>
      <c:dateAx>
        <c:axId val="1740585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9023"/>
        <c:crosses val="autoZero"/>
        <c:auto val="1"/>
        <c:lblOffset val="100"/>
        <c:baseTimeUnit val="days"/>
      </c:dateAx>
      <c:valAx>
        <c:axId val="17405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854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Happiness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'HI2025'!$A$2:$A$366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'HI2025'!$B$2:$B$366</c:f>
              <c:numCache>
                <c:formatCode>General</c:formatCode>
                <c:ptCount val="365"/>
                <c:pt idx="0">
                  <c:v>2.5</c:v>
                </c:pt>
                <c:pt idx="1">
                  <c:v>2.8</c:v>
                </c:pt>
                <c:pt idx="2">
                  <c:v>4.8</c:v>
                </c:pt>
                <c:pt idx="3">
                  <c:v>8.1999999999999993</c:v>
                </c:pt>
                <c:pt idx="4">
                  <c:v>6.2</c:v>
                </c:pt>
                <c:pt idx="5">
                  <c:v>6.1</c:v>
                </c:pt>
                <c:pt idx="6">
                  <c:v>3.5</c:v>
                </c:pt>
                <c:pt idx="7">
                  <c:v>1.2</c:v>
                </c:pt>
                <c:pt idx="8">
                  <c:v>5.6</c:v>
                </c:pt>
                <c:pt idx="9">
                  <c:v>4.3</c:v>
                </c:pt>
                <c:pt idx="10">
                  <c:v>5.4</c:v>
                </c:pt>
                <c:pt idx="11">
                  <c:v>7.2</c:v>
                </c:pt>
                <c:pt idx="12">
                  <c:v>3.9</c:v>
                </c:pt>
                <c:pt idx="13">
                  <c:v>1.5</c:v>
                </c:pt>
                <c:pt idx="14">
                  <c:v>5.2</c:v>
                </c:pt>
                <c:pt idx="15">
                  <c:v>6.5</c:v>
                </c:pt>
                <c:pt idx="16">
                  <c:v>2.9</c:v>
                </c:pt>
                <c:pt idx="17">
                  <c:v>3.3</c:v>
                </c:pt>
                <c:pt idx="18">
                  <c:v>6.2</c:v>
                </c:pt>
                <c:pt idx="19">
                  <c:v>5</c:v>
                </c:pt>
                <c:pt idx="20">
                  <c:v>4.3</c:v>
                </c:pt>
                <c:pt idx="21">
                  <c:v>4.0999999999999996</c:v>
                </c:pt>
                <c:pt idx="22">
                  <c:v>1.2</c:v>
                </c:pt>
                <c:pt idx="23">
                  <c:v>6.2</c:v>
                </c:pt>
                <c:pt idx="24">
                  <c:v>8.1</c:v>
                </c:pt>
                <c:pt idx="25">
                  <c:v>6.8</c:v>
                </c:pt>
                <c:pt idx="26">
                  <c:v>5</c:v>
                </c:pt>
                <c:pt idx="27">
                  <c:v>5.8</c:v>
                </c:pt>
                <c:pt idx="28">
                  <c:v>5.3</c:v>
                </c:pt>
                <c:pt idx="29">
                  <c:v>7.4</c:v>
                </c:pt>
                <c:pt idx="30">
                  <c:v>8.5</c:v>
                </c:pt>
                <c:pt idx="31">
                  <c:v>4.8</c:v>
                </c:pt>
                <c:pt idx="32">
                  <c:v>4.5</c:v>
                </c:pt>
                <c:pt idx="33">
                  <c:v>5</c:v>
                </c:pt>
                <c:pt idx="34">
                  <c:v>2.2999999999999998</c:v>
                </c:pt>
                <c:pt idx="35">
                  <c:v>3.3</c:v>
                </c:pt>
                <c:pt idx="36">
                  <c:v>2</c:v>
                </c:pt>
                <c:pt idx="37">
                  <c:v>1.3</c:v>
                </c:pt>
                <c:pt idx="38">
                  <c:v>8.5</c:v>
                </c:pt>
                <c:pt idx="39">
                  <c:v>4.5</c:v>
                </c:pt>
                <c:pt idx="40">
                  <c:v>3.8</c:v>
                </c:pt>
                <c:pt idx="41">
                  <c:v>5.5</c:v>
                </c:pt>
                <c:pt idx="42">
                  <c:v>5.8</c:v>
                </c:pt>
                <c:pt idx="43">
                  <c:v>5.5</c:v>
                </c:pt>
                <c:pt idx="44">
                  <c:v>0</c:v>
                </c:pt>
                <c:pt idx="45">
                  <c:v>4.5</c:v>
                </c:pt>
                <c:pt idx="46">
                  <c:v>6.6</c:v>
                </c:pt>
                <c:pt idx="47">
                  <c:v>7.5</c:v>
                </c:pt>
                <c:pt idx="48">
                  <c:v>5</c:v>
                </c:pt>
                <c:pt idx="49">
                  <c:v>4.8</c:v>
                </c:pt>
                <c:pt idx="50">
                  <c:v>6.8</c:v>
                </c:pt>
                <c:pt idx="51">
                  <c:v>2.2000000000000002</c:v>
                </c:pt>
                <c:pt idx="52">
                  <c:v>5.5</c:v>
                </c:pt>
                <c:pt idx="53">
                  <c:v>4.5</c:v>
                </c:pt>
                <c:pt idx="54">
                  <c:v>6.5</c:v>
                </c:pt>
                <c:pt idx="55">
                  <c:v>4.5</c:v>
                </c:pt>
                <c:pt idx="56">
                  <c:v>7.5</c:v>
                </c:pt>
                <c:pt idx="57">
                  <c:v>5</c:v>
                </c:pt>
                <c:pt idx="58">
                  <c:v>5.5</c:v>
                </c:pt>
                <c:pt idx="59">
                  <c:v>5</c:v>
                </c:pt>
                <c:pt idx="60">
                  <c:v>4.8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6.5</c:v>
                </c:pt>
                <c:pt idx="65">
                  <c:v>6</c:v>
                </c:pt>
                <c:pt idx="66">
                  <c:v>6.1</c:v>
                </c:pt>
                <c:pt idx="67">
                  <c:v>8</c:v>
                </c:pt>
                <c:pt idx="68">
                  <c:v>4.5</c:v>
                </c:pt>
                <c:pt idx="69">
                  <c:v>7</c:v>
                </c:pt>
                <c:pt idx="70">
                  <c:v>4.8</c:v>
                </c:pt>
                <c:pt idx="71">
                  <c:v>5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4.2</c:v>
                </c:pt>
                <c:pt idx="76">
                  <c:v>5.5</c:v>
                </c:pt>
                <c:pt idx="77">
                  <c:v>3</c:v>
                </c:pt>
                <c:pt idx="78">
                  <c:v>5</c:v>
                </c:pt>
                <c:pt idx="79">
                  <c:v>5</c:v>
                </c:pt>
                <c:pt idx="80">
                  <c:v>7.5</c:v>
                </c:pt>
                <c:pt idx="81">
                  <c:v>7</c:v>
                </c:pt>
                <c:pt idx="82">
                  <c:v>4</c:v>
                </c:pt>
                <c:pt idx="83">
                  <c:v>5.5</c:v>
                </c:pt>
                <c:pt idx="84">
                  <c:v>6</c:v>
                </c:pt>
                <c:pt idx="85">
                  <c:v>5.2</c:v>
                </c:pt>
                <c:pt idx="86">
                  <c:v>4.5</c:v>
                </c:pt>
                <c:pt idx="87">
                  <c:v>4</c:v>
                </c:pt>
                <c:pt idx="88">
                  <c:v>6.5</c:v>
                </c:pt>
                <c:pt idx="89">
                  <c:v>5.5</c:v>
                </c:pt>
                <c:pt idx="90">
                  <c:v>4.8</c:v>
                </c:pt>
                <c:pt idx="91">
                  <c:v>4.2</c:v>
                </c:pt>
                <c:pt idx="92">
                  <c:v>4</c:v>
                </c:pt>
                <c:pt idx="93">
                  <c:v>0</c:v>
                </c:pt>
                <c:pt idx="94">
                  <c:v>0.5</c:v>
                </c:pt>
                <c:pt idx="95">
                  <c:v>5.2</c:v>
                </c:pt>
                <c:pt idx="96">
                  <c:v>6</c:v>
                </c:pt>
                <c:pt idx="97">
                  <c:v>4.8</c:v>
                </c:pt>
                <c:pt idx="98">
                  <c:v>1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6.5</c:v>
                </c:pt>
                <c:pt idx="103">
                  <c:v>7</c:v>
                </c:pt>
                <c:pt idx="104">
                  <c:v>6</c:v>
                </c:pt>
                <c:pt idx="105">
                  <c:v>5</c:v>
                </c:pt>
                <c:pt idx="106">
                  <c:v>7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5</c:v>
                </c:pt>
                <c:pt idx="111">
                  <c:v>3.5</c:v>
                </c:pt>
                <c:pt idx="112">
                  <c:v>2</c:v>
                </c:pt>
                <c:pt idx="113">
                  <c:v>5</c:v>
                </c:pt>
                <c:pt idx="114">
                  <c:v>7</c:v>
                </c:pt>
                <c:pt idx="115">
                  <c:v>4.8</c:v>
                </c:pt>
                <c:pt idx="116">
                  <c:v>5</c:v>
                </c:pt>
                <c:pt idx="117">
                  <c:v>7</c:v>
                </c:pt>
                <c:pt idx="118">
                  <c:v>9</c:v>
                </c:pt>
                <c:pt idx="119">
                  <c:v>8.3000000000000007</c:v>
                </c:pt>
                <c:pt idx="120">
                  <c:v>6.2</c:v>
                </c:pt>
                <c:pt idx="121">
                  <c:v>7.3</c:v>
                </c:pt>
                <c:pt idx="122">
                  <c:v>8</c:v>
                </c:pt>
                <c:pt idx="123">
                  <c:v>5.5</c:v>
                </c:pt>
                <c:pt idx="124">
                  <c:v>5.8</c:v>
                </c:pt>
                <c:pt idx="125">
                  <c:v>5.4</c:v>
                </c:pt>
                <c:pt idx="126">
                  <c:v>5.2</c:v>
                </c:pt>
                <c:pt idx="127">
                  <c:v>5.2</c:v>
                </c:pt>
                <c:pt idx="128">
                  <c:v>6</c:v>
                </c:pt>
                <c:pt idx="129">
                  <c:v>7</c:v>
                </c:pt>
                <c:pt idx="130">
                  <c:v>6.8</c:v>
                </c:pt>
                <c:pt idx="131">
                  <c:v>9</c:v>
                </c:pt>
                <c:pt idx="132">
                  <c:v>5.5</c:v>
                </c:pt>
                <c:pt idx="133">
                  <c:v>5.4</c:v>
                </c:pt>
                <c:pt idx="134">
                  <c:v>5.3</c:v>
                </c:pt>
                <c:pt idx="135">
                  <c:v>5.2</c:v>
                </c:pt>
                <c:pt idx="136">
                  <c:v>6.5</c:v>
                </c:pt>
                <c:pt idx="137">
                  <c:v>7</c:v>
                </c:pt>
                <c:pt idx="138">
                  <c:v>4.5</c:v>
                </c:pt>
                <c:pt idx="139">
                  <c:v>4.5</c:v>
                </c:pt>
                <c:pt idx="140">
                  <c:v>6</c:v>
                </c:pt>
                <c:pt idx="141">
                  <c:v>7</c:v>
                </c:pt>
                <c:pt idx="142">
                  <c:v>5</c:v>
                </c:pt>
                <c:pt idx="143">
                  <c:v>7</c:v>
                </c:pt>
                <c:pt idx="144">
                  <c:v>7</c:v>
                </c:pt>
                <c:pt idx="145">
                  <c:v>6.5</c:v>
                </c:pt>
                <c:pt idx="146">
                  <c:v>5.5</c:v>
                </c:pt>
                <c:pt idx="147">
                  <c:v>5</c:v>
                </c:pt>
                <c:pt idx="148">
                  <c:v>5</c:v>
                </c:pt>
                <c:pt idx="149">
                  <c:v>3.5</c:v>
                </c:pt>
                <c:pt idx="150">
                  <c:v>4</c:v>
                </c:pt>
                <c:pt idx="151">
                  <c:v>5</c:v>
                </c:pt>
                <c:pt idx="152">
                  <c:v>0</c:v>
                </c:pt>
                <c:pt idx="153">
                  <c:v>4</c:v>
                </c:pt>
                <c:pt idx="154">
                  <c:v>4</c:v>
                </c:pt>
                <c:pt idx="155">
                  <c:v>6</c:v>
                </c:pt>
                <c:pt idx="156">
                  <c:v>5</c:v>
                </c:pt>
                <c:pt idx="157">
                  <c:v>5.5</c:v>
                </c:pt>
                <c:pt idx="158">
                  <c:v>6</c:v>
                </c:pt>
                <c:pt idx="159">
                  <c:v>4</c:v>
                </c:pt>
                <c:pt idx="160">
                  <c:v>5</c:v>
                </c:pt>
                <c:pt idx="161">
                  <c:v>2</c:v>
                </c:pt>
                <c:pt idx="162">
                  <c:v>4</c:v>
                </c:pt>
                <c:pt idx="163">
                  <c:v>5</c:v>
                </c:pt>
                <c:pt idx="164">
                  <c:v>5</c:v>
                </c:pt>
                <c:pt idx="165">
                  <c:v>4.8</c:v>
                </c:pt>
                <c:pt idx="166">
                  <c:v>4</c:v>
                </c:pt>
                <c:pt idx="167">
                  <c:v>4</c:v>
                </c:pt>
                <c:pt idx="168">
                  <c:v>4.5</c:v>
                </c:pt>
                <c:pt idx="169">
                  <c:v>4.5</c:v>
                </c:pt>
                <c:pt idx="170">
                  <c:v>5</c:v>
                </c:pt>
                <c:pt idx="171">
                  <c:v>8.5</c:v>
                </c:pt>
                <c:pt idx="172">
                  <c:v>9</c:v>
                </c:pt>
                <c:pt idx="173">
                  <c:v>3.5</c:v>
                </c:pt>
                <c:pt idx="174">
                  <c:v>6</c:v>
                </c:pt>
                <c:pt idx="175">
                  <c:v>6</c:v>
                </c:pt>
                <c:pt idx="176">
                  <c:v>4.5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5</c:v>
                </c:pt>
                <c:pt idx="181">
                  <c:v>4</c:v>
                </c:pt>
                <c:pt idx="182">
                  <c:v>4.0999999999999996</c:v>
                </c:pt>
                <c:pt idx="183">
                  <c:v>4.2</c:v>
                </c:pt>
                <c:pt idx="184">
                  <c:v>8.8000000000000007</c:v>
                </c:pt>
                <c:pt idx="185">
                  <c:v>9</c:v>
                </c:pt>
                <c:pt idx="186">
                  <c:v>4.3</c:v>
                </c:pt>
                <c:pt idx="187">
                  <c:v>4.4000000000000004</c:v>
                </c:pt>
                <c:pt idx="188">
                  <c:v>5</c:v>
                </c:pt>
                <c:pt idx="189">
                  <c:v>1</c:v>
                </c:pt>
                <c:pt idx="190">
                  <c:v>6.5</c:v>
                </c:pt>
                <c:pt idx="191">
                  <c:v>9.1999999999999993</c:v>
                </c:pt>
                <c:pt idx="192">
                  <c:v>4.5</c:v>
                </c:pt>
                <c:pt idx="193">
                  <c:v>3</c:v>
                </c:pt>
                <c:pt idx="194">
                  <c:v>7.5</c:v>
                </c:pt>
                <c:pt idx="195">
                  <c:v>7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6</c:v>
                </c:pt>
                <c:pt idx="200">
                  <c:v>6</c:v>
                </c:pt>
                <c:pt idx="201">
                  <c:v>4</c:v>
                </c:pt>
                <c:pt idx="202">
                  <c:v>3.5</c:v>
                </c:pt>
                <c:pt idx="203">
                  <c:v>4</c:v>
                </c:pt>
                <c:pt idx="204">
                  <c:v>4.5</c:v>
                </c:pt>
                <c:pt idx="205">
                  <c:v>4.5999999999999996</c:v>
                </c:pt>
                <c:pt idx="206">
                  <c:v>8</c:v>
                </c:pt>
                <c:pt idx="207">
                  <c:v>7.5</c:v>
                </c:pt>
                <c:pt idx="208">
                  <c:v>4.5</c:v>
                </c:pt>
                <c:pt idx="209">
                  <c:v>5</c:v>
                </c:pt>
                <c:pt idx="210">
                  <c:v>3.5</c:v>
                </c:pt>
                <c:pt idx="211">
                  <c:v>10</c:v>
                </c:pt>
                <c:pt idx="212">
                  <c:v>7</c:v>
                </c:pt>
                <c:pt idx="213">
                  <c:v>4</c:v>
                </c:pt>
                <c:pt idx="214">
                  <c:v>2</c:v>
                </c:pt>
                <c:pt idx="215">
                  <c:v>4</c:v>
                </c:pt>
                <c:pt idx="216">
                  <c:v>3.9</c:v>
                </c:pt>
                <c:pt idx="217">
                  <c:v>4</c:v>
                </c:pt>
                <c:pt idx="218">
                  <c:v>5.5</c:v>
                </c:pt>
                <c:pt idx="219">
                  <c:v>6</c:v>
                </c:pt>
                <c:pt idx="220">
                  <c:v>5.8</c:v>
                </c:pt>
                <c:pt idx="221">
                  <c:v>4</c:v>
                </c:pt>
                <c:pt idx="222">
                  <c:v>5</c:v>
                </c:pt>
                <c:pt idx="223">
                  <c:v>5.5</c:v>
                </c:pt>
                <c:pt idx="224">
                  <c:v>7.5</c:v>
                </c:pt>
                <c:pt idx="225">
                  <c:v>5</c:v>
                </c:pt>
                <c:pt idx="226">
                  <c:v>5</c:v>
                </c:pt>
                <c:pt idx="227">
                  <c:v>6</c:v>
                </c:pt>
                <c:pt idx="228">
                  <c:v>7</c:v>
                </c:pt>
                <c:pt idx="229">
                  <c:v>4</c:v>
                </c:pt>
                <c:pt idx="230">
                  <c:v>2</c:v>
                </c:pt>
                <c:pt idx="231">
                  <c:v>4</c:v>
                </c:pt>
                <c:pt idx="232">
                  <c:v>4</c:v>
                </c:pt>
                <c:pt idx="233">
                  <c:v>5</c:v>
                </c:pt>
                <c:pt idx="234">
                  <c:v>7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6</c:v>
                </c:pt>
                <c:pt idx="241">
                  <c:v>6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4.5</c:v>
                </c:pt>
                <c:pt idx="246">
                  <c:v>5</c:v>
                </c:pt>
                <c:pt idx="247">
                  <c:v>6</c:v>
                </c:pt>
                <c:pt idx="248">
                  <c:v>7</c:v>
                </c:pt>
                <c:pt idx="249">
                  <c:v>7</c:v>
                </c:pt>
                <c:pt idx="250">
                  <c:v>6</c:v>
                </c:pt>
                <c:pt idx="251">
                  <c:v>3</c:v>
                </c:pt>
                <c:pt idx="252">
                  <c:v>5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3</c:v>
                </c:pt>
                <c:pt idx="257">
                  <c:v>8</c:v>
                </c:pt>
                <c:pt idx="258">
                  <c:v>6</c:v>
                </c:pt>
                <c:pt idx="259">
                  <c:v>10</c:v>
                </c:pt>
                <c:pt idx="260">
                  <c:v>6</c:v>
                </c:pt>
                <c:pt idx="261">
                  <c:v>8.1</c:v>
                </c:pt>
                <c:pt idx="262">
                  <c:v>8</c:v>
                </c:pt>
                <c:pt idx="263">
                  <c:v>7.5</c:v>
                </c:pt>
                <c:pt idx="264">
                  <c:v>6</c:v>
                </c:pt>
                <c:pt idx="265">
                  <c:v>5.5</c:v>
                </c:pt>
                <c:pt idx="266">
                  <c:v>5.3</c:v>
                </c:pt>
                <c:pt idx="267">
                  <c:v>3.5</c:v>
                </c:pt>
                <c:pt idx="268">
                  <c:v>4.5</c:v>
                </c:pt>
                <c:pt idx="269">
                  <c:v>6.8</c:v>
                </c:pt>
                <c:pt idx="270">
                  <c:v>7.8</c:v>
                </c:pt>
                <c:pt idx="271">
                  <c:v>6</c:v>
                </c:pt>
                <c:pt idx="272">
                  <c:v>7</c:v>
                </c:pt>
                <c:pt idx="273">
                  <c:v>5.6</c:v>
                </c:pt>
                <c:pt idx="274">
                  <c:v>6.4</c:v>
                </c:pt>
                <c:pt idx="275">
                  <c:v>5</c:v>
                </c:pt>
                <c:pt idx="276">
                  <c:v>8</c:v>
                </c:pt>
                <c:pt idx="277">
                  <c:v>6.5</c:v>
                </c:pt>
                <c:pt idx="278">
                  <c:v>4.5</c:v>
                </c:pt>
                <c:pt idx="279">
                  <c:v>4</c:v>
                </c:pt>
                <c:pt idx="280">
                  <c:v>4.5</c:v>
                </c:pt>
                <c:pt idx="281">
                  <c:v>4.5</c:v>
                </c:pt>
                <c:pt idx="282">
                  <c:v>4.5</c:v>
                </c:pt>
                <c:pt idx="283">
                  <c:v>6</c:v>
                </c:pt>
                <c:pt idx="284">
                  <c:v>3.5</c:v>
                </c:pt>
                <c:pt idx="285">
                  <c:v>8</c:v>
                </c:pt>
                <c:pt idx="286">
                  <c:v>7</c:v>
                </c:pt>
                <c:pt idx="287">
                  <c:v>6</c:v>
                </c:pt>
                <c:pt idx="288">
                  <c:v>7</c:v>
                </c:pt>
                <c:pt idx="289">
                  <c:v>5.5</c:v>
                </c:pt>
                <c:pt idx="290">
                  <c:v>7</c:v>
                </c:pt>
                <c:pt idx="291">
                  <c:v>7</c:v>
                </c:pt>
                <c:pt idx="292">
                  <c:v>4</c:v>
                </c:pt>
                <c:pt idx="293">
                  <c:v>6</c:v>
                </c:pt>
                <c:pt idx="294">
                  <c:v>6</c:v>
                </c:pt>
                <c:pt idx="295">
                  <c:v>3</c:v>
                </c:pt>
                <c:pt idx="296">
                  <c:v>8.3000000000000007</c:v>
                </c:pt>
                <c:pt idx="297">
                  <c:v>5.7</c:v>
                </c:pt>
                <c:pt idx="298">
                  <c:v>4</c:v>
                </c:pt>
                <c:pt idx="299">
                  <c:v>4.5</c:v>
                </c:pt>
                <c:pt idx="300">
                  <c:v>7</c:v>
                </c:pt>
                <c:pt idx="301">
                  <c:v>4.5</c:v>
                </c:pt>
                <c:pt idx="302">
                  <c:v>5</c:v>
                </c:pt>
                <c:pt idx="303">
                  <c:v>6</c:v>
                </c:pt>
                <c:pt idx="304">
                  <c:v>4.8</c:v>
                </c:pt>
                <c:pt idx="305">
                  <c:v>4.5</c:v>
                </c:pt>
                <c:pt idx="306">
                  <c:v>0.5</c:v>
                </c:pt>
                <c:pt idx="307">
                  <c:v>6</c:v>
                </c:pt>
                <c:pt idx="308">
                  <c:v>5</c:v>
                </c:pt>
                <c:pt idx="309">
                  <c:v>6</c:v>
                </c:pt>
                <c:pt idx="310">
                  <c:v>5.8</c:v>
                </c:pt>
                <c:pt idx="311">
                  <c:v>6</c:v>
                </c:pt>
                <c:pt idx="312">
                  <c:v>5.5</c:v>
                </c:pt>
                <c:pt idx="313">
                  <c:v>5.6</c:v>
                </c:pt>
                <c:pt idx="314">
                  <c:v>5</c:v>
                </c:pt>
                <c:pt idx="315">
                  <c:v>6.5</c:v>
                </c:pt>
                <c:pt idx="316">
                  <c:v>5.5</c:v>
                </c:pt>
                <c:pt idx="317">
                  <c:v>7.5</c:v>
                </c:pt>
                <c:pt idx="318">
                  <c:v>9</c:v>
                </c:pt>
                <c:pt idx="319">
                  <c:v>6.8</c:v>
                </c:pt>
                <c:pt idx="320">
                  <c:v>7</c:v>
                </c:pt>
                <c:pt idx="321">
                  <c:v>6</c:v>
                </c:pt>
                <c:pt idx="322">
                  <c:v>6</c:v>
                </c:pt>
                <c:pt idx="323">
                  <c:v>5.6</c:v>
                </c:pt>
                <c:pt idx="324">
                  <c:v>5.5</c:v>
                </c:pt>
                <c:pt idx="325">
                  <c:v>5</c:v>
                </c:pt>
                <c:pt idx="326">
                  <c:v>8</c:v>
                </c:pt>
                <c:pt idx="327">
                  <c:v>7.5</c:v>
                </c:pt>
                <c:pt idx="328">
                  <c:v>10</c:v>
                </c:pt>
                <c:pt idx="329">
                  <c:v>9.9</c:v>
                </c:pt>
                <c:pt idx="330">
                  <c:v>4.7</c:v>
                </c:pt>
                <c:pt idx="331">
                  <c:v>5.3</c:v>
                </c:pt>
                <c:pt idx="332">
                  <c:v>4.7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5</c:v>
                </c:pt>
                <c:pt idx="337">
                  <c:v>5.8</c:v>
                </c:pt>
                <c:pt idx="338">
                  <c:v>5.5</c:v>
                </c:pt>
                <c:pt idx="339">
                  <c:v>5.4</c:v>
                </c:pt>
                <c:pt idx="340">
                  <c:v>5.3</c:v>
                </c:pt>
                <c:pt idx="341">
                  <c:v>4.5</c:v>
                </c:pt>
                <c:pt idx="342">
                  <c:v>4.7</c:v>
                </c:pt>
                <c:pt idx="343">
                  <c:v>5</c:v>
                </c:pt>
                <c:pt idx="344">
                  <c:v>5.5</c:v>
                </c:pt>
                <c:pt idx="345">
                  <c:v>6</c:v>
                </c:pt>
                <c:pt idx="346">
                  <c:v>8</c:v>
                </c:pt>
                <c:pt idx="347">
                  <c:v>6</c:v>
                </c:pt>
                <c:pt idx="348">
                  <c:v>8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3</c:v>
                </c:pt>
                <c:pt idx="352">
                  <c:v>8</c:v>
                </c:pt>
                <c:pt idx="353">
                  <c:v>5.5</c:v>
                </c:pt>
                <c:pt idx="354">
                  <c:v>6</c:v>
                </c:pt>
                <c:pt idx="355">
                  <c:v>4.9000000000000004</c:v>
                </c:pt>
                <c:pt idx="356">
                  <c:v>5.3</c:v>
                </c:pt>
                <c:pt idx="357">
                  <c:v>5.3</c:v>
                </c:pt>
                <c:pt idx="358">
                  <c:v>6</c:v>
                </c:pt>
                <c:pt idx="359">
                  <c:v>9.5</c:v>
                </c:pt>
                <c:pt idx="360">
                  <c:v>6</c:v>
                </c:pt>
                <c:pt idx="361">
                  <c:v>8</c:v>
                </c:pt>
                <c:pt idx="362">
                  <c:v>4.8</c:v>
                </c:pt>
                <c:pt idx="363">
                  <c:v>5</c:v>
                </c:pt>
                <c:pt idx="36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4-41C0-9461-81C21DC54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663136"/>
        <c:axId val="1162653536"/>
      </c:lineChart>
      <c:dateAx>
        <c:axId val="1162663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3536"/>
        <c:crosses val="autoZero"/>
        <c:auto val="1"/>
        <c:lblOffset val="100"/>
        <c:baseTimeUnit val="days"/>
      </c:dateAx>
      <c:valAx>
        <c:axId val="11626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6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'HI2025'!$AD$14:$AD$25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'HI2025'!$AE$14:$AE$25</c:f>
              <c:numCache>
                <c:formatCode>0.00</c:formatCode>
                <c:ptCount val="12"/>
                <c:pt idx="0">
                  <c:v>78.709677419354847</c:v>
                </c:pt>
                <c:pt idx="1">
                  <c:v>67.857142857142861</c:v>
                </c:pt>
                <c:pt idx="2" formatCode="General">
                  <c:v>64.516129032258064</c:v>
                </c:pt>
                <c:pt idx="3" formatCode="General">
                  <c:v>73</c:v>
                </c:pt>
                <c:pt idx="4" formatCode="General">
                  <c:v>41.612903225806456</c:v>
                </c:pt>
                <c:pt idx="5" formatCode="0.0">
                  <c:v>46.666666666666664</c:v>
                </c:pt>
                <c:pt idx="6" formatCode="General">
                  <c:v>54.838709677419352</c:v>
                </c:pt>
                <c:pt idx="7" formatCode="General">
                  <c:v>83.225806451612911</c:v>
                </c:pt>
                <c:pt idx="8" formatCode="General">
                  <c:v>50</c:v>
                </c:pt>
                <c:pt idx="9" formatCode="General">
                  <c:v>74.193548387096769</c:v>
                </c:pt>
                <c:pt idx="10" formatCode="General">
                  <c:v>66.666666666666657</c:v>
                </c:pt>
                <c:pt idx="11" formatCode="General">
                  <c:v>48.387096774193552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3-43C8-9175-008F7A9B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205839"/>
        <c:axId val="998206319"/>
      </c:lineChart>
      <c:catAx>
        <c:axId val="9982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06319"/>
        <c:crosses val="autoZero"/>
        <c:auto val="1"/>
        <c:lblAlgn val="ctr"/>
        <c:lblOffset val="100"/>
        <c:noMultiLvlLbl val="0"/>
      </c:catAx>
      <c:valAx>
        <c:axId val="9982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'HI2025'!$U$51</c:f>
              <c:strCache>
                <c:ptCount val="1"/>
                <c:pt idx="0">
                  <c:v>Y2025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'HI2025'!$T$52:$T$63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'HI2025'!$U$52:$U$63</c:f>
              <c:numCache>
                <c:formatCode>General</c:formatCode>
                <c:ptCount val="12"/>
                <c:pt idx="0">
                  <c:v>5</c:v>
                </c:pt>
                <c:pt idx="1">
                  <c:v>4.7571428571428571</c:v>
                </c:pt>
                <c:pt idx="2">
                  <c:v>5.1967741935483867</c:v>
                </c:pt>
                <c:pt idx="3">
                  <c:v>4.8866666666666676</c:v>
                </c:pt>
                <c:pt idx="4">
                  <c:v>5.8967741935483877</c:v>
                </c:pt>
                <c:pt idx="5">
                  <c:v>4.8600000000000003</c:v>
                </c:pt>
                <c:pt idx="6">
                  <c:v>5.3903225806451607</c:v>
                </c:pt>
                <c:pt idx="7">
                  <c:v>4.6545454545454543</c:v>
                </c:pt>
                <c:pt idx="8">
                  <c:v>5.8166666666666673</c:v>
                </c:pt>
                <c:pt idx="9">
                  <c:v>5.629032258064516</c:v>
                </c:pt>
                <c:pt idx="10">
                  <c:v>6.0733333333333333</c:v>
                </c:pt>
                <c:pt idx="11">
                  <c:v>5.8258064516129036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D-434C-BB83-F40A46EE771B}"/>
            </c:ext>
          </c:extLst>
        </c:ser>
        <c:ser>
          <c:idx val="1"/>
          <c:order val="1"/>
          <c:tx>
            <c:strRef>
              <c:f>'HI2025'!$V$51</c:f>
              <c:strCache>
                <c:ptCount val="1"/>
                <c:pt idx="0">
                  <c:v>Y2024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'HI2025'!$T$52:$T$63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'HI2025'!$V$52:$V$63</c:f>
              <c:numCache>
                <c:formatCode>0.00</c:formatCode>
                <c:ptCount val="12"/>
                <c:pt idx="0">
                  <c:v>5.290322580645161</c:v>
                </c:pt>
                <c:pt idx="1">
                  <c:v>4.4137931034482758</c:v>
                </c:pt>
                <c:pt idx="2">
                  <c:v>5.5483870967741939</c:v>
                </c:pt>
                <c:pt idx="3">
                  <c:v>4.4666666666666668</c:v>
                </c:pt>
                <c:pt idx="4">
                  <c:v>6.129032258064516</c:v>
                </c:pt>
                <c:pt idx="5">
                  <c:v>5.333333333333333</c:v>
                </c:pt>
                <c:pt idx="6">
                  <c:v>5.032258064516129</c:v>
                </c:pt>
                <c:pt idx="7">
                  <c:v>4.967741935483871</c:v>
                </c:pt>
                <c:pt idx="8">
                  <c:v>5.2666666666666666</c:v>
                </c:pt>
                <c:pt idx="9">
                  <c:v>5.612903225806452</c:v>
                </c:pt>
                <c:pt idx="10">
                  <c:v>5.5333333333333332</c:v>
                </c:pt>
                <c:pt idx="11">
                  <c:v>4.709677419354839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D-434C-BB83-F40A46EE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57232"/>
        <c:axId val="82560112"/>
      </c:lineChart>
      <c:catAx>
        <c:axId val="8255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0112"/>
        <c:crosses val="autoZero"/>
        <c:auto val="1"/>
        <c:lblAlgn val="ctr"/>
        <c:lblOffset val="100"/>
        <c:noMultiLvlLbl val="0"/>
      </c:catAx>
      <c:valAx>
        <c:axId val="825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Happiness</a:t>
            </a:r>
            <a:r>
              <a:rPr lang="en-IN" baseline="0"/>
              <a:t>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'HI2024'!$A$1:$A$366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cat>
          <c:val>
            <c:numRef>
              <c:f>'HI2024'!$B$1:$B$366</c:f>
              <c:numCache>
                <c:formatCode>General</c:formatCode>
                <c:ptCount val="366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0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6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4</c:v>
                </c:pt>
                <c:pt idx="35">
                  <c:v>2</c:v>
                </c:pt>
                <c:pt idx="36">
                  <c:v>6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10</c:v>
                </c:pt>
                <c:pt idx="45">
                  <c:v>6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6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8</c:v>
                </c:pt>
                <c:pt idx="63">
                  <c:v>6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4</c:v>
                </c:pt>
                <c:pt idx="71">
                  <c:v>6</c:v>
                </c:pt>
                <c:pt idx="72">
                  <c:v>6</c:v>
                </c:pt>
                <c:pt idx="73">
                  <c:v>4</c:v>
                </c:pt>
                <c:pt idx="74">
                  <c:v>6</c:v>
                </c:pt>
                <c:pt idx="75">
                  <c:v>6</c:v>
                </c:pt>
                <c:pt idx="76">
                  <c:v>4</c:v>
                </c:pt>
                <c:pt idx="77">
                  <c:v>6</c:v>
                </c:pt>
                <c:pt idx="78">
                  <c:v>2</c:v>
                </c:pt>
                <c:pt idx="79">
                  <c:v>8</c:v>
                </c:pt>
                <c:pt idx="80">
                  <c:v>6</c:v>
                </c:pt>
                <c:pt idx="81">
                  <c:v>8</c:v>
                </c:pt>
                <c:pt idx="82">
                  <c:v>6</c:v>
                </c:pt>
                <c:pt idx="83">
                  <c:v>2</c:v>
                </c:pt>
                <c:pt idx="84">
                  <c:v>8</c:v>
                </c:pt>
                <c:pt idx="85">
                  <c:v>6</c:v>
                </c:pt>
                <c:pt idx="86">
                  <c:v>4</c:v>
                </c:pt>
                <c:pt idx="87">
                  <c:v>6</c:v>
                </c:pt>
                <c:pt idx="88">
                  <c:v>4</c:v>
                </c:pt>
                <c:pt idx="89">
                  <c:v>6</c:v>
                </c:pt>
                <c:pt idx="90">
                  <c:v>6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0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6</c:v>
                </c:pt>
                <c:pt idx="100">
                  <c:v>2</c:v>
                </c:pt>
                <c:pt idx="101">
                  <c:v>0</c:v>
                </c:pt>
                <c:pt idx="102">
                  <c:v>6</c:v>
                </c:pt>
                <c:pt idx="103">
                  <c:v>6</c:v>
                </c:pt>
                <c:pt idx="104">
                  <c:v>4</c:v>
                </c:pt>
                <c:pt idx="105">
                  <c:v>6</c:v>
                </c:pt>
                <c:pt idx="106">
                  <c:v>4</c:v>
                </c:pt>
                <c:pt idx="107">
                  <c:v>8</c:v>
                </c:pt>
                <c:pt idx="108">
                  <c:v>6</c:v>
                </c:pt>
                <c:pt idx="109">
                  <c:v>6</c:v>
                </c:pt>
                <c:pt idx="110">
                  <c:v>4</c:v>
                </c:pt>
                <c:pt idx="111">
                  <c:v>6</c:v>
                </c:pt>
                <c:pt idx="112">
                  <c:v>6</c:v>
                </c:pt>
                <c:pt idx="113">
                  <c:v>4</c:v>
                </c:pt>
                <c:pt idx="114">
                  <c:v>6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6</c:v>
                </c:pt>
                <c:pt idx="120">
                  <c:v>6</c:v>
                </c:pt>
                <c:pt idx="121">
                  <c:v>8</c:v>
                </c:pt>
                <c:pt idx="122">
                  <c:v>6</c:v>
                </c:pt>
                <c:pt idx="123">
                  <c:v>6</c:v>
                </c:pt>
                <c:pt idx="124">
                  <c:v>10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8</c:v>
                </c:pt>
                <c:pt idx="131">
                  <c:v>8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4</c:v>
                </c:pt>
                <c:pt idx="137">
                  <c:v>4</c:v>
                </c:pt>
                <c:pt idx="138">
                  <c:v>6</c:v>
                </c:pt>
                <c:pt idx="139">
                  <c:v>4</c:v>
                </c:pt>
                <c:pt idx="140">
                  <c:v>4</c:v>
                </c:pt>
                <c:pt idx="141">
                  <c:v>6</c:v>
                </c:pt>
                <c:pt idx="142">
                  <c:v>6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6</c:v>
                </c:pt>
                <c:pt idx="147">
                  <c:v>4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8</c:v>
                </c:pt>
                <c:pt idx="156">
                  <c:v>10</c:v>
                </c:pt>
                <c:pt idx="157">
                  <c:v>6</c:v>
                </c:pt>
                <c:pt idx="158">
                  <c:v>4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0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6</c:v>
                </c:pt>
                <c:pt idx="167">
                  <c:v>6</c:v>
                </c:pt>
                <c:pt idx="168">
                  <c:v>4</c:v>
                </c:pt>
                <c:pt idx="169">
                  <c:v>4</c:v>
                </c:pt>
                <c:pt idx="170">
                  <c:v>10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4</c:v>
                </c:pt>
                <c:pt idx="175">
                  <c:v>6</c:v>
                </c:pt>
                <c:pt idx="176">
                  <c:v>4</c:v>
                </c:pt>
                <c:pt idx="177">
                  <c:v>4</c:v>
                </c:pt>
                <c:pt idx="178">
                  <c:v>6</c:v>
                </c:pt>
                <c:pt idx="179">
                  <c:v>10</c:v>
                </c:pt>
                <c:pt idx="180">
                  <c:v>8</c:v>
                </c:pt>
                <c:pt idx="181">
                  <c:v>6</c:v>
                </c:pt>
                <c:pt idx="182">
                  <c:v>6</c:v>
                </c:pt>
                <c:pt idx="183">
                  <c:v>4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10</c:v>
                </c:pt>
                <c:pt idx="188">
                  <c:v>6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6</c:v>
                </c:pt>
                <c:pt idx="193">
                  <c:v>4</c:v>
                </c:pt>
                <c:pt idx="194">
                  <c:v>10</c:v>
                </c:pt>
                <c:pt idx="195">
                  <c:v>6</c:v>
                </c:pt>
                <c:pt idx="196">
                  <c:v>4</c:v>
                </c:pt>
                <c:pt idx="197">
                  <c:v>4</c:v>
                </c:pt>
                <c:pt idx="198">
                  <c:v>6</c:v>
                </c:pt>
                <c:pt idx="199">
                  <c:v>4</c:v>
                </c:pt>
                <c:pt idx="200">
                  <c:v>2</c:v>
                </c:pt>
                <c:pt idx="201">
                  <c:v>8</c:v>
                </c:pt>
                <c:pt idx="202">
                  <c:v>6</c:v>
                </c:pt>
                <c:pt idx="203">
                  <c:v>4</c:v>
                </c:pt>
                <c:pt idx="204">
                  <c:v>4</c:v>
                </c:pt>
                <c:pt idx="205">
                  <c:v>2</c:v>
                </c:pt>
                <c:pt idx="206">
                  <c:v>4</c:v>
                </c:pt>
                <c:pt idx="207">
                  <c:v>4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8</c:v>
                </c:pt>
                <c:pt idx="217">
                  <c:v>4</c:v>
                </c:pt>
                <c:pt idx="218">
                  <c:v>4</c:v>
                </c:pt>
                <c:pt idx="219">
                  <c:v>6</c:v>
                </c:pt>
                <c:pt idx="220">
                  <c:v>4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4</c:v>
                </c:pt>
                <c:pt idx="226">
                  <c:v>2</c:v>
                </c:pt>
                <c:pt idx="227">
                  <c:v>2</c:v>
                </c:pt>
                <c:pt idx="228">
                  <c:v>4</c:v>
                </c:pt>
                <c:pt idx="229">
                  <c:v>6</c:v>
                </c:pt>
                <c:pt idx="230">
                  <c:v>8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6</c:v>
                </c:pt>
                <c:pt idx="236">
                  <c:v>4</c:v>
                </c:pt>
                <c:pt idx="237">
                  <c:v>4</c:v>
                </c:pt>
                <c:pt idx="238">
                  <c:v>6</c:v>
                </c:pt>
                <c:pt idx="239">
                  <c:v>2</c:v>
                </c:pt>
                <c:pt idx="240">
                  <c:v>6</c:v>
                </c:pt>
                <c:pt idx="241">
                  <c:v>6</c:v>
                </c:pt>
                <c:pt idx="242">
                  <c:v>4</c:v>
                </c:pt>
                <c:pt idx="243">
                  <c:v>6</c:v>
                </c:pt>
                <c:pt idx="244">
                  <c:v>4</c:v>
                </c:pt>
                <c:pt idx="245">
                  <c:v>4</c:v>
                </c:pt>
                <c:pt idx="246">
                  <c:v>6</c:v>
                </c:pt>
                <c:pt idx="247">
                  <c:v>4</c:v>
                </c:pt>
                <c:pt idx="248">
                  <c:v>6</c:v>
                </c:pt>
                <c:pt idx="249">
                  <c:v>4</c:v>
                </c:pt>
                <c:pt idx="250">
                  <c:v>4</c:v>
                </c:pt>
                <c:pt idx="251">
                  <c:v>6</c:v>
                </c:pt>
                <c:pt idx="252">
                  <c:v>4</c:v>
                </c:pt>
                <c:pt idx="253">
                  <c:v>4</c:v>
                </c:pt>
                <c:pt idx="254">
                  <c:v>6</c:v>
                </c:pt>
                <c:pt idx="255">
                  <c:v>6</c:v>
                </c:pt>
                <c:pt idx="256">
                  <c:v>10</c:v>
                </c:pt>
                <c:pt idx="257">
                  <c:v>8</c:v>
                </c:pt>
                <c:pt idx="258">
                  <c:v>6</c:v>
                </c:pt>
                <c:pt idx="259">
                  <c:v>6</c:v>
                </c:pt>
                <c:pt idx="260">
                  <c:v>4</c:v>
                </c:pt>
                <c:pt idx="261">
                  <c:v>2</c:v>
                </c:pt>
                <c:pt idx="262">
                  <c:v>4</c:v>
                </c:pt>
                <c:pt idx="263">
                  <c:v>4</c:v>
                </c:pt>
                <c:pt idx="264">
                  <c:v>6</c:v>
                </c:pt>
                <c:pt idx="265">
                  <c:v>6</c:v>
                </c:pt>
                <c:pt idx="266">
                  <c:v>4</c:v>
                </c:pt>
                <c:pt idx="267">
                  <c:v>2</c:v>
                </c:pt>
                <c:pt idx="268">
                  <c:v>6</c:v>
                </c:pt>
                <c:pt idx="269">
                  <c:v>8</c:v>
                </c:pt>
                <c:pt idx="270">
                  <c:v>4</c:v>
                </c:pt>
                <c:pt idx="271">
                  <c:v>6</c:v>
                </c:pt>
                <c:pt idx="272">
                  <c:v>8</c:v>
                </c:pt>
                <c:pt idx="273">
                  <c:v>6</c:v>
                </c:pt>
                <c:pt idx="274">
                  <c:v>4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2</c:v>
                </c:pt>
                <c:pt idx="279">
                  <c:v>4</c:v>
                </c:pt>
                <c:pt idx="280">
                  <c:v>0</c:v>
                </c:pt>
                <c:pt idx="281">
                  <c:v>2</c:v>
                </c:pt>
                <c:pt idx="282">
                  <c:v>6</c:v>
                </c:pt>
                <c:pt idx="283">
                  <c:v>6</c:v>
                </c:pt>
                <c:pt idx="284">
                  <c:v>8</c:v>
                </c:pt>
                <c:pt idx="285">
                  <c:v>8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4</c:v>
                </c:pt>
                <c:pt idx="290">
                  <c:v>6</c:v>
                </c:pt>
                <c:pt idx="291">
                  <c:v>8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6</c:v>
                </c:pt>
                <c:pt idx="299">
                  <c:v>6</c:v>
                </c:pt>
                <c:pt idx="300">
                  <c:v>4</c:v>
                </c:pt>
                <c:pt idx="301">
                  <c:v>6</c:v>
                </c:pt>
                <c:pt idx="302">
                  <c:v>8</c:v>
                </c:pt>
                <c:pt idx="303">
                  <c:v>8</c:v>
                </c:pt>
                <c:pt idx="304">
                  <c:v>10</c:v>
                </c:pt>
                <c:pt idx="305">
                  <c:v>6</c:v>
                </c:pt>
                <c:pt idx="306">
                  <c:v>2</c:v>
                </c:pt>
                <c:pt idx="307">
                  <c:v>0</c:v>
                </c:pt>
                <c:pt idx="308">
                  <c:v>4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8</c:v>
                </c:pt>
                <c:pt idx="313">
                  <c:v>6</c:v>
                </c:pt>
                <c:pt idx="314">
                  <c:v>8</c:v>
                </c:pt>
                <c:pt idx="315">
                  <c:v>8</c:v>
                </c:pt>
                <c:pt idx="316">
                  <c:v>2</c:v>
                </c:pt>
                <c:pt idx="317">
                  <c:v>6</c:v>
                </c:pt>
                <c:pt idx="318">
                  <c:v>8</c:v>
                </c:pt>
                <c:pt idx="319">
                  <c:v>8</c:v>
                </c:pt>
                <c:pt idx="320">
                  <c:v>6</c:v>
                </c:pt>
                <c:pt idx="321">
                  <c:v>6</c:v>
                </c:pt>
                <c:pt idx="322">
                  <c:v>4</c:v>
                </c:pt>
                <c:pt idx="323">
                  <c:v>8</c:v>
                </c:pt>
                <c:pt idx="324">
                  <c:v>6</c:v>
                </c:pt>
                <c:pt idx="325">
                  <c:v>4</c:v>
                </c:pt>
                <c:pt idx="326">
                  <c:v>4</c:v>
                </c:pt>
                <c:pt idx="327">
                  <c:v>6</c:v>
                </c:pt>
                <c:pt idx="328">
                  <c:v>8</c:v>
                </c:pt>
                <c:pt idx="329">
                  <c:v>4</c:v>
                </c:pt>
                <c:pt idx="330">
                  <c:v>6</c:v>
                </c:pt>
                <c:pt idx="331">
                  <c:v>6</c:v>
                </c:pt>
                <c:pt idx="332">
                  <c:v>2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4</c:v>
                </c:pt>
                <c:pt idx="337">
                  <c:v>4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6</c:v>
                </c:pt>
                <c:pt idx="347">
                  <c:v>4</c:v>
                </c:pt>
                <c:pt idx="348">
                  <c:v>6</c:v>
                </c:pt>
                <c:pt idx="349">
                  <c:v>4</c:v>
                </c:pt>
                <c:pt idx="350">
                  <c:v>4</c:v>
                </c:pt>
                <c:pt idx="351">
                  <c:v>2</c:v>
                </c:pt>
                <c:pt idx="352">
                  <c:v>4</c:v>
                </c:pt>
                <c:pt idx="353">
                  <c:v>2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10</c:v>
                </c:pt>
                <c:pt idx="359">
                  <c:v>6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6</c:v>
                </c:pt>
                <c:pt idx="364">
                  <c:v>4</c:v>
                </c:pt>
                <c:pt idx="36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1-49A9-B086-42BFAAA9D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434784"/>
        <c:axId val="1338464064"/>
      </c:lineChart>
      <c:dateAx>
        <c:axId val="1338434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64064"/>
        <c:crosses val="autoZero"/>
        <c:auto val="1"/>
        <c:lblOffset val="100"/>
        <c:baseTimeUnit val="days"/>
      </c:dateAx>
      <c:valAx>
        <c:axId val="13384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'HI2024'!$K$18</c:f>
              <c:strCache>
                <c:ptCount val="1"/>
                <c:pt idx="0">
                  <c:v>Avg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'HI2024'!$J$19:$J$30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'HI2024'!$K$19:$K$30</c:f>
              <c:numCache>
                <c:formatCode>0.00</c:formatCode>
                <c:ptCount val="12"/>
                <c:pt idx="0">
                  <c:v>5.290322580645161</c:v>
                </c:pt>
                <c:pt idx="1">
                  <c:v>4.4137931034482758</c:v>
                </c:pt>
                <c:pt idx="2">
                  <c:v>5.5483870967741939</c:v>
                </c:pt>
                <c:pt idx="3">
                  <c:v>4.4666666666666668</c:v>
                </c:pt>
                <c:pt idx="4">
                  <c:v>6.129032258064516</c:v>
                </c:pt>
                <c:pt idx="5">
                  <c:v>5.333333333333333</c:v>
                </c:pt>
                <c:pt idx="6">
                  <c:v>5.032258064516129</c:v>
                </c:pt>
                <c:pt idx="7">
                  <c:v>4.967741935483871</c:v>
                </c:pt>
                <c:pt idx="8">
                  <c:v>5.2666666666666666</c:v>
                </c:pt>
                <c:pt idx="9">
                  <c:v>5.612903225806452</c:v>
                </c:pt>
                <c:pt idx="10">
                  <c:v>5.5333333333333332</c:v>
                </c:pt>
                <c:pt idx="11">
                  <c:v>4.709677419354839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C-4005-96AF-ED82884CF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0050560"/>
        <c:axId val="2030050080"/>
      </c:barChart>
      <c:catAx>
        <c:axId val="203005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50080"/>
        <c:crosses val="autoZero"/>
        <c:auto val="1"/>
        <c:lblAlgn val="ctr"/>
        <c:lblOffset val="100"/>
        <c:noMultiLvlLbl val="0"/>
      </c:catAx>
      <c:valAx>
        <c:axId val="20300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5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'HI2024'!$K$18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'HI2024'!$J$19:$J$30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'HI2024'!$K$19:$K$30</c:f>
              <c:numCache>
                <c:formatCode>0.00</c:formatCode>
                <c:ptCount val="12"/>
                <c:pt idx="0">
                  <c:v>5.290322580645161</c:v>
                </c:pt>
                <c:pt idx="1">
                  <c:v>4.4137931034482758</c:v>
                </c:pt>
                <c:pt idx="2">
                  <c:v>5.5483870967741939</c:v>
                </c:pt>
                <c:pt idx="3">
                  <c:v>4.4666666666666668</c:v>
                </c:pt>
                <c:pt idx="4">
                  <c:v>6.129032258064516</c:v>
                </c:pt>
                <c:pt idx="5">
                  <c:v>5.333333333333333</c:v>
                </c:pt>
                <c:pt idx="6">
                  <c:v>5.032258064516129</c:v>
                </c:pt>
                <c:pt idx="7">
                  <c:v>4.967741935483871</c:v>
                </c:pt>
                <c:pt idx="8">
                  <c:v>5.2666666666666666</c:v>
                </c:pt>
                <c:pt idx="9">
                  <c:v>5.612903225806452</c:v>
                </c:pt>
                <c:pt idx="10">
                  <c:v>5.5333333333333332</c:v>
                </c:pt>
                <c:pt idx="11">
                  <c:v>4.709677419354839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E-4EF3-95F2-5F8737612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65567"/>
        <c:axId val="61880927"/>
      </c:lineChart>
      <c:catAx>
        <c:axId val="6186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0927"/>
        <c:crosses val="autoZero"/>
        <c:auto val="1"/>
        <c:lblAlgn val="ctr"/>
        <c:lblOffset val="100"/>
        <c:noMultiLvlLbl val="0"/>
      </c:catAx>
      <c:valAx>
        <c:axId val="618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Airline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BD-4A88-BF43-AB56F7237E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BD-4A88-BF43-AB56F7237E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BD-4A88-BF43-AB56F7237E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BD-4A88-BF43-AB56F7237E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0D-41E9-BAA4-713087AD5E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1A-4546-8F51-ACD0E92381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FlightDetails!$N$8:$N$13</c:f>
              <c:strCache>
                <c:ptCount val="6"/>
                <c:pt idx="0">
                  <c:v>Air Asia</c:v>
                </c:pt>
                <c:pt idx="1">
                  <c:v>Vistara</c:v>
                </c:pt>
                <c:pt idx="2">
                  <c:v>Indigo</c:v>
                </c:pt>
                <c:pt idx="3">
                  <c:v>Air India Express</c:v>
                </c:pt>
                <c:pt idx="4">
                  <c:v>Air India</c:v>
                </c:pt>
                <c:pt idx="5">
                  <c:v>Akasa Air</c:v>
                </c:pt>
              </c:strCache>
            </c:strRef>
          </c:cat>
          <c:val>
            <c:numRef>
              <c:f>FlightDetails!$O$8:$O$13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7-4CE4-B076-5D71D57E999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FlightDetails!$B$3:$B$27</c:f>
              <c:numCache>
                <c:formatCode>m/d/yyyy</c:formatCode>
                <c:ptCount val="25"/>
                <c:pt idx="0">
                  <c:v>44868</c:v>
                </c:pt>
                <c:pt idx="1">
                  <c:v>44998</c:v>
                </c:pt>
                <c:pt idx="2">
                  <c:v>45024</c:v>
                </c:pt>
                <c:pt idx="3">
                  <c:v>45127</c:v>
                </c:pt>
                <c:pt idx="4">
                  <c:v>45145</c:v>
                </c:pt>
                <c:pt idx="5">
                  <c:v>45261</c:v>
                </c:pt>
                <c:pt idx="6">
                  <c:v>45298</c:v>
                </c:pt>
                <c:pt idx="7">
                  <c:v>45393</c:v>
                </c:pt>
                <c:pt idx="8">
                  <c:v>45504</c:v>
                </c:pt>
                <c:pt idx="9">
                  <c:v>45594</c:v>
                </c:pt>
                <c:pt idx="10">
                  <c:v>45599</c:v>
                </c:pt>
                <c:pt idx="11">
                  <c:v>45626</c:v>
                </c:pt>
                <c:pt idx="12">
                  <c:v>45665</c:v>
                </c:pt>
                <c:pt idx="13">
                  <c:v>45776</c:v>
                </c:pt>
                <c:pt idx="14">
                  <c:v>45871</c:v>
                </c:pt>
                <c:pt idx="15">
                  <c:v>45917</c:v>
                </c:pt>
                <c:pt idx="16">
                  <c:v>45941</c:v>
                </c:pt>
                <c:pt idx="18">
                  <c:v>45992</c:v>
                </c:pt>
                <c:pt idx="19">
                  <c:v>46033</c:v>
                </c:pt>
                <c:pt idx="20">
                  <c:v>46057</c:v>
                </c:pt>
                <c:pt idx="21">
                  <c:v>46061</c:v>
                </c:pt>
                <c:pt idx="22">
                  <c:v>46075</c:v>
                </c:pt>
                <c:pt idx="23">
                  <c:v>46199</c:v>
                </c:pt>
                <c:pt idx="24">
                  <c:v>46217</c:v>
                </c:pt>
              </c:numCache>
            </c:numRef>
          </c:cat>
          <c:val>
            <c:numRef>
              <c:f>FlightDetails!$G$3:$G$27</c:f>
              <c:numCache>
                <c:formatCode>General</c:formatCode>
                <c:ptCount val="25"/>
                <c:pt idx="0">
                  <c:v>9000</c:v>
                </c:pt>
                <c:pt idx="1">
                  <c:v>6807</c:v>
                </c:pt>
                <c:pt idx="2">
                  <c:v>6807</c:v>
                </c:pt>
                <c:pt idx="3">
                  <c:v>6946</c:v>
                </c:pt>
                <c:pt idx="4">
                  <c:v>6946</c:v>
                </c:pt>
                <c:pt idx="5">
                  <c:v>7564</c:v>
                </c:pt>
                <c:pt idx="6">
                  <c:v>6355</c:v>
                </c:pt>
                <c:pt idx="7">
                  <c:v>10599</c:v>
                </c:pt>
                <c:pt idx="8">
                  <c:v>7214</c:v>
                </c:pt>
                <c:pt idx="9">
                  <c:v>8650</c:v>
                </c:pt>
                <c:pt idx="10">
                  <c:v>8650</c:v>
                </c:pt>
                <c:pt idx="11">
                  <c:v>7565</c:v>
                </c:pt>
                <c:pt idx="12">
                  <c:v>9218</c:v>
                </c:pt>
                <c:pt idx="13">
                  <c:v>7166</c:v>
                </c:pt>
                <c:pt idx="14">
                  <c:v>7987</c:v>
                </c:pt>
                <c:pt idx="15">
                  <c:v>10585</c:v>
                </c:pt>
                <c:pt idx="16">
                  <c:v>11466</c:v>
                </c:pt>
                <c:pt idx="18">
                  <c:v>8231</c:v>
                </c:pt>
                <c:pt idx="19">
                  <c:v>9791</c:v>
                </c:pt>
                <c:pt idx="20">
                  <c:v>16566</c:v>
                </c:pt>
                <c:pt idx="21">
                  <c:v>8566</c:v>
                </c:pt>
                <c:pt idx="22">
                  <c:v>4151</c:v>
                </c:pt>
                <c:pt idx="23">
                  <c:v>7781</c:v>
                </c:pt>
                <c:pt idx="24">
                  <c:v>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A-49F7-8896-B2C7E57F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885024"/>
        <c:axId val="1329882144"/>
      </c:lineChart>
      <c:dateAx>
        <c:axId val="13298850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82144"/>
        <c:crosses val="autoZero"/>
        <c:auto val="1"/>
        <c:lblOffset val="100"/>
        <c:baseTimeUnit val="days"/>
      </c:dateAx>
      <c:valAx>
        <c:axId val="1329882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8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SGPA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9.74</c:v>
                </c:pt>
                <c:pt idx="1">
                  <c:v>9.43</c:v>
                </c:pt>
                <c:pt idx="2">
                  <c:v>9.58</c:v>
                </c:pt>
                <c:pt idx="3">
                  <c:v>9.5399999999999991</c:v>
                </c:pt>
                <c:pt idx="4">
                  <c:v>9.91</c:v>
                </c:pt>
                <c:pt idx="5">
                  <c:v>9.7799999999999994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0-4308-BFAB-B639F9879A0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CGPA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Sheet1!$C$2:$C$9</c:f>
              <c:numCache>
                <c:formatCode>0.00</c:formatCode>
                <c:ptCount val="8"/>
                <c:pt idx="0">
                  <c:v>9.74</c:v>
                </c:pt>
                <c:pt idx="1">
                  <c:v>9.5850000000000009</c:v>
                </c:pt>
                <c:pt idx="2">
                  <c:v>9.5833333333333339</c:v>
                </c:pt>
                <c:pt idx="3">
                  <c:v>9.5724999999999998</c:v>
                </c:pt>
                <c:pt idx="4">
                  <c:v>9.64</c:v>
                </c:pt>
                <c:pt idx="5">
                  <c:v>9.663333333333334</c:v>
                </c:pt>
                <c:pt idx="6">
                  <c:v>9.7114285714285717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0-4308-BFAB-B639F987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819376"/>
        <c:axId val="1491818896"/>
      </c:lineChart>
      <c:catAx>
        <c:axId val="149181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18896"/>
        <c:crosses val="autoZero"/>
        <c:auto val="1"/>
        <c:lblAlgn val="ctr"/>
        <c:lblOffset val="100"/>
        <c:noMultiLvlLbl val="0"/>
      </c:catAx>
      <c:valAx>
        <c:axId val="14918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Number of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Sheet1!$A$14:$A$19</c:f>
              <c:strCache>
                <c:ptCount val="6"/>
                <c:pt idx="0">
                  <c:v>Amazing Days</c:v>
                </c:pt>
                <c:pt idx="1">
                  <c:v>Great Days</c:v>
                </c:pt>
                <c:pt idx="2">
                  <c:v>Good Days</c:v>
                </c:pt>
                <c:pt idx="3">
                  <c:v>Eh Days</c:v>
                </c:pt>
                <c:pt idx="4">
                  <c:v>Bad Days</c:v>
                </c:pt>
                <c:pt idx="5">
                  <c:v>Terrible Days</c:v>
                </c:pt>
              </c:strCache>
            </c:strRef>
          </c:cat>
          <c:val>
            <c:numRef>
              <c:f>Sheet1!$B$14:$B$19</c:f>
              <c:numCache>
                <c:formatCode>General</c:formatCode>
                <c:ptCount val="6"/>
                <c:pt idx="0">
                  <c:v>13</c:v>
                </c:pt>
                <c:pt idx="1">
                  <c:v>33</c:v>
                </c:pt>
                <c:pt idx="2">
                  <c:v>158</c:v>
                </c:pt>
                <c:pt idx="3">
                  <c:v>127</c:v>
                </c:pt>
                <c:pt idx="4">
                  <c:v>26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7-439A-90F6-6F35104853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1419680"/>
        <c:axId val="1741408640"/>
      </c:barChart>
      <c:catAx>
        <c:axId val="174141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408640"/>
        <c:crosses val="autoZero"/>
        <c:auto val="1"/>
        <c:lblAlgn val="ctr"/>
        <c:lblOffset val="100"/>
        <c:noMultiLvlLbl val="0"/>
      </c:catAx>
      <c:valAx>
        <c:axId val="1741408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141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SGPA vs Sem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Sheet2!$J$4:$J$11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Sheet2!$K$4:$K$11</c:f>
              <c:numCache>
                <c:formatCode>General</c:formatCode>
                <c:ptCount val="8"/>
                <c:pt idx="0">
                  <c:v>9.74</c:v>
                </c:pt>
                <c:pt idx="1">
                  <c:v>9.43</c:v>
                </c:pt>
                <c:pt idx="2">
                  <c:v>9.58</c:v>
                </c:pt>
                <c:pt idx="3">
                  <c:v>9.5399999999999991</c:v>
                </c:pt>
                <c:pt idx="4">
                  <c:v>9.91</c:v>
                </c:pt>
                <c:pt idx="5" formatCode="0.00">
                  <c:v>9.7799999999999994</c:v>
                </c:pt>
                <c:pt idx="6" formatCode="0.00">
                  <c:v>10</c:v>
                </c:pt>
                <c:pt idx="7" formatCode="0.0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8-4999-B284-713D7375D1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7684272"/>
        <c:axId val="157701552"/>
      </c:scatterChart>
      <c:valAx>
        <c:axId val="1576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1552"/>
        <c:crosses val="autoZero"/>
        <c:crossBetween val="midCat"/>
      </c:valAx>
      <c:valAx>
        <c:axId val="1577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Table1!$G$19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Table1!$F$20:$F$63</c:f>
              <c:numCache>
                <c:formatCode>General</c:formatCode>
                <c:ptCount val="4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</c:numCache>
            </c:numRef>
          </c:cat>
          <c:val>
            <c:numRef>
              <c:f>Table1!$G$20:$G$63</c:f>
              <c:numCache>
                <c:formatCode>General</c:formatCode>
                <c:ptCount val="44"/>
                <c:pt idx="0">
                  <c:v>5</c:v>
                </c:pt>
                <c:pt idx="1">
                  <c:v>5.2</c:v>
                </c:pt>
                <c:pt idx="2">
                  <c:v>5.5</c:v>
                </c:pt>
                <c:pt idx="3">
                  <c:v>5.5</c:v>
                </c:pt>
                <c:pt idx="4">
                  <c:v>5.6</c:v>
                </c:pt>
                <c:pt idx="5">
                  <c:v>6</c:v>
                </c:pt>
                <c:pt idx="6">
                  <c:v>6.2</c:v>
                </c:pt>
                <c:pt idx="7">
                  <c:v>6.2</c:v>
                </c:pt>
                <c:pt idx="8">
                  <c:v>6.3</c:v>
                </c:pt>
                <c:pt idx="9">
                  <c:v>6.4</c:v>
                </c:pt>
                <c:pt idx="10">
                  <c:v>6.6</c:v>
                </c:pt>
                <c:pt idx="11">
                  <c:v>6.6</c:v>
                </c:pt>
                <c:pt idx="12">
                  <c:v>1</c:v>
                </c:pt>
                <c:pt idx="13">
                  <c:v>4</c:v>
                </c:pt>
                <c:pt idx="14">
                  <c:v>6</c:v>
                </c:pt>
                <c:pt idx="15">
                  <c:v>7</c:v>
                </c:pt>
                <c:pt idx="16">
                  <c:v>1.2</c:v>
                </c:pt>
                <c:pt idx="17">
                  <c:v>2.4</c:v>
                </c:pt>
                <c:pt idx="18">
                  <c:v>2.6</c:v>
                </c:pt>
                <c:pt idx="19">
                  <c:v>4</c:v>
                </c:pt>
                <c:pt idx="20">
                  <c:v>7</c:v>
                </c:pt>
                <c:pt idx="21">
                  <c:v>6.5</c:v>
                </c:pt>
                <c:pt idx="22">
                  <c:v>7.5</c:v>
                </c:pt>
                <c:pt idx="23">
                  <c:v>8</c:v>
                </c:pt>
                <c:pt idx="24">
                  <c:v>8.1999999999999993</c:v>
                </c:pt>
                <c:pt idx="25">
                  <c:v>8.5</c:v>
                </c:pt>
                <c:pt idx="26">
                  <c:v>7.2</c:v>
                </c:pt>
                <c:pt idx="27">
                  <c:v>8.6999999999999993</c:v>
                </c:pt>
                <c:pt idx="28">
                  <c:v>9</c:v>
                </c:pt>
                <c:pt idx="29">
                  <c:v>6.8</c:v>
                </c:pt>
                <c:pt idx="30">
                  <c:v>8.9</c:v>
                </c:pt>
                <c:pt idx="31">
                  <c:v>9.1999999999999993</c:v>
                </c:pt>
                <c:pt idx="32">
                  <c:v>7.5</c:v>
                </c:pt>
                <c:pt idx="33">
                  <c:v>9.3000000000000007</c:v>
                </c:pt>
                <c:pt idx="34">
                  <c:v>9</c:v>
                </c:pt>
                <c:pt idx="35">
                  <c:v>7.8</c:v>
                </c:pt>
                <c:pt idx="36">
                  <c:v>9.4</c:v>
                </c:pt>
                <c:pt idx="37">
                  <c:v>9.5</c:v>
                </c:pt>
                <c:pt idx="38">
                  <c:v>8.8000000000000007</c:v>
                </c:pt>
                <c:pt idx="39">
                  <c:v>9.3000000000000007</c:v>
                </c:pt>
                <c:pt idx="40">
                  <c:v>8.9</c:v>
                </c:pt>
                <c:pt idx="41">
                  <c:v>9.6</c:v>
                </c:pt>
                <c:pt idx="42">
                  <c:v>9.4</c:v>
                </c:pt>
                <c:pt idx="43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4-40B1-9594-BF2FC4EF9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09999"/>
        <c:axId val="666799919"/>
      </c:lineChart>
      <c:catAx>
        <c:axId val="6668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99919"/>
        <c:crosses val="autoZero"/>
        <c:auto val="1"/>
        <c:lblAlgn val="ctr"/>
        <c:lblOffset val="100"/>
        <c:noMultiLvlLbl val="0"/>
      </c:catAx>
      <c:valAx>
        <c:axId val="6667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0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87804</xdr:colOff>
      <xdr:row>1</xdr:row>
      <xdr:rowOff>51246</xdr:rowOff>
    </xdr:from>
    <xdr:to>
      <xdr:col>30</xdr:col>
      <xdr:colOff>183444</xdr:colOff>
      <xdr:row>16</xdr:row>
      <xdr:rowOff>148167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36E6F-811C-4282-B0C3-6BA544E50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4276</xdr:colOff>
      <xdr:row>17</xdr:row>
      <xdr:rowOff>20022</xdr:rowOff>
    </xdr:from>
    <xdr:to>
      <xdr:col>30</xdr:col>
      <xdr:colOff>613401</xdr:colOff>
      <xdr:row>30</xdr:row>
      <xdr:rowOff>179627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424F3D-8A77-4B8E-A129-1B69F3A3E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20900</xdr:colOff>
      <xdr:row>25</xdr:row>
      <xdr:rowOff>87601</xdr:rowOff>
    </xdr:from>
    <xdr:to>
      <xdr:col>36</xdr:col>
      <xdr:colOff>259995</xdr:colOff>
      <xdr:row>39</xdr:row>
      <xdr:rowOff>11641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66D525-DE85-4085-B773-22EAED138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34060</xdr:colOff>
      <xdr:row>0</xdr:row>
      <xdr:rowOff>273075</xdr:rowOff>
    </xdr:from>
    <xdr:to>
      <xdr:col>37</xdr:col>
      <xdr:colOff>57416</xdr:colOff>
      <xdr:row>11</xdr:row>
      <xdr:rowOff>156683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F05CAD-669B-2A71-5304-9CE5B19D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5752</xdr:colOff>
      <xdr:row>30</xdr:row>
      <xdr:rowOff>186591</xdr:rowOff>
    </xdr:from>
    <xdr:to>
      <xdr:col>15</xdr:col>
      <xdr:colOff>562411</xdr:colOff>
      <xdr:row>45</xdr:row>
      <xdr:rowOff>135953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E099889-A8E3-97F0-5E07-7087F910A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19715</xdr:colOff>
      <xdr:row>2</xdr:row>
      <xdr:rowOff>167030</xdr:rowOff>
    </xdr:from>
    <xdr:to>
      <xdr:col>57</xdr:col>
      <xdr:colOff>251302</xdr:colOff>
      <xdr:row>17</xdr:row>
      <xdr:rowOff>155139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A48AC-1B1D-0604-8047-78190B4C5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8287</xdr:colOff>
      <xdr:row>51</xdr:row>
      <xdr:rowOff>7175</xdr:rowOff>
    </xdr:from>
    <xdr:to>
      <xdr:col>17</xdr:col>
      <xdr:colOff>622420</xdr:colOff>
      <xdr:row>75</xdr:row>
      <xdr:rowOff>77512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CC6815-A710-C72D-922B-DD50BD1B9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84827</xdr:colOff>
      <xdr:row>79</xdr:row>
      <xdr:rowOff>2122</xdr:rowOff>
    </xdr:from>
    <xdr:to>
      <xdr:col>22</xdr:col>
      <xdr:colOff>57490</xdr:colOff>
      <xdr:row>101</xdr:row>
      <xdr:rowOff>145332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CFE0D1-797C-4C5F-BB91-CA99C144E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116246</xdr:colOff>
      <xdr:row>104</xdr:row>
      <xdr:rowOff>163824</xdr:rowOff>
    </xdr:from>
    <xdr:to>
      <xdr:col>28</xdr:col>
      <xdr:colOff>624921</xdr:colOff>
      <xdr:row>124</xdr:row>
      <xdr:rowOff>73915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7B2FA2-4313-2993-8FCD-7B02EAD7E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10194</xdr:colOff>
      <xdr:row>1</xdr:row>
      <xdr:rowOff>30079</xdr:rowOff>
    </xdr:from>
    <xdr:to>
      <xdr:col>28</xdr:col>
      <xdr:colOff>599722</xdr:colOff>
      <xdr:row>15</xdr:row>
      <xdr:rowOff>148166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71E57E-5602-1799-3197-5411870E2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53474</xdr:colOff>
      <xdr:row>31</xdr:row>
      <xdr:rowOff>124919</xdr:rowOff>
    </xdr:from>
    <xdr:to>
      <xdr:col>11</xdr:col>
      <xdr:colOff>155964</xdr:colOff>
      <xdr:row>41</xdr:row>
      <xdr:rowOff>44561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84834-38D6-6EF4-BCBD-B285D4100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49209</xdr:colOff>
      <xdr:row>41</xdr:row>
      <xdr:rowOff>44385</xdr:rowOff>
    </xdr:from>
    <xdr:to>
      <xdr:col>11</xdr:col>
      <xdr:colOff>158750</xdr:colOff>
      <xdr:row>52</xdr:row>
      <xdr:rowOff>58124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B4B47-F7D8-526F-5D01-D7AC1AFF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289276</xdr:colOff>
      <xdr:row>31</xdr:row>
      <xdr:rowOff>167793</xdr:rowOff>
    </xdr:from>
    <xdr:to>
      <xdr:col>30</xdr:col>
      <xdr:colOff>177800</xdr:colOff>
      <xdr:row>46</xdr:row>
      <xdr:rowOff>140084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04BCB3-C644-EB6C-F133-859CDE630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12916</xdr:colOff>
      <xdr:row>16</xdr:row>
      <xdr:rowOff>15394</xdr:rowOff>
    </xdr:from>
    <xdr:to>
      <xdr:col>28</xdr:col>
      <xdr:colOff>392546</xdr:colOff>
      <xdr:row>31</xdr:row>
      <xdr:rowOff>76655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3C00A3-FC3A-0EA4-AC1F-DB6F4C67F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186265</xdr:colOff>
      <xdr:row>25</xdr:row>
      <xdr:rowOff>34685</xdr:rowOff>
    </xdr:from>
    <xdr:to>
      <xdr:col>35</xdr:col>
      <xdr:colOff>603954</xdr:colOff>
      <xdr:row>38</xdr:row>
      <xdr:rowOff>143933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2D4A86-BDBB-7AC1-4125-E7246033B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280372</xdr:colOff>
      <xdr:row>47</xdr:row>
      <xdr:rowOff>63197</xdr:rowOff>
    </xdr:from>
    <xdr:to>
      <xdr:col>18</xdr:col>
      <xdr:colOff>160429</xdr:colOff>
      <xdr:row>62</xdr:row>
      <xdr:rowOff>72369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6548AE-F6D8-5863-808E-8CB6B2F78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615433</xdr:colOff>
      <xdr:row>0</xdr:row>
      <xdr:rowOff>0</xdr:rowOff>
    </xdr:from>
    <xdr:to>
      <xdr:col>26</xdr:col>
      <xdr:colOff>272656</xdr:colOff>
      <xdr:row>15</xdr:row>
      <xdr:rowOff>143503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0571D-688C-1773-22CC-98134CF38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57401</xdr:colOff>
      <xdr:row>17</xdr:row>
      <xdr:rowOff>14349</xdr:rowOff>
    </xdr:from>
    <xdr:to>
      <xdr:col>25</xdr:col>
      <xdr:colOff>417481</xdr:colOff>
      <xdr:row>29</xdr:row>
      <xdr:rowOff>168226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89C96-C1A2-0F06-0126-D8B2B883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114902</xdr:colOff>
      <xdr:row>30</xdr:row>
      <xdr:rowOff>91924</xdr:rowOff>
    </xdr:from>
    <xdr:to>
      <xdr:col>25</xdr:col>
      <xdr:colOff>444859</xdr:colOff>
      <xdr:row>44</xdr:row>
      <xdr:rowOff>150677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005C56-C7EB-5289-9085-4D5CFD1FA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435428</xdr:colOff>
      <xdr:row>28</xdr:row>
      <xdr:rowOff>36286</xdr:rowOff>
    </xdr:from>
    <xdr:to>
      <xdr:col>8</xdr:col>
      <xdr:colOff>478358</xdr:colOff>
      <xdr:row>35</xdr:row>
      <xdr:rowOff>12096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19BD9A-E958-73CC-0B07-236E2102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1952" y="4965096"/>
          <a:ext cx="2952226" cy="12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167366</xdr:rowOff>
    </xdr:from>
    <xdr:to>
      <xdr:col>17</xdr:col>
      <xdr:colOff>793972</xdr:colOff>
      <xdr:row>55</xdr:row>
      <xdr:rowOff>157519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2AFD64-8DFE-B192-CE52-AD5663100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41705" y="5660854"/>
          <a:ext cx="6262930" cy="424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10325</xdr:colOff>
      <xdr:row>1</xdr:row>
      <xdr:rowOff>25813</xdr:rowOff>
    </xdr:from>
    <xdr:to>
      <xdr:col>14</xdr:col>
      <xdr:colOff>598861</xdr:colOff>
      <xdr:row>13</xdr:row>
      <xdr:rowOff>73337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492799-DDC6-4F5F-FBBC-D7F85AA5E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675" y="753740"/>
          <a:ext cx="3851301" cy="2215817"/>
        </a:xfrm>
        <a:prstGeom prst="rect">
          <a:avLst/>
        </a:prstGeom>
      </xdr:spPr>
    </xdr:pic>
    <xdr:clientData/>
  </xdr:twoCellAnchor>
  <xdr:twoCellAnchor editAs="oneCell">
    <xdr:from>
      <xdr:col>9</xdr:col>
      <xdr:colOff>25813</xdr:colOff>
      <xdr:row>13</xdr:row>
      <xdr:rowOff>175529</xdr:rowOff>
    </xdr:from>
    <xdr:to>
      <xdr:col>14</xdr:col>
      <xdr:colOff>604601</xdr:colOff>
      <xdr:row>22</xdr:row>
      <xdr:rowOff>98090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C32697-6F87-1C10-4B83-23F79FB7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5163" y="3071749"/>
          <a:ext cx="3841553" cy="1548780"/>
        </a:xfrm>
        <a:prstGeom prst="rect">
          <a:avLst/>
        </a:prstGeom>
      </xdr:spPr>
    </xdr:pic>
    <xdr:clientData/>
  </xdr:twoCellAnchor>
  <xdr:twoCellAnchor editAs="oneCell">
    <xdr:from>
      <xdr:col>9</xdr:col>
      <xdr:colOff>36139</xdr:colOff>
      <xdr:row>23</xdr:row>
      <xdr:rowOff>5164</xdr:rowOff>
    </xdr:from>
    <xdr:to>
      <xdr:col>14</xdr:col>
      <xdr:colOff>592592</xdr:colOff>
      <xdr:row>29</xdr:row>
      <xdr:rowOff>5163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715783-77F5-AB62-3CDE-D08D5B14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5489" y="4708294"/>
          <a:ext cx="3819218" cy="1084146"/>
        </a:xfrm>
        <a:prstGeom prst="rect">
          <a:avLst/>
        </a:prstGeom>
      </xdr:spPr>
    </xdr:pic>
    <xdr:clientData/>
  </xdr:twoCellAnchor>
  <xdr:twoCellAnchor editAs="oneCell">
    <xdr:from>
      <xdr:col>15</xdr:col>
      <xdr:colOff>139390</xdr:colOff>
      <xdr:row>1</xdr:row>
      <xdr:rowOff>36137</xdr:rowOff>
    </xdr:from>
    <xdr:to>
      <xdr:col>23</xdr:col>
      <xdr:colOff>444045</xdr:colOff>
      <xdr:row>13</xdr:row>
      <xdr:rowOff>46463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0F15E9-EE25-DCE1-74DA-F6A6D3B4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40691" y="764064"/>
          <a:ext cx="5467256" cy="2178619"/>
        </a:xfrm>
        <a:prstGeom prst="rect">
          <a:avLst/>
        </a:prstGeom>
      </xdr:spPr>
    </xdr:pic>
    <xdr:clientData/>
  </xdr:twoCellAnchor>
  <xdr:twoCellAnchor editAs="oneCell">
    <xdr:from>
      <xdr:col>15</xdr:col>
      <xdr:colOff>139389</xdr:colOff>
      <xdr:row>14</xdr:row>
      <xdr:rowOff>10325</xdr:rowOff>
    </xdr:from>
    <xdr:to>
      <xdr:col>23</xdr:col>
      <xdr:colOff>273272</xdr:colOff>
      <xdr:row>22</xdr:row>
      <xdr:rowOff>88965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B81775-86A4-33C7-17B7-12DC7D7FE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40690" y="3087236"/>
          <a:ext cx="5296484" cy="15241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12205</xdr:colOff>
      <xdr:row>14</xdr:row>
      <xdr:rowOff>8970</xdr:rowOff>
    </xdr:from>
    <xdr:to>
      <xdr:col>22</xdr:col>
      <xdr:colOff>0</xdr:colOff>
      <xdr:row>34</xdr:row>
      <xdr:rowOff>171476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4E647-B509-BF50-DE0B-27B5F242F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32711</xdr:colOff>
      <xdr:row>34</xdr:row>
      <xdr:rowOff>6414</xdr:rowOff>
    </xdr:from>
    <xdr:to>
      <xdr:col>12</xdr:col>
      <xdr:colOff>21991</xdr:colOff>
      <xdr:row>45</xdr:row>
      <xdr:rowOff>115453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43EBD-169C-25BA-EDE9-7C5EE8F3C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370417</xdr:colOff>
      <xdr:row>4</xdr:row>
      <xdr:rowOff>112183</xdr:rowOff>
    </xdr:from>
    <xdr:to>
      <xdr:col>12</xdr:col>
      <xdr:colOff>438150</xdr:colOff>
      <xdr:row>19</xdr:row>
      <xdr:rowOff>124883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AB396-950D-483B-A002-F82F21A0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339137</xdr:colOff>
      <xdr:row>13</xdr:row>
      <xdr:rowOff>24928</xdr:rowOff>
    </xdr:from>
    <xdr:to>
      <xdr:col>17</xdr:col>
      <xdr:colOff>406870</xdr:colOff>
      <xdr:row>28</xdr:row>
      <xdr:rowOff>37628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5ECA6-7818-FF2E-FA08-49588B57A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761013</xdr:colOff>
      <xdr:row>14</xdr:row>
      <xdr:rowOff>6474</xdr:rowOff>
    </xdr:from>
    <xdr:to>
      <xdr:col>10</xdr:col>
      <xdr:colOff>482013</xdr:colOff>
      <xdr:row>25</xdr:row>
      <xdr:rowOff>142508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33DD36-B13E-7EA9-BB5A-3DCB9DC0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593651</xdr:colOff>
      <xdr:row>24</xdr:row>
      <xdr:rowOff>6694</xdr:rowOff>
    </xdr:from>
    <xdr:to>
      <xdr:col>15</xdr:col>
      <xdr:colOff>6890</xdr:colOff>
      <xdr:row>39</xdr:row>
      <xdr:rowOff>17917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AC698F-F33D-F8FB-8DE4-05DEB7622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574A-F3E3-4B50-85FC-1AAEC19142AB}">
  <dimension ref="A1:BH367"/>
  <sheetViews>
    <sheetView tabSelected="1" zoomScale="60" zoomScaleNormal="115" workbookViewId="0">
      <selection activeCell="T11" sqref="T11"/>
    </sheetView>
  </sheetViews>
  <sheetFormatPr defaultRowHeight="14.35" x14ac:dyDescent="0.5"/>
  <cols>
    <col min="1" max="1" width="10.29296875" style="38" bestFit="1" customWidth="1"/>
    <col min="2" max="2" width="10.87890625" style="38" bestFit="1" customWidth="1"/>
    <col min="3" max="4" width="8.9375" style="38"/>
    <col min="5" max="5" width="12.234375" style="38" customWidth="1"/>
    <col min="6" max="6" width="3.29296875" style="260" customWidth="1"/>
    <col min="7" max="7" width="10.703125" style="38" customWidth="1"/>
    <col min="8" max="8" width="9" style="38" customWidth="1"/>
    <col min="9" max="9" width="4.52734375" style="38" customWidth="1"/>
    <col min="10" max="10" width="11.52734375" bestFit="1" customWidth="1"/>
    <col min="12" max="12" width="14.52734375" bestFit="1" customWidth="1"/>
    <col min="13" max="13" width="10.1171875" bestFit="1" customWidth="1"/>
    <col min="14" max="14" width="12.05859375" bestFit="1" customWidth="1"/>
    <col min="15" max="15" width="9.29296875" bestFit="1" customWidth="1"/>
    <col min="16" max="16" width="10.76171875" bestFit="1" customWidth="1"/>
    <col min="17" max="17" width="11.8203125" bestFit="1" customWidth="1"/>
    <col min="18" max="18" width="12.234375" bestFit="1" customWidth="1"/>
    <col min="19" max="19" width="9.46875" bestFit="1" customWidth="1"/>
    <col min="20" max="20" width="7.17578125" bestFit="1" customWidth="1"/>
    <col min="21" max="21" width="8.234375" bestFit="1" customWidth="1"/>
    <col min="22" max="22" width="11.46875" bestFit="1" customWidth="1"/>
    <col min="23" max="23" width="11.76171875" bestFit="1" customWidth="1"/>
    <col min="32" max="32" width="11.3515625" customWidth="1"/>
    <col min="33" max="33" width="11.9375" customWidth="1"/>
    <col min="34" max="34" width="14" customWidth="1"/>
    <col min="36" max="36" width="9.9375" bestFit="1" customWidth="1"/>
    <col min="39" max="39" width="10.87890625" bestFit="1" customWidth="1"/>
    <col min="51" max="51" width="11.8203125" bestFit="1" customWidth="1"/>
  </cols>
  <sheetData>
    <row r="1" spans="1:60" ht="29" thickBot="1" x14ac:dyDescent="0.55000000000000004">
      <c r="A1" s="259" t="s">
        <v>207</v>
      </c>
      <c r="B1" s="67" t="s">
        <v>108</v>
      </c>
      <c r="C1" s="67" t="s">
        <v>24</v>
      </c>
      <c r="D1" s="67" t="s">
        <v>177</v>
      </c>
      <c r="E1" s="59" t="s">
        <v>460</v>
      </c>
      <c r="F1" s="60" t="s">
        <v>179</v>
      </c>
      <c r="G1" s="67" t="s">
        <v>180</v>
      </c>
      <c r="H1" s="73" t="s">
        <v>429</v>
      </c>
      <c r="I1" s="73" t="s">
        <v>353</v>
      </c>
      <c r="J1" s="262" t="s">
        <v>175</v>
      </c>
      <c r="K1" s="263"/>
      <c r="L1" s="263"/>
      <c r="AM1" t="s">
        <v>207</v>
      </c>
      <c r="AN1">
        <v>2025</v>
      </c>
      <c r="AO1">
        <v>2024</v>
      </c>
      <c r="BH1" t="s">
        <v>619</v>
      </c>
    </row>
    <row r="2" spans="1:60" x14ac:dyDescent="0.5">
      <c r="A2" s="32" t="s">
        <v>431</v>
      </c>
      <c r="B2" s="257">
        <v>46023</v>
      </c>
      <c r="C2" s="72">
        <v>6</v>
      </c>
      <c r="D2" s="266">
        <f>AVERAGE(C2:C32)</f>
        <v>5.9290322580645176</v>
      </c>
      <c r="E2" s="269">
        <f>AVERAGE(C2:C366)</f>
        <v>6.0226351351351317</v>
      </c>
      <c r="F2" s="260">
        <v>1</v>
      </c>
      <c r="G2" s="38" t="s">
        <v>194</v>
      </c>
      <c r="I2" s="38">
        <v>0</v>
      </c>
      <c r="J2" s="264"/>
      <c r="K2" s="265"/>
      <c r="L2" s="265"/>
      <c r="AM2" s="71">
        <v>45658</v>
      </c>
      <c r="AN2" s="72">
        <v>2.5</v>
      </c>
      <c r="AO2" s="2">
        <v>6</v>
      </c>
      <c r="AP2">
        <f>AN2-AO2</f>
        <v>-3.5</v>
      </c>
      <c r="AQ2" t="str">
        <f>TRIM(MID(SUBSTITUTE($G2, ",", REPT(" ", 100)), (COLUMNS($AJ$2:AQ2)-1)*100+1, 100))</f>
        <v/>
      </c>
      <c r="BH2">
        <f>1/(LEN(G2)-LEN(SUBSTITUTE(G2,",",""))+1)</f>
        <v>1</v>
      </c>
    </row>
    <row r="3" spans="1:60" ht="14.7" thickBot="1" x14ac:dyDescent="0.55000000000000004">
      <c r="A3" s="32" t="s">
        <v>432</v>
      </c>
      <c r="B3" s="258">
        <v>46024</v>
      </c>
      <c r="C3" s="2">
        <v>4.5</v>
      </c>
      <c r="D3" s="267"/>
      <c r="E3" s="270"/>
      <c r="F3" s="260">
        <v>1</v>
      </c>
      <c r="G3" s="69" t="s">
        <v>194</v>
      </c>
      <c r="I3" s="38">
        <v>0</v>
      </c>
      <c r="AM3" s="53">
        <v>45659</v>
      </c>
      <c r="AN3" s="2">
        <v>2.8</v>
      </c>
      <c r="AO3" s="2">
        <v>4</v>
      </c>
      <c r="AP3">
        <f t="shared" ref="AP3:AP32" si="0">AN3-AO3</f>
        <v>-1.2000000000000002</v>
      </c>
      <c r="AQ3" t="str">
        <f>TRIM(MID(SUBSTITUTE($G3, ",", REPT(" ", 100)), (COLUMNS($AJ$2:AQ3)-1)*100+1, 100))</f>
        <v/>
      </c>
      <c r="BH3">
        <f t="shared" ref="BH3:BH66" si="1">1/(LEN(G3)-LEN(SUBSTITUTE(G3,",",""))+1)</f>
        <v>1</v>
      </c>
    </row>
    <row r="4" spans="1:60" ht="14.7" thickBot="1" x14ac:dyDescent="0.55000000000000004">
      <c r="A4" s="32" t="s">
        <v>433</v>
      </c>
      <c r="B4" s="257">
        <v>46025</v>
      </c>
      <c r="C4" s="2">
        <v>7.8</v>
      </c>
      <c r="D4" s="267"/>
      <c r="E4" s="270"/>
      <c r="F4" s="260">
        <v>0</v>
      </c>
      <c r="G4" s="69" t="s">
        <v>438</v>
      </c>
      <c r="H4" s="38" t="s">
        <v>439</v>
      </c>
      <c r="I4" s="38">
        <v>0</v>
      </c>
      <c r="J4" s="154" t="s">
        <v>30</v>
      </c>
      <c r="K4" s="155" t="s">
        <v>24</v>
      </c>
      <c r="L4" s="156" t="s">
        <v>25</v>
      </c>
      <c r="N4" s="162" t="s">
        <v>7</v>
      </c>
      <c r="O4" s="163" t="s">
        <v>20</v>
      </c>
      <c r="P4" s="164" t="s">
        <v>463</v>
      </c>
      <c r="Q4" s="165" t="s">
        <v>0</v>
      </c>
      <c r="R4" s="165" t="s">
        <v>1</v>
      </c>
      <c r="S4" s="165" t="s">
        <v>2</v>
      </c>
      <c r="T4" s="165" t="s">
        <v>3</v>
      </c>
      <c r="U4" s="165" t="s">
        <v>4</v>
      </c>
      <c r="V4" s="165" t="s">
        <v>5</v>
      </c>
      <c r="W4" s="166"/>
      <c r="AM4" s="53">
        <v>45660</v>
      </c>
      <c r="AN4" s="2">
        <v>4.8</v>
      </c>
      <c r="AO4" s="2">
        <v>6</v>
      </c>
      <c r="AP4">
        <f t="shared" si="0"/>
        <v>-1.2000000000000002</v>
      </c>
      <c r="AQ4" t="str">
        <f>TRIM(MID(SUBSTITUTE($G4, ",", REPT(" ", 100)), (COLUMNS($AJ$2:AQ4)-1)*100+1, 100))</f>
        <v/>
      </c>
      <c r="AT4" t="s">
        <v>179</v>
      </c>
      <c r="AU4" s="29">
        <v>5.290322580645161</v>
      </c>
      <c r="BH4">
        <f t="shared" si="1"/>
        <v>0.5</v>
      </c>
    </row>
    <row r="5" spans="1:60" ht="14.7" thickBot="1" x14ac:dyDescent="0.55000000000000004">
      <c r="A5" s="32" t="s">
        <v>434</v>
      </c>
      <c r="B5" s="258">
        <v>46026</v>
      </c>
      <c r="C5" s="2">
        <v>5.8</v>
      </c>
      <c r="D5" s="267"/>
      <c r="E5" s="270"/>
      <c r="F5" s="260">
        <v>0</v>
      </c>
      <c r="G5" s="69" t="s">
        <v>194</v>
      </c>
      <c r="I5" s="38">
        <v>0</v>
      </c>
      <c r="J5" s="151" t="s">
        <v>0</v>
      </c>
      <c r="K5" s="152">
        <v>10</v>
      </c>
      <c r="L5" s="153">
        <f>COUNTIFS(C2:C366,"&gt;=10")</f>
        <v>7</v>
      </c>
      <c r="N5" s="160" t="s">
        <v>8</v>
      </c>
      <c r="O5" s="191">
        <f>D2</f>
        <v>5.9290322580645176</v>
      </c>
      <c r="P5" s="290">
        <f>AVERAGE(O5:O16)</f>
        <v>6.0178738061844657</v>
      </c>
      <c r="Q5" s="161">
        <f>COUNTIFS(C2:C32,"&gt;=10")</f>
        <v>0</v>
      </c>
      <c r="R5" s="161">
        <f>COUNTIFS(C2:C32,"&gt;=8", C2:C32,"&lt;10")</f>
        <v>1</v>
      </c>
      <c r="S5" s="161">
        <f>COUNTIFS(C2:C32,"&gt;=6", C2:C32,"&lt;8")</f>
        <v>15</v>
      </c>
      <c r="T5" s="161">
        <f>COUNTIFS(C2:C32,"&gt;=4", C2:C32,"&lt;6")</f>
        <v>14</v>
      </c>
      <c r="U5" s="161">
        <f>COUNTIFS(C2:C32,"&gt;=2", C2:C32,"&lt;4")</f>
        <v>1</v>
      </c>
      <c r="V5" s="161">
        <f>COUNTIFS(C2:C32,"&gt;=0", C2:C32,"&lt;2")</f>
        <v>0</v>
      </c>
      <c r="W5" s="277">
        <f>AVERAGE(O5:O8)</f>
        <v>6.2678974654377884</v>
      </c>
      <c r="AM5" s="53">
        <v>45661</v>
      </c>
      <c r="AN5" s="2">
        <v>8.1999999999999993</v>
      </c>
      <c r="AO5" s="2">
        <v>8</v>
      </c>
      <c r="AP5">
        <f t="shared" si="0"/>
        <v>0.19999999999999929</v>
      </c>
      <c r="AQ5" t="str">
        <f>TRIM(MID(SUBSTITUTE($G5, ",", REPT(" ", 100)), (COLUMNS($AJ$2:AQ5)-1)*100+1, 100))</f>
        <v/>
      </c>
      <c r="AT5" t="s">
        <v>218</v>
      </c>
      <c r="AU5" s="29">
        <v>4.4137931034482758</v>
      </c>
      <c r="BH5">
        <f t="shared" si="1"/>
        <v>1</v>
      </c>
    </row>
    <row r="6" spans="1:60" x14ac:dyDescent="0.5">
      <c r="A6" s="32" t="s">
        <v>435</v>
      </c>
      <c r="B6" s="257">
        <v>46027</v>
      </c>
      <c r="C6" s="2">
        <v>5.9</v>
      </c>
      <c r="D6" s="267"/>
      <c r="E6" s="270"/>
      <c r="F6" s="260">
        <v>0</v>
      </c>
      <c r="G6" s="69" t="s">
        <v>194</v>
      </c>
      <c r="I6" s="38">
        <v>0</v>
      </c>
      <c r="J6" s="7" t="s">
        <v>1</v>
      </c>
      <c r="K6" s="8">
        <v>8</v>
      </c>
      <c r="L6" s="9">
        <f>COUNTIFS(C2:C366,"&gt;=8", C2:C366,"&lt;10")</f>
        <v>11</v>
      </c>
      <c r="N6" s="157" t="s">
        <v>9</v>
      </c>
      <c r="O6" s="192">
        <f>D33</f>
        <v>6.4964285714285719</v>
      </c>
      <c r="P6" s="290"/>
      <c r="Q6" s="57">
        <f>COUNTIFS(C33:C60,"&gt;=10")</f>
        <v>1</v>
      </c>
      <c r="R6" s="57">
        <f>COUNTIFS(C33:C60,"&gt;=8", C33:C60,"&lt;10")</f>
        <v>2</v>
      </c>
      <c r="S6" s="57">
        <f>COUNTIFS(C33:C60,"&gt;=6", C33:C60,"&lt;8")</f>
        <v>15</v>
      </c>
      <c r="T6" s="57">
        <f>COUNTIFS(C33:C60,"&gt;=4", C33:C60,"&lt;6")</f>
        <v>10</v>
      </c>
      <c r="U6" s="57">
        <f>COUNTIFS(C33:C60,"&gt;=2", C33:C60,"&lt;4")</f>
        <v>0</v>
      </c>
      <c r="V6" s="57">
        <f>COUNTIFS(C33:C60,"&gt;=0", C33:C60,"&lt;2")</f>
        <v>0</v>
      </c>
      <c r="W6" s="277"/>
      <c r="AM6" s="53">
        <v>45662</v>
      </c>
      <c r="AN6" s="2">
        <v>6.2</v>
      </c>
      <c r="AO6" s="2">
        <v>6</v>
      </c>
      <c r="AP6">
        <f t="shared" si="0"/>
        <v>0.20000000000000018</v>
      </c>
      <c r="AQ6" t="str">
        <f>TRIM(MID(SUBSTITUTE($G6, ",", REPT(" ", 100)), (COLUMNS($AJ$2:AQ6)-1)*100+1, 100))</f>
        <v/>
      </c>
      <c r="AT6" t="s">
        <v>219</v>
      </c>
      <c r="AU6" s="29">
        <v>5.5483870967741939</v>
      </c>
      <c r="BH6">
        <f t="shared" si="1"/>
        <v>1</v>
      </c>
    </row>
    <row r="7" spans="1:60" ht="14.7" thickBot="1" x14ac:dyDescent="0.55000000000000004">
      <c r="A7" s="32" t="s">
        <v>436</v>
      </c>
      <c r="B7" s="258">
        <v>46028</v>
      </c>
      <c r="C7" s="2">
        <v>7.5</v>
      </c>
      <c r="D7" s="267"/>
      <c r="E7" s="270"/>
      <c r="F7" s="260">
        <v>0</v>
      </c>
      <c r="G7" s="69" t="s">
        <v>194</v>
      </c>
      <c r="H7" s="38" t="s">
        <v>443</v>
      </c>
      <c r="I7" s="38">
        <v>0</v>
      </c>
      <c r="J7" s="11" t="s">
        <v>2</v>
      </c>
      <c r="K7" s="8">
        <v>6</v>
      </c>
      <c r="L7" s="9">
        <f>COUNTIFS(C2:C366,"&gt;=6", C2:C366,"&lt;8")</f>
        <v>128</v>
      </c>
      <c r="N7" s="157" t="s">
        <v>10</v>
      </c>
      <c r="O7" s="192">
        <f>D61</f>
        <v>6.5161290322580649</v>
      </c>
      <c r="P7" s="290"/>
      <c r="Q7" s="57">
        <f>COUNTIFS(C61:C91,"&gt;=10")</f>
        <v>1</v>
      </c>
      <c r="R7" s="57">
        <f>COUNTIFS(C61:C91,"&gt;=8", C61:C91,"&lt;10")</f>
        <v>4</v>
      </c>
      <c r="S7" s="57">
        <f>COUNTIFS(C61:C91,"&gt;=6", C61:C91,"&lt;8")</f>
        <v>15</v>
      </c>
      <c r="T7" s="57">
        <f>COUNTIFS(C61:C91,"&gt;=4", C61:C91,"&lt;6")</f>
        <v>11</v>
      </c>
      <c r="U7" s="57">
        <f>COUNTIFS(C61:C91,"&gt;=2", C61:C91,"&lt;4")</f>
        <v>0</v>
      </c>
      <c r="V7" s="57">
        <f>COUNTIFS(C61:C91,"&gt;=0", C61:C91,"&lt;2")</f>
        <v>0</v>
      </c>
      <c r="W7" s="277"/>
      <c r="AM7" s="53">
        <v>45663</v>
      </c>
      <c r="AN7" s="2">
        <v>6.1</v>
      </c>
      <c r="AO7" s="2">
        <v>8</v>
      </c>
      <c r="AP7">
        <f t="shared" si="0"/>
        <v>-1.9000000000000004</v>
      </c>
      <c r="AQ7" t="str">
        <f>TRIM(MID(SUBSTITUTE($G7, ",", REPT(" ", 100)), (COLUMNS($AJ$2:AQ7)-1)*100+1, 100))</f>
        <v/>
      </c>
      <c r="AT7" t="s">
        <v>220</v>
      </c>
      <c r="AU7" s="29">
        <v>4.4666666666666668</v>
      </c>
      <c r="BH7">
        <f t="shared" si="1"/>
        <v>1</v>
      </c>
    </row>
    <row r="8" spans="1:60" x14ac:dyDescent="0.5">
      <c r="A8" s="32" t="s">
        <v>437</v>
      </c>
      <c r="B8" s="257">
        <v>46029</v>
      </c>
      <c r="C8" s="2">
        <v>4.8</v>
      </c>
      <c r="D8" s="267"/>
      <c r="E8" s="270"/>
      <c r="F8" s="260">
        <v>0</v>
      </c>
      <c r="G8" s="69" t="s">
        <v>194</v>
      </c>
      <c r="I8" s="38">
        <v>0</v>
      </c>
      <c r="J8" s="12" t="s">
        <v>3</v>
      </c>
      <c r="K8" s="8">
        <v>4</v>
      </c>
      <c r="L8" s="9">
        <f>COUNTIFS(C2:C366,"&gt;=4", C2:C366,"&lt;6")</f>
        <v>146</v>
      </c>
      <c r="N8" s="157" t="s">
        <v>11</v>
      </c>
      <c r="O8" s="192">
        <f>D92</f>
        <v>6.13</v>
      </c>
      <c r="P8" s="290"/>
      <c r="Q8" s="57">
        <f>COUNTIFS(C92:C121,"&gt;=10")</f>
        <v>1</v>
      </c>
      <c r="R8" s="57">
        <f>COUNTIFS(C92:C121,"&gt;=8", C92:C121,"&lt;10")</f>
        <v>1</v>
      </c>
      <c r="S8" s="57">
        <f>COUNTIFS(C92:C121,"&gt;=6",C92:C121,"&lt;8")</f>
        <v>14</v>
      </c>
      <c r="T8" s="57">
        <f>COUNTIFS(C92:C121,"&gt;=4", C92:C121,"&lt;6")</f>
        <v>13</v>
      </c>
      <c r="U8" s="57">
        <f>COUNTIFS(C92:C121,"&gt;=2", C92:C121,"&lt;4")</f>
        <v>0</v>
      </c>
      <c r="V8" s="57">
        <f>COUNTIFS(C92:C121,"&gt;=0", C92:C121,"&lt;2")</f>
        <v>1</v>
      </c>
      <c r="W8" s="278"/>
      <c r="AM8" s="53">
        <v>45664</v>
      </c>
      <c r="AN8" s="2">
        <v>3.5</v>
      </c>
      <c r="AO8" s="2">
        <v>0</v>
      </c>
      <c r="AP8">
        <f t="shared" si="0"/>
        <v>3.5</v>
      </c>
      <c r="AQ8" t="str">
        <f>TRIM(MID(SUBSTITUTE($G8, ",", REPT(" ", 100)), (COLUMNS($AJ$2:AQ8)-1)*100+1, 100))</f>
        <v/>
      </c>
      <c r="AT8" t="s">
        <v>221</v>
      </c>
      <c r="AU8" s="29">
        <v>6.129032258064516</v>
      </c>
      <c r="BH8">
        <f t="shared" si="1"/>
        <v>1</v>
      </c>
    </row>
    <row r="9" spans="1:60" ht="14.7" thickBot="1" x14ac:dyDescent="0.55000000000000004">
      <c r="A9" s="32" t="s">
        <v>431</v>
      </c>
      <c r="B9" s="258">
        <v>46030</v>
      </c>
      <c r="C9" s="2">
        <v>4.5</v>
      </c>
      <c r="D9" s="267"/>
      <c r="E9" s="270"/>
      <c r="F9" s="260">
        <v>0</v>
      </c>
      <c r="G9" s="69" t="s">
        <v>194</v>
      </c>
      <c r="I9" s="38">
        <v>0</v>
      </c>
      <c r="J9" s="13" t="s">
        <v>4</v>
      </c>
      <c r="K9" s="8">
        <v>2</v>
      </c>
      <c r="L9" s="9">
        <f>COUNTIFS(C2:C366,"&gt;=2", C2:C366,"&lt;4")</f>
        <v>2</v>
      </c>
      <c r="N9" s="157" t="s">
        <v>12</v>
      </c>
      <c r="O9" s="192">
        <f>D122</f>
        <v>5.616666666666668</v>
      </c>
      <c r="P9" s="290"/>
      <c r="Q9" s="57">
        <f>COUNTIFS(C122:C152,"&gt;=10")</f>
        <v>0</v>
      </c>
      <c r="R9" s="57">
        <f>COUNTIFS(C122:C152,"&gt;=8", C122:C152,"&lt;10")</f>
        <v>0</v>
      </c>
      <c r="S9" s="57">
        <f>COUNTIFS(C122:C152,"&gt;=6",C122:C152,"&lt;8")</f>
        <v>9</v>
      </c>
      <c r="T9" s="57">
        <f>COUNTIFS(C122:C152,"&gt;=4", C122:C152,"&lt;6")</f>
        <v>22</v>
      </c>
      <c r="U9" s="57">
        <f>COUNTIFS(C122:C152,"&gt;=2", C122:C152,"&lt;4")</f>
        <v>0</v>
      </c>
      <c r="V9" s="57">
        <f>COUNTIFS(C122:C152,"&gt;=0", C122:C152,"&lt;2")</f>
        <v>0</v>
      </c>
      <c r="W9" s="279">
        <f>AVERAGE(O9:O12)</f>
        <v>5.9122580645161289</v>
      </c>
      <c r="AM9" s="53">
        <v>45665</v>
      </c>
      <c r="AN9" s="2">
        <v>1.2</v>
      </c>
      <c r="AO9" s="2">
        <v>4</v>
      </c>
      <c r="AP9">
        <f t="shared" si="0"/>
        <v>-2.8</v>
      </c>
      <c r="AQ9" t="str">
        <f>TRIM(MID(SUBSTITUTE($G9, ",", REPT(" ", 100)), (COLUMNS($AJ$2:AQ9)-1)*100+1, 100))</f>
        <v/>
      </c>
      <c r="AT9" t="s">
        <v>222</v>
      </c>
      <c r="AU9" s="29">
        <v>5.333333333333333</v>
      </c>
      <c r="BH9">
        <f t="shared" si="1"/>
        <v>1</v>
      </c>
    </row>
    <row r="10" spans="1:60" ht="14.7" thickBot="1" x14ac:dyDescent="0.55000000000000004">
      <c r="A10" s="32" t="s">
        <v>432</v>
      </c>
      <c r="B10" s="257">
        <v>46031</v>
      </c>
      <c r="C10" s="2">
        <v>6.5</v>
      </c>
      <c r="D10" s="267"/>
      <c r="E10" s="270"/>
      <c r="F10" s="260">
        <v>1</v>
      </c>
      <c r="G10" s="69" t="s">
        <v>194</v>
      </c>
      <c r="I10" s="38">
        <v>1</v>
      </c>
      <c r="J10" s="14" t="s">
        <v>5</v>
      </c>
      <c r="K10" s="15">
        <v>0</v>
      </c>
      <c r="L10" s="16">
        <f>COUNTIFS(C2:C366,"&gt;=0", C2:C366,"&lt;2")</f>
        <v>2</v>
      </c>
      <c r="N10" s="157" t="s">
        <v>13</v>
      </c>
      <c r="O10" s="192">
        <f>D153</f>
        <v>5.6033333333333335</v>
      </c>
      <c r="P10" s="290"/>
      <c r="Q10" s="57">
        <f>COUNTIFS(C153:C182,"&gt;=10")</f>
        <v>0</v>
      </c>
      <c r="R10" s="57">
        <f>COUNTIFS(C153:C182,"&gt;=8", C153:C182,"&lt;10")</f>
        <v>1</v>
      </c>
      <c r="S10" s="57">
        <f>COUNTIFS(C153:C182,"&gt;=6",C153:C182,"&lt;8")</f>
        <v>9</v>
      </c>
      <c r="T10" s="57">
        <f>COUNTIFS(C153:C182,"&gt;=4", C153:C182,"&lt;6")</f>
        <v>19</v>
      </c>
      <c r="U10" s="57">
        <f>COUNTIFS(C153:C182,"&gt;=2", C153:C182,"&lt;4")</f>
        <v>1</v>
      </c>
      <c r="V10" s="57">
        <f>COUNTIFS(C153:C182,"&gt;=0", C153:C182,"&lt;2")</f>
        <v>0</v>
      </c>
      <c r="W10" s="280"/>
      <c r="AM10" s="53">
        <v>45666</v>
      </c>
      <c r="AN10" s="2">
        <v>5.6</v>
      </c>
      <c r="AO10" s="2">
        <v>6</v>
      </c>
      <c r="AP10">
        <f t="shared" si="0"/>
        <v>-0.40000000000000036</v>
      </c>
      <c r="AQ10" t="str">
        <f>TRIM(MID(SUBSTITUTE($G10, ",", REPT(" ", 100)), (COLUMNS($AJ$2:AQ10)-1)*100+1, 100))</f>
        <v/>
      </c>
      <c r="AT10" t="s">
        <v>587</v>
      </c>
      <c r="AU10" s="29">
        <v>5.032258064516129</v>
      </c>
      <c r="BH10">
        <f t="shared" si="1"/>
        <v>1</v>
      </c>
    </row>
    <row r="11" spans="1:60" ht="14.7" thickBot="1" x14ac:dyDescent="0.55000000000000004">
      <c r="A11" s="32" t="s">
        <v>433</v>
      </c>
      <c r="B11" s="258">
        <v>46032</v>
      </c>
      <c r="C11" s="2">
        <v>5.0999999999999996</v>
      </c>
      <c r="D11" s="267"/>
      <c r="E11" s="270"/>
      <c r="F11" s="260">
        <v>1</v>
      </c>
      <c r="G11" s="69" t="s">
        <v>194</v>
      </c>
      <c r="I11" s="38">
        <v>1</v>
      </c>
      <c r="J11" s="282" t="s">
        <v>6</v>
      </c>
      <c r="K11" s="283"/>
      <c r="L11" s="17">
        <f>SUM(L5:L10)</f>
        <v>296</v>
      </c>
      <c r="N11" s="157" t="s">
        <v>14</v>
      </c>
      <c r="O11" s="192">
        <f>D183</f>
        <v>6.1032258064516114</v>
      </c>
      <c r="P11" s="290"/>
      <c r="Q11" s="57">
        <f>COUNTIFS(C183:C213,"&gt;=10")</f>
        <v>2</v>
      </c>
      <c r="R11" s="57">
        <f>COUNTIFS(C183:C213,"&gt;=8", C183:C213,"&lt;10")</f>
        <v>1</v>
      </c>
      <c r="S11" s="57">
        <f>COUNTIFS(C183:C213,"&gt;=6",C183:C213,"&lt;8")</f>
        <v>12</v>
      </c>
      <c r="T11" s="57">
        <f>COUNTIFS(C183:C213,"&gt;=4", C183:C213,"&lt;6")</f>
        <v>15</v>
      </c>
      <c r="U11" s="57">
        <f>COUNTIFS(C183:C213,"&gt;=2", C183:C213,"&lt;4")</f>
        <v>0</v>
      </c>
      <c r="V11" s="57">
        <f>COUNTIFS(C183:C213,"&gt;=0", C183:C213,"&lt;2")</f>
        <v>1</v>
      </c>
      <c r="W11" s="280"/>
      <c r="AM11" s="53">
        <v>45667</v>
      </c>
      <c r="AN11" s="2">
        <v>4.3</v>
      </c>
      <c r="AO11" s="2">
        <v>4</v>
      </c>
      <c r="AP11">
        <f t="shared" si="0"/>
        <v>0.29999999999999982</v>
      </c>
      <c r="AQ11" t="str">
        <f>TRIM(MID(SUBSTITUTE($G11, ",", REPT(" ", 100)), (COLUMNS($AJ$2:AQ11)-1)*100+1, 100))</f>
        <v/>
      </c>
      <c r="AT11" t="s">
        <v>588</v>
      </c>
      <c r="AU11" s="29">
        <v>4.967741935483871</v>
      </c>
      <c r="BH11">
        <f t="shared" si="1"/>
        <v>1</v>
      </c>
    </row>
    <row r="12" spans="1:60" ht="14.7" thickBot="1" x14ac:dyDescent="0.55000000000000004">
      <c r="A12" s="32" t="s">
        <v>434</v>
      </c>
      <c r="B12" s="257">
        <v>46033</v>
      </c>
      <c r="C12" s="2">
        <v>6</v>
      </c>
      <c r="D12" s="267"/>
      <c r="E12" s="270"/>
      <c r="F12" s="260">
        <v>1</v>
      </c>
      <c r="G12" s="69" t="s">
        <v>341</v>
      </c>
      <c r="H12" s="38" t="s">
        <v>444</v>
      </c>
      <c r="I12" s="38">
        <v>1</v>
      </c>
      <c r="N12" s="157" t="s">
        <v>15</v>
      </c>
      <c r="O12" s="192">
        <f>D214</f>
        <v>6.3258064516129027</v>
      </c>
      <c r="P12" s="290"/>
      <c r="Q12" s="57">
        <f>COUNTIFS(C214:C244,"&gt;=10")</f>
        <v>2</v>
      </c>
      <c r="R12" s="57">
        <f>COUNTIFS(C214:C244,"&gt;=8", C214:C244,"&lt;10")</f>
        <v>0</v>
      </c>
      <c r="S12" s="57">
        <f>COUNTIFS(C214:C244,"&gt;=6",C214:C244,"&lt;8")</f>
        <v>20</v>
      </c>
      <c r="T12" s="57">
        <f>COUNTIFS(C214:C244,"&gt;=4", C214:C244,"&lt;6")</f>
        <v>9</v>
      </c>
      <c r="U12" s="57">
        <f>COUNTIFS(C214:C244,"&gt;=2", C214:C244,"&lt;4")</f>
        <v>0</v>
      </c>
      <c r="V12" s="57">
        <f>COUNTIFS(C214:C244,"&gt;=0", C214:C244,"&lt;2")</f>
        <v>0</v>
      </c>
      <c r="W12" s="281"/>
      <c r="AM12" s="53">
        <v>45668</v>
      </c>
      <c r="AN12" s="2">
        <v>5.4</v>
      </c>
      <c r="AO12" s="2">
        <v>6</v>
      </c>
      <c r="AP12">
        <f t="shared" si="0"/>
        <v>-0.59999999999999964</v>
      </c>
      <c r="AQ12" t="str">
        <f>TRIM(MID(SUBSTITUTE($G12, ",", REPT(" ", 100)), (COLUMNS($AJ$2:AQ12)-1)*100+1, 100))</f>
        <v/>
      </c>
      <c r="AT12" t="s">
        <v>158</v>
      </c>
      <c r="AU12" s="29">
        <v>5.2666666666666666</v>
      </c>
      <c r="BH12">
        <f t="shared" si="1"/>
        <v>0.25</v>
      </c>
    </row>
    <row r="13" spans="1:60" ht="14.7" thickBot="1" x14ac:dyDescent="0.55000000000000004">
      <c r="A13" s="32" t="s">
        <v>435</v>
      </c>
      <c r="B13" s="258">
        <v>46034</v>
      </c>
      <c r="C13" s="2">
        <v>3.9</v>
      </c>
      <c r="D13" s="267"/>
      <c r="E13" s="270"/>
      <c r="F13" s="260">
        <v>1</v>
      </c>
      <c r="G13" s="69" t="s">
        <v>176</v>
      </c>
      <c r="H13" s="38" t="s">
        <v>445</v>
      </c>
      <c r="I13" s="38">
        <v>0</v>
      </c>
      <c r="J13" s="284" t="s">
        <v>174</v>
      </c>
      <c r="K13" s="285"/>
      <c r="L13" s="288">
        <f>L11/3.65</f>
        <v>81.095890410958901</v>
      </c>
      <c r="N13" s="157" t="s">
        <v>16</v>
      </c>
      <c r="O13" s="192">
        <f>D245</f>
        <v>5.7233333333333318</v>
      </c>
      <c r="P13" s="290"/>
      <c r="Q13" s="57">
        <f>COUNTIFS(C245:C274,"&gt;=10")</f>
        <v>0</v>
      </c>
      <c r="R13" s="57">
        <f>COUNTIFS(C245:C274,"&gt;=8", C245:C274,"&lt;10")</f>
        <v>0</v>
      </c>
      <c r="S13" s="57">
        <f>COUNTIFS(C245:C274,"&gt;=6",C245:C274,"&lt;8")</f>
        <v>16</v>
      </c>
      <c r="T13" s="57">
        <f>COUNTIFS(C245:C274,"&gt;=4", C245:C274,"&lt;6")</f>
        <v>14</v>
      </c>
      <c r="U13" s="57">
        <f>COUNTIFS(C245:C274,"&gt;=2", C245:C274,"&lt;4")</f>
        <v>0</v>
      </c>
      <c r="V13" s="57">
        <f>COUNTIFS(C245:C274,"&gt;=0", C245:C274,"&lt;2")</f>
        <v>0</v>
      </c>
      <c r="W13" s="279">
        <f>AVERAGE(O13:O16)</f>
        <v>5.7290579710144911</v>
      </c>
      <c r="AF13" s="31" t="s">
        <v>193</v>
      </c>
      <c r="AG13" s="31"/>
      <c r="AI13" t="str">
        <f>TRIM(MID(SUBSTITUTE($G34, ",", REPT(" ", 100)), (COLUMNS($AJ$2:AN34)-1)*100+1, 100))</f>
        <v/>
      </c>
      <c r="AJ13" t="str">
        <f>TRIM(MID(SUBSTITUTE($G34, ",", REPT(" ", 100)), (COLUMNS($AJ$2:AO34)-1)*100+1, 100))</f>
        <v/>
      </c>
      <c r="AL13" t="str">
        <f>TRIM(MID(SUBSTITUTE($G34, ",", REPT(" ", 100)), (COLUMNS($AJ$2:AQ34)-1)*100+1, 100))</f>
        <v/>
      </c>
      <c r="AM13" s="53">
        <v>45669</v>
      </c>
      <c r="AN13" s="2">
        <v>7.2</v>
      </c>
      <c r="AO13" s="2">
        <v>6</v>
      </c>
      <c r="AP13">
        <f t="shared" si="0"/>
        <v>1.2000000000000002</v>
      </c>
      <c r="AQ13" t="str">
        <f>TRIM(MID(SUBSTITUTE($G13, ",", REPT(" ", 100)), (COLUMNS($AJ$2:AQ13)-1)*100+1, 100))</f>
        <v/>
      </c>
      <c r="AT13" t="s">
        <v>589</v>
      </c>
      <c r="AU13" s="29">
        <v>5.612903225806452</v>
      </c>
      <c r="BH13">
        <f t="shared" si="1"/>
        <v>1</v>
      </c>
    </row>
    <row r="14" spans="1:60" ht="14.7" thickBot="1" x14ac:dyDescent="0.55000000000000004">
      <c r="A14" s="32" t="s">
        <v>436</v>
      </c>
      <c r="B14" s="257">
        <v>46035</v>
      </c>
      <c r="C14" s="2">
        <v>4.4000000000000004</v>
      </c>
      <c r="D14" s="267"/>
      <c r="E14" s="270"/>
      <c r="F14" s="260">
        <v>0</v>
      </c>
      <c r="G14" s="69" t="s">
        <v>176</v>
      </c>
      <c r="H14" s="38" t="s">
        <v>113</v>
      </c>
      <c r="I14" s="38">
        <v>0</v>
      </c>
      <c r="J14" s="286"/>
      <c r="K14" s="287"/>
      <c r="L14" s="289"/>
      <c r="N14" s="157" t="s">
        <v>17</v>
      </c>
      <c r="O14" s="192">
        <f>D275</f>
        <v>5.7347826086956513</v>
      </c>
      <c r="P14" s="290"/>
      <c r="Q14" s="57">
        <f>COUNTIFS(C275:C305,"&gt;=10")</f>
        <v>0</v>
      </c>
      <c r="R14" s="57">
        <f>COUNTIFS(C275:C305,"&gt;=8", C275:C305,"&lt;10")</f>
        <v>1</v>
      </c>
      <c r="S14" s="57">
        <f>COUNTIFS(C275:C305,"&gt;=6",C275:C305,"&lt;8")</f>
        <v>3</v>
      </c>
      <c r="T14" s="57">
        <f>COUNTIFS(A275:A305,"&gt;=0", A275:A305,"&lt;2")</f>
        <v>0</v>
      </c>
      <c r="U14" s="57">
        <f>COUNTIFS(C275:C305,"&gt;=2", C275:C305,"&lt;4")</f>
        <v>0</v>
      </c>
      <c r="V14" s="57">
        <f>COUNTIFS(C275:C305,"&gt;=0", C275:C305,"&lt;2")</f>
        <v>0</v>
      </c>
      <c r="W14" s="280"/>
      <c r="AF14" s="31" t="s">
        <v>8</v>
      </c>
      <c r="AG14" s="66">
        <f>AVERAGE(F2:F32)*100</f>
        <v>48.387096774193552</v>
      </c>
      <c r="AI14" t="str">
        <f>TRIM(MID(SUBSTITUTE($G35, ",", REPT(" ", 100)), (COLUMNS($AJ$2:AN35)-1)*100+1, 100))</f>
        <v/>
      </c>
      <c r="AJ14" s="24" t="s">
        <v>0</v>
      </c>
      <c r="AK14" s="26">
        <f t="shared" ref="AK14:AK19" si="2">L5</f>
        <v>7</v>
      </c>
      <c r="AL14" t="str">
        <f>TRIM(MID(SUBSTITUTE($G35, ",", REPT(" ", 100)), (COLUMNS($AJ$2:AQ35)-1)*100+1, 100))</f>
        <v/>
      </c>
      <c r="AM14" s="53">
        <v>45670</v>
      </c>
      <c r="AN14" s="2">
        <v>3.9</v>
      </c>
      <c r="AO14" s="2">
        <v>2</v>
      </c>
      <c r="AP14">
        <f t="shared" si="0"/>
        <v>1.9</v>
      </c>
      <c r="AQ14" t="str">
        <f>TRIM(MID(SUBSTITUTE($G14, ",", REPT(" ", 100)), (COLUMNS($AJ$2:AQ14)-1)*100+1, 100))</f>
        <v/>
      </c>
      <c r="AT14" t="s">
        <v>590</v>
      </c>
      <c r="AU14" s="29">
        <v>5.5333333333333332</v>
      </c>
      <c r="BH14">
        <f t="shared" si="1"/>
        <v>1</v>
      </c>
    </row>
    <row r="15" spans="1:60" ht="14.7" thickBot="1" x14ac:dyDescent="0.55000000000000004">
      <c r="A15" s="32" t="s">
        <v>437</v>
      </c>
      <c r="B15" s="258">
        <v>46036</v>
      </c>
      <c r="C15" s="2">
        <v>5.3</v>
      </c>
      <c r="D15" s="267"/>
      <c r="E15" s="270"/>
      <c r="F15" s="260">
        <v>1</v>
      </c>
      <c r="G15" s="69" t="s">
        <v>176</v>
      </c>
      <c r="H15" s="38" t="s">
        <v>447</v>
      </c>
      <c r="I15" s="38">
        <v>0</v>
      </c>
      <c r="N15" s="157" t="s">
        <v>18</v>
      </c>
      <c r="O15" s="192"/>
      <c r="P15" s="290"/>
      <c r="Q15" s="57">
        <f>COUNTIFS(C306:C335,"&gt;=10")</f>
        <v>0</v>
      </c>
      <c r="R15" s="57">
        <f>COUNTIFS(C306:C335,"&gt;=8", C306:C335,"&lt;10")</f>
        <v>0</v>
      </c>
      <c r="S15" s="57">
        <f>COUNTIFS(C306:C335,"&gt;=6",C306:C335,"&lt;8")</f>
        <v>0</v>
      </c>
      <c r="T15" s="57">
        <f>COUNTIFS(A306:A335,"&gt;=0", A306:A335,"&lt;2")</f>
        <v>0</v>
      </c>
      <c r="U15" s="57">
        <f>COUNTIFS(C306:C335,"&gt;=2", C306:C335,"&lt;4")</f>
        <v>0</v>
      </c>
      <c r="V15" s="57">
        <f>COUNTIFS(C306:C335,"&gt;=0", C306:C335,"&lt;2")</f>
        <v>0</v>
      </c>
      <c r="W15" s="280"/>
      <c r="AF15" s="31" t="s">
        <v>9</v>
      </c>
      <c r="AG15" s="66">
        <f>AVERAGE(F33:F60)*100</f>
        <v>71.428571428571431</v>
      </c>
      <c r="AI15" t="str">
        <f>TRIM(MID(SUBSTITUTE($G36, ",", REPT(" ", 100)), (COLUMNS($AJ$2:AN36)-1)*100+1, 100))</f>
        <v/>
      </c>
      <c r="AJ15" s="7" t="s">
        <v>1</v>
      </c>
      <c r="AK15" s="9">
        <f t="shared" si="2"/>
        <v>11</v>
      </c>
      <c r="AL15" t="str">
        <f>TRIM(MID(SUBSTITUTE($G36, ",", REPT(" ", 100)), (COLUMNS($AJ$2:AQ36)-1)*100+1, 100))</f>
        <v/>
      </c>
      <c r="AM15" s="53">
        <v>45671</v>
      </c>
      <c r="AN15" s="2">
        <v>1.5</v>
      </c>
      <c r="AO15" s="2">
        <v>4</v>
      </c>
      <c r="AP15">
        <f t="shared" si="0"/>
        <v>-2.5</v>
      </c>
      <c r="AQ15" t="str">
        <f>TRIM(MID(SUBSTITUTE($G15, ",", REPT(" ", 100)), (COLUMNS($AJ$2:AQ15)-1)*100+1, 100))</f>
        <v/>
      </c>
      <c r="AT15" t="s">
        <v>591</v>
      </c>
      <c r="AU15" s="30">
        <v>4.709677419354839</v>
      </c>
      <c r="BH15">
        <f t="shared" si="1"/>
        <v>1</v>
      </c>
    </row>
    <row r="16" spans="1:60" x14ac:dyDescent="0.5">
      <c r="A16" s="32" t="s">
        <v>431</v>
      </c>
      <c r="B16" s="257">
        <v>46037</v>
      </c>
      <c r="C16" s="2">
        <v>5.4</v>
      </c>
      <c r="D16" s="267"/>
      <c r="E16" s="270"/>
      <c r="F16" s="260">
        <v>0</v>
      </c>
      <c r="G16" s="69" t="s">
        <v>176</v>
      </c>
      <c r="I16" s="38">
        <v>0</v>
      </c>
      <c r="N16" s="157" t="s">
        <v>19</v>
      </c>
      <c r="O16" s="157"/>
      <c r="P16" s="291"/>
      <c r="Q16" s="57">
        <f>COUNTIFS(C336:C366,"&gt;=10")</f>
        <v>0</v>
      </c>
      <c r="R16" s="57">
        <f>COUNTIFS(C336:C366,"&gt;=8", C336:C366,"&lt;10")</f>
        <v>0</v>
      </c>
      <c r="S16" s="57">
        <f>COUNTIFS(C336:C366,"&gt;=6",C336:C366,"&lt;8")</f>
        <v>0</v>
      </c>
      <c r="T16" s="57">
        <f>COUNTIFS(A336:A366,"&gt;=0", A336:A366,"&lt;2")</f>
        <v>0</v>
      </c>
      <c r="U16" s="57">
        <f>COUNTIFS(C336:C366,"&gt;=2", C336:C366,"&lt;4")</f>
        <v>0</v>
      </c>
      <c r="V16" s="57">
        <f>COUNTIFS(C336:C366,"&gt;=0", C336:C366,"&lt;2")</f>
        <v>0</v>
      </c>
      <c r="W16" s="281"/>
      <c r="AF16" s="31" t="s">
        <v>10</v>
      </c>
      <c r="AG16" s="31">
        <f>AVERAGE(F61:F91)*100</f>
        <v>51.612903225806448</v>
      </c>
      <c r="AI16" t="str">
        <f>TRIM(MID(SUBSTITUTE($G37, ",", REPT(" ", 100)), (COLUMNS($AJ$2:AN37)-1)*100+1, 100))</f>
        <v/>
      </c>
      <c r="AJ16" s="11" t="s">
        <v>2</v>
      </c>
      <c r="AK16" s="9">
        <f t="shared" si="2"/>
        <v>128</v>
      </c>
      <c r="AL16" t="str">
        <f>TRIM(MID(SUBSTITUTE($G37, ",", REPT(" ", 100)), (COLUMNS($AJ$2:AQ37)-1)*100+1, 100))</f>
        <v/>
      </c>
      <c r="AM16" s="53">
        <v>45672</v>
      </c>
      <c r="AN16" s="2">
        <v>5.2</v>
      </c>
      <c r="AO16" s="2">
        <v>6</v>
      </c>
      <c r="AP16">
        <f t="shared" si="0"/>
        <v>-0.79999999999999982</v>
      </c>
      <c r="AQ16" t="str">
        <f>TRIM(MID(SUBSTITUTE($G16, ",", REPT(" ", 100)), (COLUMNS($AJ$2:AQ16)-1)*100+1, 100))</f>
        <v/>
      </c>
      <c r="AT16" t="s">
        <v>592</v>
      </c>
      <c r="AU16">
        <v>5</v>
      </c>
      <c r="BH16">
        <f t="shared" si="1"/>
        <v>1</v>
      </c>
    </row>
    <row r="17" spans="1:60" ht="14.7" thickBot="1" x14ac:dyDescent="0.55000000000000004">
      <c r="A17" s="32" t="s">
        <v>432</v>
      </c>
      <c r="B17" s="258">
        <v>46038</v>
      </c>
      <c r="C17" s="2">
        <v>6</v>
      </c>
      <c r="D17" s="267"/>
      <c r="E17" s="270"/>
      <c r="F17" s="260">
        <v>1</v>
      </c>
      <c r="G17" s="69" t="s">
        <v>176</v>
      </c>
      <c r="I17" s="38">
        <v>1</v>
      </c>
      <c r="N17" s="158"/>
      <c r="O17" s="85"/>
      <c r="P17" s="85"/>
      <c r="Q17" s="85"/>
      <c r="R17" s="85"/>
      <c r="S17" s="85"/>
      <c r="T17" s="85"/>
      <c r="U17" s="85"/>
      <c r="V17" s="85"/>
      <c r="W17" s="159"/>
      <c r="AF17" s="31" t="s">
        <v>11</v>
      </c>
      <c r="AG17" s="31">
        <f>AVERAGE(F92:F121)*100</f>
        <v>70</v>
      </c>
      <c r="AI17" t="str">
        <f>TRIM(MID(SUBSTITUTE($G38, ",", REPT(" ", 100)), (COLUMNS($AJ$2:AN38)-1)*100+1, 100))</f>
        <v/>
      </c>
      <c r="AJ17" s="12" t="s">
        <v>3</v>
      </c>
      <c r="AK17" s="9">
        <f t="shared" si="2"/>
        <v>146</v>
      </c>
      <c r="AL17" t="str">
        <f>TRIM(MID(SUBSTITUTE($G38, ",", REPT(" ", 100)), (COLUMNS($AJ$2:AQ38)-1)*100+1, 100))</f>
        <v/>
      </c>
      <c r="AM17" s="53">
        <v>45673</v>
      </c>
      <c r="AN17" s="2">
        <v>6.5</v>
      </c>
      <c r="AO17" s="2">
        <v>0</v>
      </c>
      <c r="AP17">
        <f t="shared" si="0"/>
        <v>6.5</v>
      </c>
      <c r="AQ17" t="str">
        <f>TRIM(MID(SUBSTITUTE($G17, ",", REPT(" ", 100)), (COLUMNS($AJ$2:AQ17)-1)*100+1, 100))</f>
        <v/>
      </c>
      <c r="AT17" t="s">
        <v>593</v>
      </c>
      <c r="AU17">
        <v>4.7571428571428571</v>
      </c>
      <c r="BH17">
        <f t="shared" si="1"/>
        <v>1</v>
      </c>
    </row>
    <row r="18" spans="1:60" x14ac:dyDescent="0.5">
      <c r="A18" s="32" t="s">
        <v>433</v>
      </c>
      <c r="B18" s="257">
        <v>46039</v>
      </c>
      <c r="C18" s="2">
        <v>6.9</v>
      </c>
      <c r="D18" s="267"/>
      <c r="E18" s="270"/>
      <c r="F18" s="260">
        <v>0</v>
      </c>
      <c r="G18" s="69" t="s">
        <v>176</v>
      </c>
      <c r="I18" s="38">
        <v>0.6</v>
      </c>
      <c r="AF18" s="31" t="s">
        <v>12</v>
      </c>
      <c r="AG18" s="31">
        <f>AVERAGE(F122:F152)*100</f>
        <v>61.29032258064516</v>
      </c>
      <c r="AI18" t="str">
        <f>TRIM(MID(SUBSTITUTE($G39, ",", REPT(" ", 100)), (COLUMNS($AJ$2:AN39)-1)*100+1, 100))</f>
        <v/>
      </c>
      <c r="AJ18" s="13" t="s">
        <v>4</v>
      </c>
      <c r="AK18" s="9">
        <f t="shared" si="2"/>
        <v>2</v>
      </c>
      <c r="AL18" t="str">
        <f>TRIM(MID(SUBSTITUTE($G39, ",", REPT(" ", 100)), (COLUMNS($AJ$2:AQ39)-1)*100+1, 100))</f>
        <v/>
      </c>
      <c r="AM18" s="53">
        <v>45674</v>
      </c>
      <c r="AN18" s="2">
        <v>2.9</v>
      </c>
      <c r="AO18" s="2">
        <v>6</v>
      </c>
      <c r="AP18">
        <f t="shared" si="0"/>
        <v>-3.1</v>
      </c>
      <c r="AQ18" t="str">
        <f>TRIM(MID(SUBSTITUTE($G18, ",", REPT(" ", 100)), (COLUMNS($AJ$2:AQ18)-1)*100+1, 100))</f>
        <v/>
      </c>
      <c r="AT18" t="s">
        <v>594</v>
      </c>
      <c r="AU18">
        <v>5.1967741935483867</v>
      </c>
      <c r="BH18">
        <f t="shared" si="1"/>
        <v>1</v>
      </c>
    </row>
    <row r="19" spans="1:60" ht="14.7" thickBot="1" x14ac:dyDescent="0.55000000000000004">
      <c r="A19" s="32" t="s">
        <v>434</v>
      </c>
      <c r="B19" s="258">
        <v>46040</v>
      </c>
      <c r="C19" s="2">
        <v>7.6</v>
      </c>
      <c r="D19" s="267"/>
      <c r="E19" s="270"/>
      <c r="F19" s="260">
        <v>0</v>
      </c>
      <c r="G19" s="69" t="s">
        <v>176</v>
      </c>
      <c r="H19" s="38" t="s">
        <v>449</v>
      </c>
      <c r="I19" s="38">
        <v>0.9</v>
      </c>
      <c r="AF19" s="31" t="s">
        <v>13</v>
      </c>
      <c r="AG19" s="87">
        <f>AVERAGE(F153:F182)*100</f>
        <v>60</v>
      </c>
      <c r="AI19" t="str">
        <f>TRIM(MID(SUBSTITUTE($G40, ",", REPT(" ", 100)), (COLUMNS($AJ$2:AN40)-1)*100+1, 100))</f>
        <v/>
      </c>
      <c r="AJ19" s="14" t="s">
        <v>5</v>
      </c>
      <c r="AK19" s="16">
        <f t="shared" si="2"/>
        <v>2</v>
      </c>
      <c r="AL19" t="str">
        <f>TRIM(MID(SUBSTITUTE($G40, ",", REPT(" ", 100)), (COLUMNS($AJ$2:AQ40)-1)*100+1, 100))</f>
        <v/>
      </c>
      <c r="AM19" s="53">
        <v>45675</v>
      </c>
      <c r="AN19" s="2">
        <v>3.3</v>
      </c>
      <c r="AO19" s="2">
        <v>6</v>
      </c>
      <c r="AP19">
        <f t="shared" si="0"/>
        <v>-2.7</v>
      </c>
      <c r="AQ19" t="str">
        <f>TRIM(MID(SUBSTITUTE($G19, ",", REPT(" ", 100)), (COLUMNS($AJ$2:AQ19)-1)*100+1, 100))</f>
        <v/>
      </c>
      <c r="AT19" t="s">
        <v>595</v>
      </c>
      <c r="AU19">
        <v>4.8866666666666676</v>
      </c>
      <c r="BH19">
        <f t="shared" si="1"/>
        <v>1</v>
      </c>
    </row>
    <row r="20" spans="1:60" x14ac:dyDescent="0.5">
      <c r="A20" s="32" t="s">
        <v>435</v>
      </c>
      <c r="B20" s="257">
        <v>46041</v>
      </c>
      <c r="C20" s="2">
        <v>6.5</v>
      </c>
      <c r="D20" s="267"/>
      <c r="E20" s="270"/>
      <c r="F20" s="260">
        <v>1</v>
      </c>
      <c r="G20" s="69" t="s">
        <v>176</v>
      </c>
      <c r="I20" s="38">
        <v>0</v>
      </c>
      <c r="AF20" s="31" t="s">
        <v>14</v>
      </c>
      <c r="AG20" s="87">
        <f>AVERAGE(F184:F213)*100</f>
        <v>60</v>
      </c>
      <c r="AI20" t="str">
        <f>TRIM(MID(SUBSTITUTE($G41, ",", REPT(" ", 100)), (COLUMNS($AJ$2:AN41)-1)*100+1, 100))</f>
        <v/>
      </c>
      <c r="AJ20" t="str">
        <f>TRIM(MID(SUBSTITUTE($G41, ",", REPT(" ", 100)), (COLUMNS($AJ$2:AO41)-1)*100+1, 100))</f>
        <v/>
      </c>
      <c r="AL20" t="str">
        <f>TRIM(MID(SUBSTITUTE($G41, ",", REPT(" ", 100)), (COLUMNS($AJ$2:AQ41)-1)*100+1, 100))</f>
        <v/>
      </c>
      <c r="AM20" s="53">
        <v>45676</v>
      </c>
      <c r="AN20" s="2">
        <v>6.2</v>
      </c>
      <c r="AO20" s="2">
        <v>6</v>
      </c>
      <c r="AP20">
        <f t="shared" si="0"/>
        <v>0.20000000000000018</v>
      </c>
      <c r="AQ20" t="str">
        <f>TRIM(MID(SUBSTITUTE($G20, ",", REPT(" ", 100)), (COLUMNS($AJ$2:AQ20)-1)*100+1, 100))</f>
        <v/>
      </c>
      <c r="AT20" t="s">
        <v>596</v>
      </c>
      <c r="AU20">
        <v>5.8967741935483877</v>
      </c>
      <c r="BH20">
        <f t="shared" si="1"/>
        <v>1</v>
      </c>
    </row>
    <row r="21" spans="1:60" ht="14.7" thickBot="1" x14ac:dyDescent="0.55000000000000004">
      <c r="A21" s="32" t="s">
        <v>436</v>
      </c>
      <c r="B21" s="258">
        <v>46042</v>
      </c>
      <c r="C21" s="2">
        <v>6</v>
      </c>
      <c r="D21" s="267"/>
      <c r="E21" s="270"/>
      <c r="F21" s="260">
        <v>0</v>
      </c>
      <c r="G21" s="69" t="s">
        <v>176</v>
      </c>
      <c r="I21" s="38">
        <v>0</v>
      </c>
      <c r="AF21" s="31" t="s">
        <v>15</v>
      </c>
      <c r="AG21" s="31">
        <f>AVERAGE(F214:F244)*100</f>
        <v>58.064516129032263</v>
      </c>
      <c r="AI21" t="str">
        <f>TRIM(MID(SUBSTITUTE($G42, ",", REPT(" ", 100)), (COLUMNS($AJ$2:AN42)-1)*100+1, 100))</f>
        <v/>
      </c>
      <c r="AJ21" t="str">
        <f>TRIM(MID(SUBSTITUTE($G42, ",", REPT(" ", 100)), (COLUMNS($AJ$2:AO42)-1)*100+1, 100))</f>
        <v/>
      </c>
      <c r="AL21" t="str">
        <f>TRIM(MID(SUBSTITUTE($G42, ",", REPT(" ", 100)), (COLUMNS($AJ$2:AQ42)-1)*100+1, 100))</f>
        <v/>
      </c>
      <c r="AM21" s="53">
        <v>45677</v>
      </c>
      <c r="AN21" s="2">
        <v>5</v>
      </c>
      <c r="AO21" s="2">
        <v>6</v>
      </c>
      <c r="AP21">
        <f t="shared" si="0"/>
        <v>-1</v>
      </c>
      <c r="AQ21" t="str">
        <f>TRIM(MID(SUBSTITUTE($G21, ",", REPT(" ", 100)), (COLUMNS($AJ$2:AQ21)-1)*100+1, 100))</f>
        <v/>
      </c>
      <c r="AT21" t="s">
        <v>597</v>
      </c>
      <c r="AU21">
        <v>4.8600000000000003</v>
      </c>
      <c r="BH21">
        <f t="shared" si="1"/>
        <v>1</v>
      </c>
    </row>
    <row r="22" spans="1:60" x14ac:dyDescent="0.5">
      <c r="A22" s="32" t="s">
        <v>437</v>
      </c>
      <c r="B22" s="257">
        <v>46043</v>
      </c>
      <c r="C22" s="2">
        <v>6.7</v>
      </c>
      <c r="D22" s="267"/>
      <c r="E22" s="270"/>
      <c r="F22" s="260">
        <v>0</v>
      </c>
      <c r="G22" s="69" t="s">
        <v>176</v>
      </c>
      <c r="I22" s="38">
        <v>0</v>
      </c>
      <c r="AF22" s="31" t="s">
        <v>16</v>
      </c>
      <c r="AG22" s="31"/>
      <c r="AM22" s="53">
        <v>45678</v>
      </c>
      <c r="AN22" s="2">
        <v>4.3</v>
      </c>
      <c r="AO22" s="2">
        <v>6</v>
      </c>
      <c r="AP22">
        <f t="shared" si="0"/>
        <v>-1.7000000000000002</v>
      </c>
      <c r="AQ22" t="str">
        <f>TRIM(MID(SUBSTITUTE($G22, ",", REPT(" ", 100)), (COLUMNS($AJ$2:AQ22)-1)*100+1, 100))</f>
        <v/>
      </c>
      <c r="AT22" t="s">
        <v>217</v>
      </c>
      <c r="AU22">
        <v>5.3903225806451607</v>
      </c>
      <c r="BH22">
        <f t="shared" si="1"/>
        <v>1</v>
      </c>
    </row>
    <row r="23" spans="1:60" ht="14.7" thickBot="1" x14ac:dyDescent="0.55000000000000004">
      <c r="A23" s="32" t="s">
        <v>431</v>
      </c>
      <c r="B23" s="258">
        <v>46044</v>
      </c>
      <c r="C23" s="2">
        <v>5.8</v>
      </c>
      <c r="D23" s="267"/>
      <c r="E23" s="270"/>
      <c r="F23" s="260">
        <v>1</v>
      </c>
      <c r="G23" s="69" t="s">
        <v>176</v>
      </c>
      <c r="I23" s="38">
        <v>0</v>
      </c>
      <c r="AF23" s="31" t="s">
        <v>17</v>
      </c>
      <c r="AG23" s="31"/>
      <c r="AM23" s="53">
        <v>45679</v>
      </c>
      <c r="AN23" s="2">
        <v>4.0999999999999996</v>
      </c>
      <c r="AO23" s="2">
        <v>4</v>
      </c>
      <c r="AP23">
        <f t="shared" si="0"/>
        <v>9.9999999999999645E-2</v>
      </c>
      <c r="AQ23" t="str">
        <f>TRIM(MID(SUBSTITUTE($G23, ",", REPT(" ", 100)), (COLUMNS($AJ$2:AQ23)-1)*100+1, 100))</f>
        <v/>
      </c>
      <c r="AT23" t="s">
        <v>598</v>
      </c>
      <c r="AU23">
        <v>4.6545454545454543</v>
      </c>
      <c r="BH23">
        <f t="shared" si="1"/>
        <v>1</v>
      </c>
    </row>
    <row r="24" spans="1:60" x14ac:dyDescent="0.5">
      <c r="A24" s="32" t="s">
        <v>432</v>
      </c>
      <c r="B24" s="257">
        <v>46045</v>
      </c>
      <c r="C24" s="2">
        <v>7</v>
      </c>
      <c r="D24" s="267"/>
      <c r="E24" s="270"/>
      <c r="F24" s="260">
        <v>1</v>
      </c>
      <c r="G24" s="69" t="s">
        <v>176</v>
      </c>
      <c r="H24" s="38" t="s">
        <v>454</v>
      </c>
      <c r="I24" s="38">
        <v>0</v>
      </c>
      <c r="AF24" s="31" t="s">
        <v>18</v>
      </c>
      <c r="AG24" s="31"/>
      <c r="AI24" s="86">
        <f>AVERAGE(F2:F366)*100</f>
        <v>60.526315789473685</v>
      </c>
      <c r="AM24" s="53">
        <v>45680</v>
      </c>
      <c r="AN24" s="2">
        <v>1.2</v>
      </c>
      <c r="AO24" s="2">
        <v>4</v>
      </c>
      <c r="AP24">
        <f t="shared" si="0"/>
        <v>-2.8</v>
      </c>
      <c r="AQ24" t="str">
        <f>TRIM(MID(SUBSTITUTE($G24, ",", REPT(" ", 100)), (COLUMNS($AJ$2:AQ24)-1)*100+1, 100))</f>
        <v/>
      </c>
      <c r="AT24" t="s">
        <v>599</v>
      </c>
      <c r="AU24">
        <v>5.8166666666666673</v>
      </c>
      <c r="AY24" s="189" t="s">
        <v>620</v>
      </c>
      <c r="AZ24" s="189" t="s">
        <v>549</v>
      </c>
      <c r="BH24">
        <f t="shared" si="1"/>
        <v>1</v>
      </c>
    </row>
    <row r="25" spans="1:60" ht="14.7" thickBot="1" x14ac:dyDescent="0.55000000000000004">
      <c r="A25" s="32" t="s">
        <v>433</v>
      </c>
      <c r="B25" s="258">
        <v>46046</v>
      </c>
      <c r="C25" s="2">
        <v>7</v>
      </c>
      <c r="D25" s="267"/>
      <c r="E25" s="270"/>
      <c r="F25" s="260">
        <v>1</v>
      </c>
      <c r="G25" s="69" t="s">
        <v>176</v>
      </c>
      <c r="H25" s="38" t="s">
        <v>457</v>
      </c>
      <c r="I25" s="38">
        <v>0</v>
      </c>
      <c r="AF25" s="31" t="s">
        <v>19</v>
      </c>
      <c r="AG25" s="31"/>
      <c r="AM25" s="53">
        <v>45681</v>
      </c>
      <c r="AN25" s="2">
        <v>6.2</v>
      </c>
      <c r="AO25" s="2">
        <v>2</v>
      </c>
      <c r="AP25">
        <f t="shared" si="0"/>
        <v>4.2</v>
      </c>
      <c r="AQ25" t="str">
        <f>TRIM(MID(SUBSTITUTE($G25, ",", REPT(" ", 100)), (COLUMNS($AJ$2:AQ25)-1)*100+1, 100))</f>
        <v/>
      </c>
      <c r="AT25" t="s">
        <v>162</v>
      </c>
      <c r="AU25">
        <v>5.629032258064516</v>
      </c>
      <c r="AY25" s="31" t="s">
        <v>623</v>
      </c>
      <c r="AZ25" s="87" cm="1">
        <f t="array" ref="AZ25">SUMPRODUCT(ISNUMBER(SEARCH(","&amp;AY25&amp;",",","&amp;$G$2:$G$366&amp;","))*$BH$2:$BH$366)</f>
        <v>0.5</v>
      </c>
      <c r="BH25">
        <f t="shared" si="1"/>
        <v>1</v>
      </c>
    </row>
    <row r="26" spans="1:60" x14ac:dyDescent="0.5">
      <c r="A26" s="32" t="s">
        <v>434</v>
      </c>
      <c r="B26" s="257">
        <v>46047</v>
      </c>
      <c r="C26" s="2">
        <v>6</v>
      </c>
      <c r="D26" s="267"/>
      <c r="E26" s="270"/>
      <c r="F26" s="260">
        <v>0</v>
      </c>
      <c r="G26" s="69" t="s">
        <v>176</v>
      </c>
      <c r="H26" s="38" t="s">
        <v>458</v>
      </c>
      <c r="I26" s="38">
        <v>0</v>
      </c>
      <c r="AM26" s="53">
        <v>45682</v>
      </c>
      <c r="AN26" s="2">
        <v>8.1</v>
      </c>
      <c r="AO26" s="2">
        <v>6</v>
      </c>
      <c r="AP26">
        <f t="shared" si="0"/>
        <v>2.0999999999999996</v>
      </c>
      <c r="AQ26" t="str">
        <f>TRIM(MID(SUBSTITUTE($G26, ",", REPT(" ", 100)), (COLUMNS($AJ$2:AQ26)-1)*100+1, 100))</f>
        <v/>
      </c>
      <c r="AT26" t="s">
        <v>600</v>
      </c>
      <c r="AU26">
        <v>6.0733333333333333</v>
      </c>
      <c r="AY26" s="31" t="s">
        <v>621</v>
      </c>
      <c r="AZ26" s="87" cm="1">
        <f t="array" ref="AZ26">SUMPRODUCT(ISNUMBER(SEARCH(","&amp;AY26&amp;",",","&amp;$G$2:$G$366&amp;","))*$BH$2:$BH$366)</f>
        <v>2</v>
      </c>
      <c r="BH26">
        <f t="shared" si="1"/>
        <v>1</v>
      </c>
    </row>
    <row r="27" spans="1:60" ht="14.7" thickBot="1" x14ac:dyDescent="0.55000000000000004">
      <c r="A27" s="32" t="s">
        <v>435</v>
      </c>
      <c r="B27" s="258">
        <v>46048</v>
      </c>
      <c r="C27" s="2">
        <v>5.0999999999999996</v>
      </c>
      <c r="D27" s="267"/>
      <c r="E27" s="270"/>
      <c r="F27" s="260">
        <v>0</v>
      </c>
      <c r="G27" s="69" t="s">
        <v>176</v>
      </c>
      <c r="I27" s="38">
        <v>0</v>
      </c>
      <c r="AM27" s="53">
        <v>45683</v>
      </c>
      <c r="AN27" s="2">
        <v>6.8</v>
      </c>
      <c r="AO27" s="2">
        <v>10</v>
      </c>
      <c r="AP27">
        <f t="shared" si="0"/>
        <v>-3.2</v>
      </c>
      <c r="AQ27" t="str">
        <f>TRIM(MID(SUBSTITUTE($G27, ",", REPT(" ", 100)), (COLUMNS($AJ$2:AQ27)-1)*100+1, 100))</f>
        <v/>
      </c>
      <c r="AT27" t="s">
        <v>601</v>
      </c>
      <c r="AU27">
        <v>5.8258064516129036</v>
      </c>
      <c r="AY27" s="31" t="s">
        <v>622</v>
      </c>
      <c r="AZ27" s="87" cm="1">
        <f t="array" ref="AZ27">SUMPRODUCT(ISNUMBER(SEARCH(","&amp;AY27&amp;",",","&amp;$G$2:$G$366&amp;","))*$BH$2:$BH$366)</f>
        <v>1</v>
      </c>
      <c r="BH27">
        <f t="shared" si="1"/>
        <v>1</v>
      </c>
    </row>
    <row r="28" spans="1:60" x14ac:dyDescent="0.5">
      <c r="A28" s="32" t="s">
        <v>436</v>
      </c>
      <c r="B28" s="257">
        <v>46049</v>
      </c>
      <c r="C28" s="2">
        <v>5.3</v>
      </c>
      <c r="D28" s="267"/>
      <c r="E28" s="270"/>
      <c r="F28" s="260">
        <v>1</v>
      </c>
      <c r="G28" s="69" t="s">
        <v>176</v>
      </c>
      <c r="H28" s="38" t="s">
        <v>459</v>
      </c>
      <c r="I28" s="38">
        <v>0</v>
      </c>
      <c r="AM28" s="53">
        <v>45684</v>
      </c>
      <c r="AN28" s="2">
        <v>5</v>
      </c>
      <c r="AO28" s="2">
        <v>10</v>
      </c>
      <c r="AP28">
        <f t="shared" si="0"/>
        <v>-5</v>
      </c>
      <c r="AQ28" t="str">
        <f>TRIM(MID(SUBSTITUTE($G28, ",", REPT(" ", 100)), (COLUMNS($AJ$2:AQ28)-1)*100+1, 100))</f>
        <v/>
      </c>
      <c r="AT28" t="s">
        <v>602</v>
      </c>
      <c r="AU28">
        <v>5.9290322580645176</v>
      </c>
      <c r="AY28" s="31" t="s">
        <v>115</v>
      </c>
      <c r="AZ28" s="87" cm="1">
        <f t="array" ref="AZ28">SUMPRODUCT(ISNUMBER(SEARCH(","&amp;AY28&amp;",",","&amp;$G$2:$G$366&amp;","))*$BH$2:$BH$366)</f>
        <v>2.083333333333333</v>
      </c>
      <c r="BH28">
        <f t="shared" si="1"/>
        <v>1</v>
      </c>
    </row>
    <row r="29" spans="1:60" ht="14.7" thickBot="1" x14ac:dyDescent="0.55000000000000004">
      <c r="A29" s="32" t="s">
        <v>437</v>
      </c>
      <c r="B29" s="258">
        <v>46050</v>
      </c>
      <c r="C29" s="2">
        <v>5</v>
      </c>
      <c r="D29" s="267"/>
      <c r="E29" s="270"/>
      <c r="F29" s="260">
        <v>1</v>
      </c>
      <c r="G29" s="69" t="s">
        <v>176</v>
      </c>
      <c r="I29" s="38">
        <v>0</v>
      </c>
      <c r="AM29" s="53">
        <v>45685</v>
      </c>
      <c r="AN29" s="2">
        <v>5.8</v>
      </c>
      <c r="AO29" s="2">
        <v>10</v>
      </c>
      <c r="AP29">
        <f t="shared" si="0"/>
        <v>-4.2</v>
      </c>
      <c r="AQ29" t="str">
        <f>TRIM(MID(SUBSTITUTE($G29, ",", REPT(" ", 100)), (COLUMNS($AJ$2:AQ29)-1)*100+1, 100))</f>
        <v/>
      </c>
      <c r="AT29" t="s">
        <v>603</v>
      </c>
      <c r="AU29">
        <v>6.4964285714285719</v>
      </c>
      <c r="AY29" s="31" t="s">
        <v>114</v>
      </c>
      <c r="AZ29" s="87" cm="1">
        <f t="array" ref="AZ29">SUMPRODUCT(ISNUMBER(SEARCH(","&amp;AY29&amp;",",","&amp;$G$2:$G$366&amp;","))*$BH$2:$BH$366)</f>
        <v>2.083333333333333</v>
      </c>
      <c r="BH29">
        <f t="shared" si="1"/>
        <v>1</v>
      </c>
    </row>
    <row r="30" spans="1:60" x14ac:dyDescent="0.5">
      <c r="A30" s="32" t="s">
        <v>431</v>
      </c>
      <c r="B30" s="257">
        <v>46051</v>
      </c>
      <c r="C30" s="2">
        <v>8</v>
      </c>
      <c r="D30" s="267"/>
      <c r="E30" s="270"/>
      <c r="F30" s="260">
        <v>1</v>
      </c>
      <c r="G30" s="69" t="s">
        <v>176</v>
      </c>
      <c r="I30" s="38">
        <v>0</v>
      </c>
      <c r="AM30" s="53">
        <v>45686</v>
      </c>
      <c r="AN30" s="2">
        <v>5.3</v>
      </c>
      <c r="AO30" s="2">
        <v>4</v>
      </c>
      <c r="AP30">
        <f t="shared" si="0"/>
        <v>1.2999999999999998</v>
      </c>
      <c r="AQ30" t="str">
        <f>TRIM(MID(SUBSTITUTE($G30, ",", REPT(" ", 100)), (COLUMNS($AJ$2:AQ30)-1)*100+1, 100))</f>
        <v/>
      </c>
      <c r="AT30" t="s">
        <v>604</v>
      </c>
      <c r="AU30">
        <v>6.5161290322580649</v>
      </c>
      <c r="AY30" s="31" t="s">
        <v>467</v>
      </c>
      <c r="AZ30" s="87" cm="1">
        <f t="array" ref="AZ30">SUMPRODUCT(ISNUMBER(SEARCH(","&amp;AY30&amp;",",","&amp;$G$2:$G$366&amp;","))*$BH$2:$BH$366)</f>
        <v>1.75</v>
      </c>
      <c r="BH30">
        <f t="shared" si="1"/>
        <v>1</v>
      </c>
    </row>
    <row r="31" spans="1:60" ht="14.7" thickBot="1" x14ac:dyDescent="0.55000000000000004">
      <c r="A31" s="32" t="s">
        <v>432</v>
      </c>
      <c r="B31" s="258">
        <v>46052</v>
      </c>
      <c r="C31" s="2">
        <v>7</v>
      </c>
      <c r="D31" s="267"/>
      <c r="E31" s="270"/>
      <c r="F31" s="260">
        <v>0</v>
      </c>
      <c r="G31" s="69" t="s">
        <v>176</v>
      </c>
      <c r="I31" s="38">
        <v>0</v>
      </c>
      <c r="AM31" s="53">
        <v>45687</v>
      </c>
      <c r="AN31" s="2">
        <v>7.4</v>
      </c>
      <c r="AO31" s="2">
        <v>4</v>
      </c>
      <c r="AP31">
        <f t="shared" si="0"/>
        <v>3.4000000000000004</v>
      </c>
      <c r="AQ31" t="str">
        <f>TRIM(MID(SUBSTITUTE($G31, ",", REPT(" ", 100)), (COLUMNS($AJ$2:AQ31)-1)*100+1, 100))</f>
        <v/>
      </c>
      <c r="AT31" t="s">
        <v>605</v>
      </c>
      <c r="AU31">
        <v>6.1333333333333337</v>
      </c>
      <c r="AY31" s="31" t="s">
        <v>533</v>
      </c>
      <c r="AZ31" s="87" cm="1">
        <f t="array" ref="AZ31">SUMPRODUCT(ISNUMBER(SEARCH(","&amp;AY31&amp;",",","&amp;$G$2:$G$366&amp;","))*$BH$2:$BH$366)</f>
        <v>3</v>
      </c>
      <c r="BH31">
        <f t="shared" si="1"/>
        <v>1</v>
      </c>
    </row>
    <row r="32" spans="1:60" ht="14.7" thickBot="1" x14ac:dyDescent="0.55000000000000004">
      <c r="A32" s="32" t="s">
        <v>433</v>
      </c>
      <c r="B32" s="257">
        <v>46053</v>
      </c>
      <c r="C32" s="55">
        <v>4.5</v>
      </c>
      <c r="D32" s="268"/>
      <c r="E32" s="270"/>
      <c r="F32" s="260">
        <v>0</v>
      </c>
      <c r="G32" s="69" t="s">
        <v>176</v>
      </c>
      <c r="I32" s="38">
        <v>0</v>
      </c>
      <c r="AL32" t="str">
        <f>TRIM(MID(SUBSTITUTE($G32, ",", REPT(" ", 100)), (COLUMNS($AJ$2:AL32)-1)*100+1, 100))</f>
        <v/>
      </c>
      <c r="AM32" s="54">
        <v>45688</v>
      </c>
      <c r="AN32" s="55">
        <v>8.5</v>
      </c>
      <c r="AO32" s="2">
        <v>4</v>
      </c>
      <c r="AP32">
        <f t="shared" si="0"/>
        <v>4.5</v>
      </c>
      <c r="AQ32" t="str">
        <f>TRIM(MID(SUBSTITUTE($G32, ",", REPT(" ", 100)), (COLUMNS($AJ$2:AQ32)-1)*100+1, 100))</f>
        <v/>
      </c>
      <c r="AT32" t="s">
        <v>606</v>
      </c>
      <c r="AU32">
        <v>5.616666666666668</v>
      </c>
      <c r="AY32" s="31" t="s">
        <v>616</v>
      </c>
      <c r="AZ32" s="87" cm="1">
        <f t="array" ref="AZ32">SUMPRODUCT(ISNUMBER(SEARCH(","&amp;AY32&amp;",",","&amp;$G$2:$G$366&amp;","))*$BH$2:$BH$366)</f>
        <v>3</v>
      </c>
      <c r="BH32">
        <f t="shared" si="1"/>
        <v>1</v>
      </c>
    </row>
    <row r="33" spans="1:60" ht="14.7" thickBot="1" x14ac:dyDescent="0.55000000000000004">
      <c r="A33" s="32" t="s">
        <v>434</v>
      </c>
      <c r="B33" s="258">
        <v>46054</v>
      </c>
      <c r="C33" s="48">
        <v>5</v>
      </c>
      <c r="D33" s="274">
        <f>AVERAGE(C33:C60)</f>
        <v>6.4964285714285719</v>
      </c>
      <c r="E33" s="271"/>
      <c r="F33" s="260">
        <v>1</v>
      </c>
      <c r="G33" s="69" t="s">
        <v>176</v>
      </c>
      <c r="I33" s="38">
        <v>0</v>
      </c>
      <c r="M33" s="70"/>
      <c r="AL33" t="str">
        <f>TRIM(MID(SUBSTITUTE($G33, ",", REPT(" ", 100)), (COLUMNS($AJ$2:AL33)-1)*100+1, 100))</f>
        <v/>
      </c>
      <c r="AM33" s="52">
        <v>45689</v>
      </c>
      <c r="AN33" s="48">
        <v>4.8</v>
      </c>
      <c r="AO33" s="2">
        <v>6</v>
      </c>
      <c r="AQ33" t="str">
        <f>TRIM(MID(SUBSTITUTE($G33, ",", REPT(" ", 100)), (COLUMNS($AJ$2:AQ33)-1)*100+1, 100))</f>
        <v/>
      </c>
      <c r="AR33" t="str">
        <f>TRIM(MID(SUBSTITUTE($G33, ",", REPT(" ", 100)), (COLUMNS($AJ$2:AR33)-1)*100+1, 100))</f>
        <v/>
      </c>
      <c r="AS33" t="str">
        <f>TRIM(MID(SUBSTITUTE($G33, ",", REPT(" ", 100)), (COLUMNS($AJ$2:AS33)-1)*100+1, 100))</f>
        <v/>
      </c>
      <c r="AT33" t="s">
        <v>607</v>
      </c>
      <c r="AU33">
        <v>5.6033333333333335</v>
      </c>
      <c r="AV33" t="str">
        <f>TRIM(MID(SUBSTITUTE($G33, ",", REPT(" ", 100)), (COLUMNS($AJ$2:AV33)-1)*100+1, 100))</f>
        <v/>
      </c>
      <c r="AW33" t="str">
        <f>TRIM(MID(SUBSTITUTE($G33, ",", REPT(" ", 100)), (COLUMNS($AJ$2:AW33)-1)*100+1, 100))</f>
        <v/>
      </c>
      <c r="AX33" t="str">
        <f>TRIM(MID(SUBSTITUTE($G33, ",", REPT(" ", 100)), (COLUMNS($AJ$2:AX33)-1)*100+1, 100))</f>
        <v/>
      </c>
      <c r="AY33" s="31" t="s">
        <v>194</v>
      </c>
      <c r="AZ33" s="87" cm="1">
        <f t="array" ref="AZ33">SUMPRODUCT(ISNUMBER(SEARCH(","&amp;AY33&amp;",",","&amp;$G$2:$G$366&amp;","))*$BH$2:$BH$366)</f>
        <v>47.833333333333336</v>
      </c>
      <c r="BA33" t="str">
        <f>TRIM(MID(SUBSTITUTE($G33, ",", REPT(" ", 100)), (COLUMNS($AJ$2:BA33)-1)*100+1, 100))</f>
        <v/>
      </c>
      <c r="BB33" t="str">
        <f>TRIM(MID(SUBSTITUTE($G33, ",", REPT(" ", 100)), (COLUMNS($AJ$2:BB33)-1)*100+1, 100))</f>
        <v/>
      </c>
      <c r="BC33" t="str">
        <f>TRIM(MID(SUBSTITUTE($G33, ",", REPT(" ", 100)), (COLUMNS($AJ$2:BC33)-1)*100+1, 100))</f>
        <v/>
      </c>
      <c r="BH33">
        <f t="shared" si="1"/>
        <v>1</v>
      </c>
    </row>
    <row r="34" spans="1:60" x14ac:dyDescent="0.5">
      <c r="A34" s="32" t="s">
        <v>435</v>
      </c>
      <c r="B34" s="257">
        <v>46055</v>
      </c>
      <c r="C34" s="2">
        <v>5.4</v>
      </c>
      <c r="D34" s="272"/>
      <c r="E34" s="271"/>
      <c r="F34" s="260">
        <v>0</v>
      </c>
      <c r="G34" s="69" t="s">
        <v>176</v>
      </c>
      <c r="I34" s="38">
        <v>0</v>
      </c>
      <c r="M34" s="38"/>
      <c r="Q34" s="275" t="s">
        <v>478</v>
      </c>
      <c r="R34" s="276">
        <f>SUM(I2:I366)/3.65</f>
        <v>2.6383561643835609</v>
      </c>
      <c r="AL34" t="str">
        <f>TRIM(MID(SUBSTITUTE($G34, ",", REPT(" ", 100)), (COLUMNS($AJ$2:AL34)-1)*100+1, 100))</f>
        <v/>
      </c>
      <c r="AM34" s="1">
        <v>45690</v>
      </c>
      <c r="AN34" s="2">
        <v>4.5</v>
      </c>
      <c r="AO34" s="2">
        <v>6</v>
      </c>
      <c r="AR34" t="str">
        <f>TRIM(MID(SUBSTITUTE($G34, ",", REPT(" ", 100)), (COLUMNS($AJ$2:AR34)-1)*100+1, 100))</f>
        <v/>
      </c>
      <c r="AS34" t="str">
        <f>TRIM(MID(SUBSTITUTE($G34, ",", REPT(" ", 100)), (COLUMNS($AJ$2:AS34)-1)*100+1, 100))</f>
        <v/>
      </c>
      <c r="AT34" t="s">
        <v>608</v>
      </c>
      <c r="AU34">
        <v>6.1032258064516114</v>
      </c>
      <c r="AV34" t="str">
        <f>TRIM(MID(SUBSTITUTE($G34, ",", REPT(" ", 100)), (COLUMNS($AJ$2:AV34)-1)*100+1, 100))</f>
        <v/>
      </c>
      <c r="AW34" t="str">
        <f>TRIM(MID(SUBSTITUTE($G34, ",", REPT(" ", 100)), (COLUMNS($AJ$2:AW34)-1)*100+1, 100))</f>
        <v/>
      </c>
      <c r="AX34" t="str">
        <f>TRIM(MID(SUBSTITUTE($G34, ",", REPT(" ", 100)), (COLUMNS($AJ$2:AX34)-1)*100+1, 100))</f>
        <v/>
      </c>
      <c r="AY34" s="31" t="s">
        <v>176</v>
      </c>
      <c r="AZ34" s="87" cm="1">
        <f t="array" ref="AZ34">SUMPRODUCT(ISNUMBER(SEARCH(","&amp;AY34&amp;",",","&amp;$G$2:$G$366&amp;","))*$BH$2:$BH$366)</f>
        <v>71.083333333333343</v>
      </c>
      <c r="BA34" t="str">
        <f>TRIM(MID(SUBSTITUTE($G34, ",", REPT(" ", 100)), (COLUMNS($AJ$2:BA34)-1)*100+1, 100))</f>
        <v/>
      </c>
      <c r="BB34" t="str">
        <f>TRIM(MID(SUBSTITUTE($G34, ",", REPT(" ", 100)), (COLUMNS($AJ$2:BB34)-1)*100+1, 100))</f>
        <v/>
      </c>
      <c r="BC34" t="str">
        <f>TRIM(MID(SUBSTITUTE($G34, ",", REPT(" ", 100)), (COLUMNS($AJ$2:BC34)-1)*100+1, 100))</f>
        <v/>
      </c>
      <c r="BH34">
        <f t="shared" si="1"/>
        <v>1</v>
      </c>
    </row>
    <row r="35" spans="1:60" ht="14.7" thickBot="1" x14ac:dyDescent="0.55000000000000004">
      <c r="A35" s="32" t="s">
        <v>436</v>
      </c>
      <c r="B35" s="258">
        <v>46056</v>
      </c>
      <c r="C35" s="2">
        <v>6</v>
      </c>
      <c r="D35" s="272"/>
      <c r="E35" s="271"/>
      <c r="F35" s="260">
        <v>1</v>
      </c>
      <c r="G35" s="69" t="s">
        <v>176</v>
      </c>
      <c r="I35" s="38">
        <v>0</v>
      </c>
      <c r="M35" s="38"/>
      <c r="Q35" s="275"/>
      <c r="R35" s="276"/>
      <c r="AL35" t="str">
        <f>TRIM(MID(SUBSTITUTE($G35, ",", REPT(" ", 100)), (COLUMNS($AJ$2:AL35)-1)*100+1, 100))</f>
        <v/>
      </c>
      <c r="AM35" s="1">
        <v>45691</v>
      </c>
      <c r="AN35" s="2">
        <v>5</v>
      </c>
      <c r="AO35" s="2">
        <v>6</v>
      </c>
      <c r="AR35" t="str">
        <f>TRIM(MID(SUBSTITUTE($G35, ",", REPT(" ", 100)), (COLUMNS($AJ$2:AR35)-1)*100+1, 100))</f>
        <v/>
      </c>
      <c r="AS35" t="str">
        <f>TRIM(MID(SUBSTITUTE($G35, ",", REPT(" ", 100)), (COLUMNS($AJ$2:AS35)-1)*100+1, 100))</f>
        <v/>
      </c>
      <c r="AT35" t="s">
        <v>609</v>
      </c>
      <c r="AU35">
        <v>5.5</v>
      </c>
      <c r="AV35" t="str">
        <f>TRIM(MID(SUBSTITUTE($G35, ",", REPT(" ", 100)), (COLUMNS($AJ$2:AV35)-1)*100+1, 100))</f>
        <v/>
      </c>
      <c r="AW35" t="str">
        <f>TRIM(MID(SUBSTITUTE($G35, ",", REPT(" ", 100)), (COLUMNS($AJ$2:AW35)-1)*100+1, 100))</f>
        <v/>
      </c>
      <c r="AX35" t="str">
        <f>TRIM(MID(SUBSTITUTE($G35, ",", REPT(" ", 100)), (COLUMNS($AJ$2:AX35)-1)*100+1, 100))</f>
        <v/>
      </c>
      <c r="AY35" s="31" t="s">
        <v>462</v>
      </c>
      <c r="AZ35" s="87" cm="1">
        <f t="array" ref="AZ35">SUMPRODUCT(ISNUMBER(SEARCH(","&amp;AY35&amp;",",","&amp;$G$2:$G$366&amp;","))*$BH$2:$BH$366)</f>
        <v>141.66666666666663</v>
      </c>
      <c r="BA35" t="str">
        <f>TRIM(MID(SUBSTITUTE($G35, ",", REPT(" ", 100)), (COLUMNS($AJ$2:BA35)-1)*100+1, 100))</f>
        <v/>
      </c>
      <c r="BB35" t="str">
        <f>TRIM(MID(SUBSTITUTE($G35, ",", REPT(" ", 100)), (COLUMNS($AJ$2:BB35)-1)*100+1, 100))</f>
        <v/>
      </c>
      <c r="BC35" t="str">
        <f>TRIM(MID(SUBSTITUTE($G35, ",", REPT(" ", 100)), (COLUMNS($AJ$2:BC35)-1)*100+1, 100))</f>
        <v/>
      </c>
      <c r="BH35">
        <f t="shared" si="1"/>
        <v>1</v>
      </c>
    </row>
    <row r="36" spans="1:60" x14ac:dyDescent="0.5">
      <c r="A36" s="32" t="s">
        <v>437</v>
      </c>
      <c r="B36" s="257">
        <v>46057</v>
      </c>
      <c r="C36" s="2">
        <v>7.4</v>
      </c>
      <c r="D36" s="272"/>
      <c r="E36" s="271"/>
      <c r="F36" s="260">
        <v>1</v>
      </c>
      <c r="G36" s="69" t="s">
        <v>176</v>
      </c>
      <c r="H36" s="38" t="s">
        <v>465</v>
      </c>
      <c r="I36" s="38">
        <v>0</v>
      </c>
      <c r="M36" s="38"/>
      <c r="AL36" t="str">
        <f>TRIM(MID(SUBSTITUTE($G36, ",", REPT(" ", 100)), (COLUMNS($AJ$2:AL36)-1)*100+1, 100))</f>
        <v/>
      </c>
      <c r="AM36" s="1">
        <v>45692</v>
      </c>
      <c r="AN36" s="2">
        <v>2.2999999999999998</v>
      </c>
      <c r="AO36" s="2">
        <v>4</v>
      </c>
      <c r="AR36" t="str">
        <f>TRIM(MID(SUBSTITUTE($G36, ",", REPT(" ", 100)), (COLUMNS($AJ$2:AR36)-1)*100+1, 100))</f>
        <v/>
      </c>
      <c r="AS36" t="str">
        <f>TRIM(MID(SUBSTITUTE($G36, ",", REPT(" ", 100)), (COLUMNS($AJ$2:AS36)-1)*100+1, 100))</f>
        <v/>
      </c>
      <c r="AT36" t="str">
        <f>TRIM(MID(SUBSTITUTE($G36, ",", REPT(" ", 100)), (COLUMNS($AJ$2:AT36)-1)*100+1, 100))</f>
        <v/>
      </c>
      <c r="AU36" t="str">
        <f>TRIM(MID(SUBSTITUTE($G36, ",", REPT(" ", 100)), (COLUMNS($AJ$2:AU36)-1)*100+1, 100))</f>
        <v/>
      </c>
      <c r="AV36" t="str">
        <f>TRIM(MID(SUBSTITUTE($G36, ",", REPT(" ", 100)), (COLUMNS($AJ$2:AV36)-1)*100+1, 100))</f>
        <v/>
      </c>
      <c r="AW36" t="str">
        <f>TRIM(MID(SUBSTITUTE($G36, ",", REPT(" ", 100)), (COLUMNS($AJ$2:AW36)-1)*100+1, 100))</f>
        <v/>
      </c>
      <c r="AX36" t="str">
        <f>TRIM(MID(SUBSTITUTE($G36, ",", REPT(" ", 100)), (COLUMNS($AJ$2:AX36)-1)*100+1, 100))</f>
        <v/>
      </c>
      <c r="AY36" t="str">
        <f>TRIM(MID(SUBSTITUTE($G36, ",", REPT(" ", 100)), (COLUMNS($AJ$2:AY36)-1)*100+1, 100))</f>
        <v/>
      </c>
      <c r="AZ36">
        <f>SUM(AZ25:AZ35)</f>
        <v>276</v>
      </c>
      <c r="BA36" t="str">
        <f>TRIM(MID(SUBSTITUTE($G36, ",", REPT(" ", 100)), (COLUMNS($AJ$2:BA36)-1)*100+1, 100))</f>
        <v/>
      </c>
      <c r="BB36" t="str">
        <f>TRIM(MID(SUBSTITUTE($G36, ",", REPT(" ", 100)), (COLUMNS($AJ$2:BB36)-1)*100+1, 100))</f>
        <v/>
      </c>
      <c r="BC36" t="str">
        <f>TRIM(MID(SUBSTITUTE($G36, ",", REPT(" ", 100)), (COLUMNS($AJ$2:BC36)-1)*100+1, 100))</f>
        <v/>
      </c>
      <c r="BH36">
        <f t="shared" si="1"/>
        <v>1</v>
      </c>
    </row>
    <row r="37" spans="1:60" ht="14.7" thickBot="1" x14ac:dyDescent="0.55000000000000004">
      <c r="A37" s="32" t="s">
        <v>431</v>
      </c>
      <c r="B37" s="258">
        <v>46058</v>
      </c>
      <c r="C37" s="2">
        <v>6</v>
      </c>
      <c r="D37" s="272"/>
      <c r="E37" s="271"/>
      <c r="F37" s="260">
        <v>1</v>
      </c>
      <c r="G37" s="69" t="s">
        <v>466</v>
      </c>
      <c r="I37" s="38">
        <v>0</v>
      </c>
      <c r="M37" s="38"/>
      <c r="AL37" t="str">
        <f>TRIM(MID(SUBSTITUTE($G37, ",", REPT(" ", 100)), (COLUMNS($AJ$2:AL37)-1)*100+1, 100))</f>
        <v>Delhi</v>
      </c>
      <c r="AM37" s="1">
        <v>45693</v>
      </c>
      <c r="AN37" s="2">
        <v>3.3</v>
      </c>
      <c r="AO37" s="2">
        <v>2</v>
      </c>
      <c r="AR37" t="str">
        <f>TRIM(MID(SUBSTITUTE($G37, ",", REPT(" ", 100)), (COLUMNS($AJ$2:AR37)-1)*100+1, 100))</f>
        <v/>
      </c>
      <c r="AS37" t="str">
        <f>TRIM(MID(SUBSTITUTE($G37, ",", REPT(" ", 100)), (COLUMNS($AJ$2:AS37)-1)*100+1, 100))</f>
        <v/>
      </c>
      <c r="AT37" t="str">
        <f>TRIM(MID(SUBSTITUTE($G37, ",", REPT(" ", 100)), (COLUMNS($AJ$2:AT37)-1)*100+1, 100))</f>
        <v/>
      </c>
      <c r="AU37" t="str">
        <f>TRIM(MID(SUBSTITUTE($G37, ",", REPT(" ", 100)), (COLUMNS($AJ$2:AU37)-1)*100+1, 100))</f>
        <v/>
      </c>
      <c r="AV37" t="str">
        <f>TRIM(MID(SUBSTITUTE($G37, ",", REPT(" ", 100)), (COLUMNS($AJ$2:AV37)-1)*100+1, 100))</f>
        <v/>
      </c>
      <c r="AW37" t="str">
        <f>TRIM(MID(SUBSTITUTE($G37, ",", REPT(" ", 100)), (COLUMNS($AJ$2:AW37)-1)*100+1, 100))</f>
        <v/>
      </c>
      <c r="AX37" t="str">
        <f>TRIM(MID(SUBSTITUTE($G37, ",", REPT(" ", 100)), (COLUMNS($AJ$2:AX37)-1)*100+1, 100))</f>
        <v/>
      </c>
      <c r="AY37" t="str">
        <f>TRIM(MID(SUBSTITUTE($G37, ",", REPT(" ", 100)), (COLUMNS($AJ$2:AY37)-1)*100+1, 100))</f>
        <v/>
      </c>
      <c r="AZ37" t="str">
        <f>TRIM(MID(SUBSTITUTE($G37, ",", REPT(" ", 100)), (COLUMNS($AJ$2:AZ37)-1)*100+1, 100))</f>
        <v/>
      </c>
      <c r="BA37" t="str">
        <f>TRIM(MID(SUBSTITUTE($G37, ",", REPT(" ", 100)), (COLUMNS($AJ$2:BA37)-1)*100+1, 100))</f>
        <v/>
      </c>
      <c r="BB37" t="str">
        <f>TRIM(MID(SUBSTITUTE($G37, ",", REPT(" ", 100)), (COLUMNS($AJ$2:BB37)-1)*100+1, 100))</f>
        <v/>
      </c>
      <c r="BC37" t="str">
        <f>TRIM(MID(SUBSTITUTE($G37, ",", REPT(" ", 100)), (COLUMNS($AJ$2:BC37)-1)*100+1, 100))</f>
        <v/>
      </c>
      <c r="BH37">
        <f t="shared" si="1"/>
        <v>0.25</v>
      </c>
    </row>
    <row r="38" spans="1:60" ht="14.7" thickBot="1" x14ac:dyDescent="0.55000000000000004">
      <c r="A38" s="32" t="s">
        <v>432</v>
      </c>
      <c r="B38" s="257">
        <v>46059</v>
      </c>
      <c r="C38" s="2">
        <v>10</v>
      </c>
      <c r="D38" s="272"/>
      <c r="E38" s="271"/>
      <c r="F38" s="260">
        <v>1</v>
      </c>
      <c r="G38" s="69" t="s">
        <v>467</v>
      </c>
      <c r="I38" s="38">
        <v>0</v>
      </c>
      <c r="M38" s="38"/>
      <c r="AL38" t="str">
        <f>TRIM(MID(SUBSTITUTE($G38, ",", REPT(" ", 100)), (COLUMNS($AJ$2:AL38)-1)*100+1, 100))</f>
        <v/>
      </c>
      <c r="AM38" s="1">
        <v>45694</v>
      </c>
      <c r="AN38" s="2">
        <v>2</v>
      </c>
      <c r="AO38" s="2">
        <v>6</v>
      </c>
      <c r="AR38" t="str">
        <f>TRIM(MID(SUBSTITUTE($G38, ",", REPT(" ", 100)), (COLUMNS($AJ$2:AR38)-1)*100+1, 100))</f>
        <v/>
      </c>
      <c r="AS38" t="str">
        <f>TRIM(MID(SUBSTITUTE($G38, ",", REPT(" ", 100)), (COLUMNS($AJ$2:AS38)-1)*100+1, 100))</f>
        <v/>
      </c>
      <c r="AT38" t="str">
        <f>TRIM(MID(SUBSTITUTE($G38, ",", REPT(" ", 100)), (COLUMNS($AJ$2:AT38)-1)*100+1, 100))</f>
        <v/>
      </c>
      <c r="AU38" t="str">
        <f>TRIM(MID(SUBSTITUTE($G38, ",", REPT(" ", 100)), (COLUMNS($AJ$2:AU38)-1)*100+1, 100))</f>
        <v/>
      </c>
      <c r="AV38" t="str">
        <f>TRIM(MID(SUBSTITUTE($G38, ",", REPT(" ", 100)), (COLUMNS($AJ$2:AV38)-1)*100+1, 100))</f>
        <v/>
      </c>
      <c r="AW38" t="str">
        <f>TRIM(MID(SUBSTITUTE($G38, ",", REPT(" ", 100)), (COLUMNS($AJ$2:AW38)-1)*100+1, 100))</f>
        <v/>
      </c>
      <c r="AX38" t="str">
        <f>TRIM(MID(SUBSTITUTE($G38, ",", REPT(" ", 100)), (COLUMNS($AJ$2:AX38)-1)*100+1, 100))</f>
        <v/>
      </c>
      <c r="AY38" t="str">
        <f>TRIM(MID(SUBSTITUTE($G38, ",", REPT(" ", 100)), (COLUMNS($AJ$2:AY38)-1)*100+1, 100))</f>
        <v/>
      </c>
      <c r="AZ38" t="str">
        <f>TRIM(MID(SUBSTITUTE($G38, ",", REPT(" ", 100)), (COLUMNS($AJ$2:AZ38)-1)*100+1, 100))</f>
        <v/>
      </c>
      <c r="BA38" t="str">
        <f>TRIM(MID(SUBSTITUTE($G38, ",", REPT(" ", 100)), (COLUMNS($AJ$2:BA38)-1)*100+1, 100))</f>
        <v/>
      </c>
      <c r="BB38" t="str">
        <f>TRIM(MID(SUBSTITUTE($G38, ",", REPT(" ", 100)), (COLUMNS($AJ$2:BB38)-1)*100+1, 100))</f>
        <v/>
      </c>
      <c r="BC38" t="str">
        <f>TRIM(MID(SUBSTITUTE($G38, ",", REPT(" ", 100)), (COLUMNS($AJ$2:BC38)-1)*100+1, 100))</f>
        <v/>
      </c>
      <c r="BH38">
        <f t="shared" si="1"/>
        <v>1</v>
      </c>
    </row>
    <row r="39" spans="1:60" ht="14.7" thickBot="1" x14ac:dyDescent="0.55000000000000004">
      <c r="A39" s="32" t="s">
        <v>433</v>
      </c>
      <c r="B39" s="258">
        <v>46060</v>
      </c>
      <c r="C39" s="2">
        <v>8</v>
      </c>
      <c r="D39" s="272"/>
      <c r="E39" s="271"/>
      <c r="F39" s="260">
        <v>1</v>
      </c>
      <c r="G39" s="69" t="s">
        <v>468</v>
      </c>
      <c r="I39" s="38">
        <v>0</v>
      </c>
      <c r="M39" s="38"/>
      <c r="S39" s="200"/>
      <c r="T39" s="201"/>
      <c r="U39" s="221"/>
      <c r="V39" s="235"/>
      <c r="W39" s="235"/>
      <c r="X39" s="221"/>
      <c r="Y39" s="200"/>
      <c r="Z39" s="201"/>
      <c r="AL39" t="str">
        <f>TRIM(MID(SUBSTITUTE($G39, ",", REPT(" ", 100)), (COLUMNS($AJ$2:AL39)-1)*100+1, 100))</f>
        <v/>
      </c>
      <c r="AM39" s="1">
        <v>45695</v>
      </c>
      <c r="AN39" s="2">
        <v>1.3</v>
      </c>
      <c r="AO39" s="2">
        <v>4</v>
      </c>
      <c r="AR39" t="str">
        <f>TRIM(MID(SUBSTITUTE($G39, ",", REPT(" ", 100)), (COLUMNS($AJ$2:AR39)-1)*100+1, 100))</f>
        <v/>
      </c>
      <c r="AS39" t="str">
        <f>TRIM(MID(SUBSTITUTE($G39, ",", REPT(" ", 100)), (COLUMNS($AJ$2:AS39)-1)*100+1, 100))</f>
        <v/>
      </c>
      <c r="AT39" t="str">
        <f>TRIM(MID(SUBSTITUTE($G39, ",", REPT(" ", 100)), (COLUMNS($AJ$2:AT39)-1)*100+1, 100))</f>
        <v/>
      </c>
      <c r="AU39" t="str">
        <f>TRIM(MID(SUBSTITUTE($G39, ",", REPT(" ", 100)), (COLUMNS($AJ$2:AU39)-1)*100+1, 100))</f>
        <v/>
      </c>
      <c r="AV39" t="str">
        <f>TRIM(MID(SUBSTITUTE($G39, ",", REPT(" ", 100)), (COLUMNS($AJ$2:AV39)-1)*100+1, 100))</f>
        <v/>
      </c>
      <c r="AW39" t="str">
        <f>TRIM(MID(SUBSTITUTE($G39, ",", REPT(" ", 100)), (COLUMNS($AJ$2:AW39)-1)*100+1, 100))</f>
        <v/>
      </c>
      <c r="AX39" t="str">
        <f>TRIM(MID(SUBSTITUTE($G39, ",", REPT(" ", 100)), (COLUMNS($AJ$2:AX39)-1)*100+1, 100))</f>
        <v/>
      </c>
      <c r="AY39" t="str">
        <f>TRIM(MID(SUBSTITUTE($G39, ",", REPT(" ", 100)), (COLUMNS($AJ$2:AY39)-1)*100+1, 100))</f>
        <v/>
      </c>
      <c r="AZ39" t="str">
        <f>TRIM(MID(SUBSTITUTE($G39, ",", REPT(" ", 100)), (COLUMNS($AJ$2:AZ39)-1)*100+1, 100))</f>
        <v/>
      </c>
      <c r="BA39" t="str">
        <f>TRIM(MID(SUBSTITUTE($G39, ",", REPT(" ", 100)), (COLUMNS($AJ$2:BA39)-1)*100+1, 100))</f>
        <v/>
      </c>
      <c r="BB39" t="str">
        <f>TRIM(MID(SUBSTITUTE($G39, ",", REPT(" ", 100)), (COLUMNS($AJ$2:BB39)-1)*100+1, 100))</f>
        <v/>
      </c>
      <c r="BC39" t="str">
        <f>TRIM(MID(SUBSTITUTE($G39, ",", REPT(" ", 100)), (COLUMNS($AJ$2:BC39)-1)*100+1, 100))</f>
        <v/>
      </c>
      <c r="BH39">
        <f t="shared" si="1"/>
        <v>0.5</v>
      </c>
    </row>
    <row r="40" spans="1:60" ht="14.7" thickBot="1" x14ac:dyDescent="0.55000000000000004">
      <c r="A40" s="32" t="s">
        <v>434</v>
      </c>
      <c r="B40" s="257">
        <v>46061</v>
      </c>
      <c r="C40" s="2">
        <v>6</v>
      </c>
      <c r="D40" s="272"/>
      <c r="E40" s="271"/>
      <c r="F40" s="260">
        <v>1</v>
      </c>
      <c r="G40" s="69" t="s">
        <v>341</v>
      </c>
      <c r="I40" s="38">
        <v>0</v>
      </c>
      <c r="M40" s="38"/>
      <c r="S40" s="202"/>
      <c r="T40" s="203"/>
      <c r="U40" s="222"/>
      <c r="V40" s="193"/>
      <c r="W40" s="194"/>
      <c r="X40" s="222"/>
      <c r="Y40" s="202"/>
      <c r="Z40" s="203"/>
      <c r="AL40" t="str">
        <f>TRIM(MID(SUBSTITUTE($G40, ",", REPT(" ", 100)), (COLUMNS($AJ$2:AL40)-1)*100+1, 100))</f>
        <v>Kochi</v>
      </c>
      <c r="AM40" s="1">
        <v>45696</v>
      </c>
      <c r="AN40" s="2">
        <v>8.5</v>
      </c>
      <c r="AO40" s="2">
        <v>6</v>
      </c>
      <c r="AR40" t="str">
        <f>TRIM(MID(SUBSTITUTE($G40, ",", REPT(" ", 100)), (COLUMNS($AJ$2:AR40)-1)*100+1, 100))</f>
        <v/>
      </c>
      <c r="AS40" t="str">
        <f>TRIM(MID(SUBSTITUTE($G40, ",", REPT(" ", 100)), (COLUMNS($AJ$2:AS40)-1)*100+1, 100))</f>
        <v/>
      </c>
      <c r="AT40" t="str">
        <f>TRIM(MID(SUBSTITUTE($G40, ",", REPT(" ", 100)), (COLUMNS($AJ$2:AT40)-1)*100+1, 100))</f>
        <v/>
      </c>
      <c r="AU40" t="str">
        <f>TRIM(MID(SUBSTITUTE($G40, ",", REPT(" ", 100)), (COLUMNS($AJ$2:AU40)-1)*100+1, 100))</f>
        <v/>
      </c>
      <c r="AV40" t="str">
        <f>TRIM(MID(SUBSTITUTE($G40, ",", REPT(" ", 100)), (COLUMNS($AJ$2:AV40)-1)*100+1, 100))</f>
        <v/>
      </c>
      <c r="AW40" t="str">
        <f>TRIM(MID(SUBSTITUTE($G40, ",", REPT(" ", 100)), (COLUMNS($AJ$2:AW40)-1)*100+1, 100))</f>
        <v/>
      </c>
      <c r="AX40" t="str">
        <f>TRIM(MID(SUBSTITUTE($G40, ",", REPT(" ", 100)), (COLUMNS($AJ$2:AX40)-1)*100+1, 100))</f>
        <v/>
      </c>
      <c r="AY40" t="str">
        <f>TRIM(MID(SUBSTITUTE($G40, ",", REPT(" ", 100)), (COLUMNS($AJ$2:AY40)-1)*100+1, 100))</f>
        <v/>
      </c>
      <c r="AZ40" t="str">
        <f>TRIM(MID(SUBSTITUTE($G40, ",", REPT(" ", 100)), (COLUMNS($AJ$2:AZ40)-1)*100+1, 100))</f>
        <v/>
      </c>
      <c r="BA40" t="str">
        <f>TRIM(MID(SUBSTITUTE($G40, ",", REPT(" ", 100)), (COLUMNS($AJ$2:BA40)-1)*100+1, 100))</f>
        <v/>
      </c>
      <c r="BB40" t="str">
        <f>TRIM(MID(SUBSTITUTE($G40, ",", REPT(" ", 100)), (COLUMNS($AJ$2:BB40)-1)*100+1, 100))</f>
        <v/>
      </c>
      <c r="BC40" t="str">
        <f>TRIM(MID(SUBSTITUTE($G40, ",", REPT(" ", 100)), (COLUMNS($AJ$2:BC40)-1)*100+1, 100))</f>
        <v/>
      </c>
      <c r="BH40">
        <f t="shared" si="1"/>
        <v>0.25</v>
      </c>
    </row>
    <row r="41" spans="1:60" ht="14.7" thickBot="1" x14ac:dyDescent="0.55000000000000004">
      <c r="A41" s="32" t="s">
        <v>435</v>
      </c>
      <c r="B41" s="258">
        <v>46062</v>
      </c>
      <c r="C41" s="2">
        <v>5.3</v>
      </c>
      <c r="D41" s="272"/>
      <c r="E41" s="271"/>
      <c r="F41" s="260">
        <v>0</v>
      </c>
      <c r="G41" s="69" t="s">
        <v>176</v>
      </c>
      <c r="I41" s="38">
        <v>0.5</v>
      </c>
      <c r="M41" s="38"/>
      <c r="S41" s="204"/>
      <c r="T41" s="205"/>
      <c r="U41" s="222"/>
      <c r="V41" s="239"/>
      <c r="W41" s="239"/>
      <c r="X41" s="222"/>
      <c r="Y41" s="204"/>
      <c r="Z41" s="205"/>
      <c r="AL41" t="str">
        <f>TRIM(MID(SUBSTITUTE($G41, ",", REPT(" ", 100)), (COLUMNS($AJ$2:AL41)-1)*100+1, 100))</f>
        <v/>
      </c>
      <c r="AM41" s="1">
        <v>45697</v>
      </c>
      <c r="AN41" s="2">
        <v>4.5</v>
      </c>
      <c r="AO41" s="2">
        <v>6</v>
      </c>
      <c r="AR41" t="str">
        <f>TRIM(MID(SUBSTITUTE($G41, ",", REPT(" ", 100)), (COLUMNS($AJ$2:AR41)-1)*100+1, 100))</f>
        <v/>
      </c>
      <c r="AS41" t="str">
        <f>TRIM(MID(SUBSTITUTE($G41, ",", REPT(" ", 100)), (COLUMNS($AJ$2:AS41)-1)*100+1, 100))</f>
        <v/>
      </c>
      <c r="AT41" t="str">
        <f>TRIM(MID(SUBSTITUTE($G41, ",", REPT(" ", 100)), (COLUMNS($AJ$2:AT41)-1)*100+1, 100))</f>
        <v/>
      </c>
      <c r="AU41" t="str">
        <f>TRIM(MID(SUBSTITUTE($G41, ",", REPT(" ", 100)), (COLUMNS($AJ$2:AU41)-1)*100+1, 100))</f>
        <v/>
      </c>
      <c r="AV41" t="str">
        <f>TRIM(MID(SUBSTITUTE($G41, ",", REPT(" ", 100)), (COLUMNS($AJ$2:AV41)-1)*100+1, 100))</f>
        <v/>
      </c>
      <c r="AW41" t="str">
        <f>TRIM(MID(SUBSTITUTE($G41, ",", REPT(" ", 100)), (COLUMNS($AJ$2:AW41)-1)*100+1, 100))</f>
        <v/>
      </c>
      <c r="AX41" t="str">
        <f>TRIM(MID(SUBSTITUTE($G41, ",", REPT(" ", 100)), (COLUMNS($AJ$2:AX41)-1)*100+1, 100))</f>
        <v/>
      </c>
      <c r="AY41" t="str">
        <f>TRIM(MID(SUBSTITUTE($G41, ",", REPT(" ", 100)), (COLUMNS($AJ$2:AY41)-1)*100+1, 100))</f>
        <v/>
      </c>
      <c r="AZ41" t="str">
        <f>TRIM(MID(SUBSTITUTE($G41, ",", REPT(" ", 100)), (COLUMNS($AJ$2:AZ41)-1)*100+1, 100))</f>
        <v/>
      </c>
      <c r="BA41" t="str">
        <f>TRIM(MID(SUBSTITUTE($G41, ",", REPT(" ", 100)), (COLUMNS($AJ$2:BA41)-1)*100+1, 100))</f>
        <v/>
      </c>
      <c r="BB41" t="str">
        <f>TRIM(MID(SUBSTITUTE($G41, ",", REPT(" ", 100)), (COLUMNS($AJ$2:BB41)-1)*100+1, 100))</f>
        <v/>
      </c>
      <c r="BC41" t="str">
        <f>TRIM(MID(SUBSTITUTE($G41, ",", REPT(" ", 100)), (COLUMNS($AJ$2:BC41)-1)*100+1, 100))</f>
        <v/>
      </c>
      <c r="BH41">
        <f t="shared" si="1"/>
        <v>1</v>
      </c>
    </row>
    <row r="42" spans="1:60" ht="14.7" thickBot="1" x14ac:dyDescent="0.55000000000000004">
      <c r="A42" s="32" t="s">
        <v>436</v>
      </c>
      <c r="B42" s="257">
        <v>46063</v>
      </c>
      <c r="C42" s="2">
        <v>5.6</v>
      </c>
      <c r="D42" s="272"/>
      <c r="E42" s="271"/>
      <c r="F42" s="260">
        <v>1</v>
      </c>
      <c r="G42" s="69" t="s">
        <v>176</v>
      </c>
      <c r="I42" s="38">
        <v>0.4</v>
      </c>
      <c r="M42" s="38"/>
      <c r="S42" s="226"/>
      <c r="T42" s="222"/>
      <c r="U42" s="222"/>
      <c r="V42" s="238"/>
      <c r="W42" s="238"/>
      <c r="X42" s="222"/>
      <c r="Y42" s="222"/>
      <c r="Z42" s="228"/>
      <c r="AL42" t="str">
        <f>TRIM(MID(SUBSTITUTE($G42, ",", REPT(" ", 100)), (COLUMNS($AJ$2:AL42)-1)*100+1, 100))</f>
        <v/>
      </c>
      <c r="AM42" s="1">
        <v>45698</v>
      </c>
      <c r="AN42" s="2">
        <v>3.8</v>
      </c>
      <c r="AO42" s="2">
        <v>4</v>
      </c>
      <c r="AR42" t="str">
        <f>TRIM(MID(SUBSTITUTE($G42, ",", REPT(" ", 100)), (COLUMNS($AJ$2:AR42)-1)*100+1, 100))</f>
        <v/>
      </c>
      <c r="AS42" t="str">
        <f>TRIM(MID(SUBSTITUTE($G42, ",", REPT(" ", 100)), (COLUMNS($AJ$2:AS42)-1)*100+1, 100))</f>
        <v/>
      </c>
      <c r="AT42" t="str">
        <f>TRIM(MID(SUBSTITUTE($G42, ",", REPT(" ", 100)), (COLUMNS($AJ$2:AT42)-1)*100+1, 100))</f>
        <v/>
      </c>
      <c r="AU42" t="str">
        <f>TRIM(MID(SUBSTITUTE($G42, ",", REPT(" ", 100)), (COLUMNS($AJ$2:AU42)-1)*100+1, 100))</f>
        <v/>
      </c>
      <c r="AV42" t="str">
        <f>TRIM(MID(SUBSTITUTE($G42, ",", REPT(" ", 100)), (COLUMNS($AJ$2:AV42)-1)*100+1, 100))</f>
        <v/>
      </c>
      <c r="AW42" t="str">
        <f>TRIM(MID(SUBSTITUTE($G42, ",", REPT(" ", 100)), (COLUMNS($AJ$2:AW42)-1)*100+1, 100))</f>
        <v/>
      </c>
      <c r="AX42" t="str">
        <f>TRIM(MID(SUBSTITUTE($G42, ",", REPT(" ", 100)), (COLUMNS($AJ$2:AX42)-1)*100+1, 100))</f>
        <v/>
      </c>
      <c r="AY42" t="str">
        <f>TRIM(MID(SUBSTITUTE($G42, ",", REPT(" ", 100)), (COLUMNS($AJ$2:AY42)-1)*100+1, 100))</f>
        <v/>
      </c>
      <c r="AZ42" t="str">
        <f>TRIM(MID(SUBSTITUTE($G42, ",", REPT(" ", 100)), (COLUMNS($AJ$2:AZ42)-1)*100+1, 100))</f>
        <v/>
      </c>
      <c r="BA42" t="str">
        <f>TRIM(MID(SUBSTITUTE($G42, ",", REPT(" ", 100)), (COLUMNS($AJ$2:BA42)-1)*100+1, 100))</f>
        <v/>
      </c>
      <c r="BB42" t="str">
        <f>TRIM(MID(SUBSTITUTE($G42, ",", REPT(" ", 100)), (COLUMNS($AJ$2:BB42)-1)*100+1, 100))</f>
        <v/>
      </c>
      <c r="BC42" t="str">
        <f>TRIM(MID(SUBSTITUTE($G42, ",", REPT(" ", 100)), (COLUMNS($AJ$2:BC42)-1)*100+1, 100))</f>
        <v/>
      </c>
      <c r="BH42">
        <f t="shared" si="1"/>
        <v>1</v>
      </c>
    </row>
    <row r="43" spans="1:60" ht="14.7" thickBot="1" x14ac:dyDescent="0.55000000000000004">
      <c r="A43" s="32" t="s">
        <v>437</v>
      </c>
      <c r="B43" s="258">
        <v>46064</v>
      </c>
      <c r="C43" s="2">
        <v>6.5</v>
      </c>
      <c r="D43" s="272"/>
      <c r="E43" s="271"/>
      <c r="F43" s="260">
        <v>0</v>
      </c>
      <c r="G43" s="69" t="s">
        <v>176</v>
      </c>
      <c r="I43" s="38">
        <v>0.4</v>
      </c>
      <c r="M43" s="38"/>
      <c r="S43" s="198"/>
      <c r="T43" s="232"/>
      <c r="U43" s="209"/>
      <c r="V43" s="210"/>
      <c r="W43" s="211"/>
      <c r="X43" s="212"/>
      <c r="Y43" s="232"/>
      <c r="Z43" s="198"/>
      <c r="AL43" t="str">
        <f>TRIM(MID(SUBSTITUTE($G43, ",", REPT(" ", 100)), (COLUMNS($AJ$2:AL43)-1)*100+1, 100))</f>
        <v/>
      </c>
      <c r="AM43" s="1">
        <v>45699</v>
      </c>
      <c r="AN43" s="2">
        <v>5.5</v>
      </c>
      <c r="AO43" s="2">
        <v>4</v>
      </c>
      <c r="AQ43" t="str">
        <f>TRIM(MID(SUBSTITUTE($G43, ",", REPT(" ", 100)), (COLUMNS($AJ$2:AQ43)-1)*100+1, 100))</f>
        <v/>
      </c>
      <c r="AR43" t="str">
        <f>TRIM(MID(SUBSTITUTE($G43, ",", REPT(" ", 100)), (COLUMNS($AJ$2:AR43)-1)*100+1, 100))</f>
        <v/>
      </c>
      <c r="AS43" t="str">
        <f>TRIM(MID(SUBSTITUTE($G43, ",", REPT(" ", 100)), (COLUMNS($AJ$2:AS43)-1)*100+1, 100))</f>
        <v/>
      </c>
      <c r="AT43" t="str">
        <f>TRIM(MID(SUBSTITUTE($G43, ",", REPT(" ", 100)), (COLUMNS($AJ$2:AT43)-1)*100+1, 100))</f>
        <v/>
      </c>
      <c r="AU43" t="str">
        <f>TRIM(MID(SUBSTITUTE($G43, ",", REPT(" ", 100)), (COLUMNS($AJ$2:AU43)-1)*100+1, 100))</f>
        <v/>
      </c>
      <c r="AV43" t="str">
        <f>TRIM(MID(SUBSTITUTE($G43, ",", REPT(" ", 100)), (COLUMNS($AJ$2:AV43)-1)*100+1, 100))</f>
        <v/>
      </c>
      <c r="AW43" t="str">
        <f>TRIM(MID(SUBSTITUTE($G43, ",", REPT(" ", 100)), (COLUMNS($AJ$2:AW43)-1)*100+1, 100))</f>
        <v/>
      </c>
      <c r="AX43" t="str">
        <f>TRIM(MID(SUBSTITUTE($G43, ",", REPT(" ", 100)), (COLUMNS($AJ$2:AX43)-1)*100+1, 100))</f>
        <v/>
      </c>
      <c r="AY43" t="str">
        <f>TRIM(MID(SUBSTITUTE($G43, ",", REPT(" ", 100)), (COLUMNS($AJ$2:AY43)-1)*100+1, 100))</f>
        <v/>
      </c>
      <c r="AZ43" t="str">
        <f>TRIM(MID(SUBSTITUTE($G43, ",", REPT(" ", 100)), (COLUMNS($AJ$2:AZ43)-1)*100+1, 100))</f>
        <v/>
      </c>
      <c r="BA43" t="str">
        <f>TRIM(MID(SUBSTITUTE($G43, ",", REPT(" ", 100)), (COLUMNS($AJ$2:BA43)-1)*100+1, 100))</f>
        <v/>
      </c>
      <c r="BB43" t="str">
        <f>TRIM(MID(SUBSTITUTE($G43, ",", REPT(" ", 100)), (COLUMNS($AJ$2:BB43)-1)*100+1, 100))</f>
        <v/>
      </c>
      <c r="BC43" t="str">
        <f>TRIM(MID(SUBSTITUTE($G43, ",", REPT(" ", 100)), (COLUMNS($AJ$2:BC43)-1)*100+1, 100))</f>
        <v/>
      </c>
      <c r="BH43">
        <f t="shared" si="1"/>
        <v>1</v>
      </c>
    </row>
    <row r="44" spans="1:60" ht="14.7" thickBot="1" x14ac:dyDescent="0.55000000000000004">
      <c r="A44" s="32" t="s">
        <v>431</v>
      </c>
      <c r="B44" s="257">
        <v>46065</v>
      </c>
      <c r="C44" s="2">
        <v>5</v>
      </c>
      <c r="D44" s="272"/>
      <c r="E44" s="271"/>
      <c r="F44" s="260">
        <v>1</v>
      </c>
      <c r="G44" s="69" t="s">
        <v>176</v>
      </c>
      <c r="I44" s="38">
        <v>0.33</v>
      </c>
      <c r="M44" s="38"/>
      <c r="S44" s="199"/>
      <c r="T44" s="232"/>
      <c r="U44" s="213"/>
      <c r="V44" s="215"/>
      <c r="W44" s="216"/>
      <c r="X44" s="214"/>
      <c r="Y44" s="232"/>
      <c r="Z44" s="199"/>
      <c r="AL44" t="str">
        <f>TRIM(MID(SUBSTITUTE($G44, ",", REPT(" ", 100)), (COLUMNS($AJ$2:AL44)-1)*100+1, 100))</f>
        <v/>
      </c>
      <c r="AM44" s="1">
        <v>45700</v>
      </c>
      <c r="AN44" s="2">
        <v>5.8</v>
      </c>
      <c r="AO44" s="2">
        <v>4</v>
      </c>
      <c r="AQ44" t="str">
        <f>TRIM(MID(SUBSTITUTE($G44, ",", REPT(" ", 100)), (COLUMNS($AJ$2:AQ44)-1)*100+1, 100))</f>
        <v/>
      </c>
      <c r="AR44" t="str">
        <f>TRIM(MID(SUBSTITUTE($G44, ",", REPT(" ", 100)), (COLUMNS($AJ$2:AR44)-1)*100+1, 100))</f>
        <v/>
      </c>
      <c r="AS44" t="str">
        <f>TRIM(MID(SUBSTITUTE($G44, ",", REPT(" ", 100)), (COLUMNS($AJ$2:AS44)-1)*100+1, 100))</f>
        <v/>
      </c>
      <c r="AT44" t="str">
        <f>TRIM(MID(SUBSTITUTE($G44, ",", REPT(" ", 100)), (COLUMNS($AJ$2:AT44)-1)*100+1, 100))</f>
        <v/>
      </c>
      <c r="AU44" t="str">
        <f>TRIM(MID(SUBSTITUTE($G44, ",", REPT(" ", 100)), (COLUMNS($AJ$2:AU44)-1)*100+1, 100))</f>
        <v/>
      </c>
      <c r="AV44" t="str">
        <f>TRIM(MID(SUBSTITUTE($G44, ",", REPT(" ", 100)), (COLUMNS($AJ$2:AV44)-1)*100+1, 100))</f>
        <v/>
      </c>
      <c r="AW44" t="str">
        <f>TRIM(MID(SUBSTITUTE($G44, ",", REPT(" ", 100)), (COLUMNS($AJ$2:AW44)-1)*100+1, 100))</f>
        <v/>
      </c>
      <c r="AX44" t="str">
        <f>TRIM(MID(SUBSTITUTE($G44, ",", REPT(" ", 100)), (COLUMNS($AJ$2:AX44)-1)*100+1, 100))</f>
        <v/>
      </c>
      <c r="AY44" t="str">
        <f>TRIM(MID(SUBSTITUTE($G44, ",", REPT(" ", 100)), (COLUMNS($AJ$2:AY44)-1)*100+1, 100))</f>
        <v/>
      </c>
      <c r="AZ44" t="str">
        <f>TRIM(MID(SUBSTITUTE($G44, ",", REPT(" ", 100)), (COLUMNS($AJ$2:AZ44)-1)*100+1, 100))</f>
        <v/>
      </c>
      <c r="BA44" t="str">
        <f>TRIM(MID(SUBSTITUTE($G44, ",", REPT(" ", 100)), (COLUMNS($AJ$2:BA44)-1)*100+1, 100))</f>
        <v/>
      </c>
      <c r="BB44" t="str">
        <f>TRIM(MID(SUBSTITUTE($G44, ",", REPT(" ", 100)), (COLUMNS($AJ$2:BB44)-1)*100+1, 100))</f>
        <v/>
      </c>
      <c r="BC44" t="str">
        <f>TRIM(MID(SUBSTITUTE($G44, ",", REPT(" ", 100)), (COLUMNS($AJ$2:BC44)-1)*100+1, 100))</f>
        <v/>
      </c>
      <c r="BH44">
        <f t="shared" si="1"/>
        <v>1</v>
      </c>
    </row>
    <row r="45" spans="1:60" ht="14.7" thickBot="1" x14ac:dyDescent="0.55000000000000004">
      <c r="A45" s="32" t="s">
        <v>432</v>
      </c>
      <c r="B45" s="258">
        <v>46066</v>
      </c>
      <c r="C45" s="2">
        <v>5.2</v>
      </c>
      <c r="D45" s="272"/>
      <c r="E45" s="271"/>
      <c r="F45" s="260">
        <v>1</v>
      </c>
      <c r="G45" s="69" t="s">
        <v>176</v>
      </c>
      <c r="I45" s="38">
        <v>0</v>
      </c>
      <c r="M45" s="38"/>
      <c r="S45" s="226"/>
      <c r="T45" s="222"/>
      <c r="U45" s="227"/>
      <c r="V45" s="222"/>
      <c r="W45" s="222"/>
      <c r="X45" s="222"/>
      <c r="Y45" s="222"/>
      <c r="Z45" s="228"/>
      <c r="AL45" t="str">
        <f>TRIM(MID(SUBSTITUTE($G45, ",", REPT(" ", 100)), (COLUMNS($AJ$2:AL45)-1)*100+1, 100))</f>
        <v/>
      </c>
      <c r="AM45" s="1">
        <v>45701</v>
      </c>
      <c r="AN45" s="2">
        <v>5.5</v>
      </c>
      <c r="AO45" s="2">
        <v>6</v>
      </c>
      <c r="AQ45" t="str">
        <f>TRIM(MID(SUBSTITUTE($G45, ",", REPT(" ", 100)), (COLUMNS($AJ$2:AQ45)-1)*100+1, 100))</f>
        <v/>
      </c>
      <c r="AR45" t="str">
        <f>TRIM(MID(SUBSTITUTE($G45, ",", REPT(" ", 100)), (COLUMNS($AJ$2:AR45)-1)*100+1, 100))</f>
        <v/>
      </c>
      <c r="AS45" t="str">
        <f>TRIM(MID(SUBSTITUTE($G45, ",", REPT(" ", 100)), (COLUMNS($AJ$2:AS45)-1)*100+1, 100))</f>
        <v/>
      </c>
      <c r="AT45" t="str">
        <f>TRIM(MID(SUBSTITUTE($G45, ",", REPT(" ", 100)), (COLUMNS($AJ$2:AT45)-1)*100+1, 100))</f>
        <v/>
      </c>
      <c r="AU45" t="str">
        <f>TRIM(MID(SUBSTITUTE($G45, ",", REPT(" ", 100)), (COLUMNS($AJ$2:AU45)-1)*100+1, 100))</f>
        <v/>
      </c>
      <c r="AV45" t="str">
        <f>TRIM(MID(SUBSTITUTE($G45, ",", REPT(" ", 100)), (COLUMNS($AJ$2:AV45)-1)*100+1, 100))</f>
        <v/>
      </c>
      <c r="AW45" t="str">
        <f>TRIM(MID(SUBSTITUTE($G45, ",", REPT(" ", 100)), (COLUMNS($AJ$2:AW45)-1)*100+1, 100))</f>
        <v/>
      </c>
      <c r="AX45" t="str">
        <f>TRIM(MID(SUBSTITUTE($G45, ",", REPT(" ", 100)), (COLUMNS($AJ$2:AX45)-1)*100+1, 100))</f>
        <v/>
      </c>
      <c r="AY45" t="str">
        <f>TRIM(MID(SUBSTITUTE($G45, ",", REPT(" ", 100)), (COLUMNS($AJ$2:AY45)-1)*100+1, 100))</f>
        <v/>
      </c>
      <c r="AZ45" t="str">
        <f>TRIM(MID(SUBSTITUTE($G45, ",", REPT(" ", 100)), (COLUMNS($AJ$2:AZ45)-1)*100+1, 100))</f>
        <v/>
      </c>
      <c r="BA45" t="str">
        <f>TRIM(MID(SUBSTITUTE($G45, ",", REPT(" ", 100)), (COLUMNS($AJ$2:BA45)-1)*100+1, 100))</f>
        <v/>
      </c>
      <c r="BB45" t="str">
        <f>TRIM(MID(SUBSTITUTE($G45, ",", REPT(" ", 100)), (COLUMNS($AJ$2:BB45)-1)*100+1, 100))</f>
        <v/>
      </c>
      <c r="BC45" t="str">
        <f>TRIM(MID(SUBSTITUTE($G45, ",", REPT(" ", 100)), (COLUMNS($AJ$2:BC45)-1)*100+1, 100))</f>
        <v/>
      </c>
      <c r="BH45">
        <f t="shared" si="1"/>
        <v>1</v>
      </c>
    </row>
    <row r="46" spans="1:60" ht="14.7" thickBot="1" x14ac:dyDescent="0.55000000000000004">
      <c r="A46" s="32" t="s">
        <v>433</v>
      </c>
      <c r="B46" s="257">
        <v>46067</v>
      </c>
      <c r="C46" s="2">
        <v>5.5</v>
      </c>
      <c r="D46" s="272"/>
      <c r="E46" s="271"/>
      <c r="F46" s="260">
        <v>0</v>
      </c>
      <c r="G46" s="69" t="s">
        <v>176</v>
      </c>
      <c r="I46" s="38">
        <v>0</v>
      </c>
      <c r="M46" s="38"/>
      <c r="S46" s="234"/>
      <c r="T46" s="232"/>
      <c r="U46" s="217"/>
      <c r="V46" s="230"/>
      <c r="W46" s="231"/>
      <c r="X46" s="219"/>
      <c r="Y46" s="232"/>
      <c r="Z46" s="233"/>
      <c r="AL46" t="str">
        <f>TRIM(MID(SUBSTITUTE($G46, ",", REPT(" ", 100)), (COLUMNS($AJ$2:AL46)-1)*100+1, 100))</f>
        <v/>
      </c>
      <c r="AM46" s="1">
        <v>45702</v>
      </c>
      <c r="AN46" s="2">
        <v>0</v>
      </c>
      <c r="AO46" s="2">
        <v>10</v>
      </c>
      <c r="AQ46" t="str">
        <f>TRIM(MID(SUBSTITUTE($G46, ",", REPT(" ", 100)), (COLUMNS($AJ$2:AQ46)-1)*100+1, 100))</f>
        <v/>
      </c>
      <c r="AR46" t="str">
        <f>TRIM(MID(SUBSTITUTE($G46, ",", REPT(" ", 100)), (COLUMNS($AJ$2:AR46)-1)*100+1, 100))</f>
        <v/>
      </c>
      <c r="AS46" t="str">
        <f>TRIM(MID(SUBSTITUTE($G46, ",", REPT(" ", 100)), (COLUMNS($AJ$2:AS46)-1)*100+1, 100))</f>
        <v/>
      </c>
      <c r="AT46" t="str">
        <f>TRIM(MID(SUBSTITUTE($G46, ",", REPT(" ", 100)), (COLUMNS($AJ$2:AT46)-1)*100+1, 100))</f>
        <v/>
      </c>
      <c r="AU46" t="str">
        <f>TRIM(MID(SUBSTITUTE($G46, ",", REPT(" ", 100)), (COLUMNS($AJ$2:AU46)-1)*100+1, 100))</f>
        <v/>
      </c>
      <c r="AV46" t="str">
        <f>TRIM(MID(SUBSTITUTE($G46, ",", REPT(" ", 100)), (COLUMNS($AJ$2:AV46)-1)*100+1, 100))</f>
        <v/>
      </c>
      <c r="AW46" t="str">
        <f>TRIM(MID(SUBSTITUTE($G46, ",", REPT(" ", 100)), (COLUMNS($AJ$2:AW46)-1)*100+1, 100))</f>
        <v/>
      </c>
      <c r="AX46" t="str">
        <f>TRIM(MID(SUBSTITUTE($G46, ",", REPT(" ", 100)), (COLUMNS($AJ$2:AX46)-1)*100+1, 100))</f>
        <v/>
      </c>
      <c r="AY46" t="str">
        <f>TRIM(MID(SUBSTITUTE($G46, ",", REPT(" ", 100)), (COLUMNS($AJ$2:AY46)-1)*100+1, 100))</f>
        <v/>
      </c>
      <c r="AZ46" t="str">
        <f>TRIM(MID(SUBSTITUTE($G46, ",", REPT(" ", 100)), (COLUMNS($AJ$2:AZ46)-1)*100+1, 100))</f>
        <v/>
      </c>
      <c r="BA46" t="str">
        <f>TRIM(MID(SUBSTITUTE($G46, ",", REPT(" ", 100)), (COLUMNS($AJ$2:BA46)-1)*100+1, 100))</f>
        <v/>
      </c>
      <c r="BB46" t="str">
        <f>TRIM(MID(SUBSTITUTE($G46, ",", REPT(" ", 100)), (COLUMNS($AJ$2:BB46)-1)*100+1, 100))</f>
        <v/>
      </c>
      <c r="BC46" t="str">
        <f>TRIM(MID(SUBSTITUTE($G46, ",", REPT(" ", 100)), (COLUMNS($AJ$2:BC46)-1)*100+1, 100))</f>
        <v/>
      </c>
      <c r="BH46">
        <f t="shared" si="1"/>
        <v>1</v>
      </c>
    </row>
    <row r="47" spans="1:60" ht="14.7" thickBot="1" x14ac:dyDescent="0.55000000000000004">
      <c r="A47" s="32" t="s">
        <v>434</v>
      </c>
      <c r="B47" s="258">
        <v>46068</v>
      </c>
      <c r="C47" s="2">
        <v>5.8</v>
      </c>
      <c r="D47" s="272"/>
      <c r="E47" s="271"/>
      <c r="F47" s="260">
        <v>1</v>
      </c>
      <c r="G47" s="69" t="s">
        <v>176</v>
      </c>
      <c r="I47" s="38">
        <v>0</v>
      </c>
      <c r="M47" s="38"/>
      <c r="S47" s="234"/>
      <c r="T47" s="197"/>
      <c r="U47" s="218"/>
      <c r="V47" s="250"/>
      <c r="W47" s="251"/>
      <c r="X47" s="220"/>
      <c r="Y47" s="197"/>
      <c r="Z47" s="233"/>
      <c r="AL47" t="str">
        <f>TRIM(MID(SUBSTITUTE($G47, ",", REPT(" ", 100)), (COLUMNS($AJ$2:AL47)-1)*100+1, 100))</f>
        <v/>
      </c>
      <c r="AM47" s="1">
        <v>45703</v>
      </c>
      <c r="AN47" s="2">
        <v>4.5</v>
      </c>
      <c r="AO47" s="2">
        <v>6</v>
      </c>
      <c r="AQ47" t="str">
        <f>TRIM(MID(SUBSTITUTE($G47, ",", REPT(" ", 100)), (COLUMNS($AJ$2:AQ47)-1)*100+1, 100))</f>
        <v/>
      </c>
      <c r="AR47" t="str">
        <f>TRIM(MID(SUBSTITUTE($G47, ",", REPT(" ", 100)), (COLUMNS($AJ$2:AR47)-1)*100+1, 100))</f>
        <v/>
      </c>
      <c r="AS47" t="str">
        <f>TRIM(MID(SUBSTITUTE($G47, ",", REPT(" ", 100)), (COLUMNS($AJ$2:AS47)-1)*100+1, 100))</f>
        <v/>
      </c>
      <c r="AT47" t="str">
        <f>TRIM(MID(SUBSTITUTE($G47, ",", REPT(" ", 100)), (COLUMNS($AJ$2:AT47)-1)*100+1, 100))</f>
        <v/>
      </c>
      <c r="AU47" t="str">
        <f>TRIM(MID(SUBSTITUTE($G47, ",", REPT(" ", 100)), (COLUMNS($AJ$2:AU47)-1)*100+1, 100))</f>
        <v/>
      </c>
      <c r="AV47" t="str">
        <f>TRIM(MID(SUBSTITUTE($G47, ",", REPT(" ", 100)), (COLUMNS($AJ$2:AV47)-1)*100+1, 100))</f>
        <v/>
      </c>
      <c r="AW47" t="str">
        <f>TRIM(MID(SUBSTITUTE($G47, ",", REPT(" ", 100)), (COLUMNS($AJ$2:AW47)-1)*100+1, 100))</f>
        <v/>
      </c>
      <c r="AX47" t="str">
        <f>TRIM(MID(SUBSTITUTE($G47, ",", REPT(" ", 100)), (COLUMNS($AJ$2:AX47)-1)*100+1, 100))</f>
        <v/>
      </c>
      <c r="AY47" t="str">
        <f>TRIM(MID(SUBSTITUTE($G47, ",", REPT(" ", 100)), (COLUMNS($AJ$2:AY47)-1)*100+1, 100))</f>
        <v/>
      </c>
      <c r="AZ47" t="str">
        <f>TRIM(MID(SUBSTITUTE($G47, ",", REPT(" ", 100)), (COLUMNS($AJ$2:AZ47)-1)*100+1, 100))</f>
        <v/>
      </c>
      <c r="BA47" t="str">
        <f>TRIM(MID(SUBSTITUTE($G47, ",", REPT(" ", 100)), (COLUMNS($AJ$2:BA47)-1)*100+1, 100))</f>
        <v/>
      </c>
      <c r="BB47" t="str">
        <f>TRIM(MID(SUBSTITUTE($G47, ",", REPT(" ", 100)), (COLUMNS($AJ$2:BB47)-1)*100+1, 100))</f>
        <v/>
      </c>
      <c r="BC47" t="str">
        <f>TRIM(MID(SUBSTITUTE($G47, ",", REPT(" ", 100)), (COLUMNS($AJ$2:BC47)-1)*100+1, 100))</f>
        <v/>
      </c>
      <c r="BH47">
        <f t="shared" si="1"/>
        <v>1</v>
      </c>
    </row>
    <row r="48" spans="1:60" ht="14.7" thickBot="1" x14ac:dyDescent="0.55000000000000004">
      <c r="A48" s="32" t="s">
        <v>435</v>
      </c>
      <c r="B48" s="257">
        <v>46069</v>
      </c>
      <c r="C48" s="2">
        <v>4</v>
      </c>
      <c r="D48" s="272"/>
      <c r="E48" s="271"/>
      <c r="F48" s="260">
        <v>1</v>
      </c>
      <c r="G48" s="69" t="s">
        <v>176</v>
      </c>
      <c r="I48" s="38">
        <v>0</v>
      </c>
      <c r="M48" s="38"/>
      <c r="S48" s="234"/>
      <c r="T48" s="232"/>
      <c r="U48" s="217"/>
      <c r="V48" s="230"/>
      <c r="W48" s="231"/>
      <c r="X48" s="219"/>
      <c r="Y48" s="232"/>
      <c r="Z48" s="233"/>
      <c r="AL48" t="str">
        <f>TRIM(MID(SUBSTITUTE($G48, ",", REPT(" ", 100)), (COLUMNS($AJ$2:AL48)-1)*100+1, 100))</f>
        <v/>
      </c>
      <c r="AM48" s="1">
        <v>45704</v>
      </c>
      <c r="AN48" s="2">
        <v>6.6</v>
      </c>
      <c r="AO48" s="2">
        <v>2</v>
      </c>
      <c r="AQ48" t="str">
        <f>TRIM(MID(SUBSTITUTE($G48, ",", REPT(" ", 100)), (COLUMNS($AJ$2:AQ48)-1)*100+1, 100))</f>
        <v/>
      </c>
      <c r="AR48" t="str">
        <f>TRIM(MID(SUBSTITUTE($G48, ",", REPT(" ", 100)), (COLUMNS($AJ$2:AR48)-1)*100+1, 100))</f>
        <v/>
      </c>
      <c r="AS48" t="str">
        <f>TRIM(MID(SUBSTITUTE($G48, ",", REPT(" ", 100)), (COLUMNS($AJ$2:AS48)-1)*100+1, 100))</f>
        <v/>
      </c>
      <c r="AT48" t="str">
        <f>TRIM(MID(SUBSTITUTE($G48, ",", REPT(" ", 100)), (COLUMNS($AJ$2:AT48)-1)*100+1, 100))</f>
        <v/>
      </c>
      <c r="AU48" t="str">
        <f>TRIM(MID(SUBSTITUTE($G48, ",", REPT(" ", 100)), (COLUMNS($AJ$2:AU48)-1)*100+1, 100))</f>
        <v/>
      </c>
      <c r="AV48" t="str">
        <f>TRIM(MID(SUBSTITUTE($G48, ",", REPT(" ", 100)), (COLUMNS($AJ$2:AV48)-1)*100+1, 100))</f>
        <v/>
      </c>
      <c r="AW48" t="str">
        <f>TRIM(MID(SUBSTITUTE($G48, ",", REPT(" ", 100)), (COLUMNS($AJ$2:AW48)-1)*100+1, 100))</f>
        <v/>
      </c>
      <c r="AX48" t="str">
        <f>TRIM(MID(SUBSTITUTE($G48, ",", REPT(" ", 100)), (COLUMNS($AJ$2:AX48)-1)*100+1, 100))</f>
        <v/>
      </c>
      <c r="AY48" t="str">
        <f>TRIM(MID(SUBSTITUTE($G48, ",", REPT(" ", 100)), (COLUMNS($AJ$2:AY48)-1)*100+1, 100))</f>
        <v/>
      </c>
      <c r="AZ48" t="str">
        <f>TRIM(MID(SUBSTITUTE($G48, ",", REPT(" ", 100)), (COLUMNS($AJ$2:AZ48)-1)*100+1, 100))</f>
        <v/>
      </c>
      <c r="BA48" t="str">
        <f>TRIM(MID(SUBSTITUTE($G48, ",", REPT(" ", 100)), (COLUMNS($AJ$2:BA48)-1)*100+1, 100))</f>
        <v/>
      </c>
      <c r="BB48" t="str">
        <f>TRIM(MID(SUBSTITUTE($G48, ",", REPT(" ", 100)), (COLUMNS($AJ$2:BB48)-1)*100+1, 100))</f>
        <v/>
      </c>
      <c r="BC48" t="str">
        <f>TRIM(MID(SUBSTITUTE($G48, ",", REPT(" ", 100)), (COLUMNS($AJ$2:BC48)-1)*100+1, 100))</f>
        <v/>
      </c>
      <c r="BH48">
        <f t="shared" si="1"/>
        <v>1</v>
      </c>
    </row>
    <row r="49" spans="1:60" ht="14.7" thickBot="1" x14ac:dyDescent="0.55000000000000004">
      <c r="A49" s="32" t="s">
        <v>436</v>
      </c>
      <c r="B49" s="258">
        <v>46070</v>
      </c>
      <c r="C49" s="2">
        <v>7</v>
      </c>
      <c r="D49" s="272"/>
      <c r="E49" s="271"/>
      <c r="F49" s="260">
        <v>1</v>
      </c>
      <c r="G49" s="69" t="s">
        <v>176</v>
      </c>
      <c r="I49" s="38">
        <v>0</v>
      </c>
      <c r="K49" s="246"/>
      <c r="L49" s="247"/>
      <c r="M49" s="248"/>
      <c r="S49" s="226"/>
      <c r="T49" s="222"/>
      <c r="U49" s="227"/>
      <c r="V49" s="222"/>
      <c r="W49" s="222"/>
      <c r="X49" s="222"/>
      <c r="Y49" s="222"/>
      <c r="Z49" s="228"/>
      <c r="AL49" t="str">
        <f>TRIM(MID(SUBSTITUTE($G49, ",", REPT(" ", 100)), (COLUMNS($AJ$2:AL49)-1)*100+1, 100))</f>
        <v/>
      </c>
      <c r="AM49" s="1">
        <v>45705</v>
      </c>
      <c r="AN49" s="2">
        <v>7.5</v>
      </c>
      <c r="AO49" s="2">
        <v>4</v>
      </c>
      <c r="AQ49" t="str">
        <f>TRIM(MID(SUBSTITUTE($G49, ",", REPT(" ", 100)), (COLUMNS($AJ$2:AQ49)-1)*100+1, 100))</f>
        <v/>
      </c>
      <c r="AR49" t="str">
        <f>TRIM(MID(SUBSTITUTE($G49, ",", REPT(" ", 100)), (COLUMNS($AJ$2:AR49)-1)*100+1, 100))</f>
        <v/>
      </c>
      <c r="AS49" t="str">
        <f>TRIM(MID(SUBSTITUTE($G49, ",", REPT(" ", 100)), (COLUMNS($AJ$2:AS49)-1)*100+1, 100))</f>
        <v/>
      </c>
      <c r="AT49" t="str">
        <f>TRIM(MID(SUBSTITUTE($G49, ",", REPT(" ", 100)), (COLUMNS($AJ$2:AT49)-1)*100+1, 100))</f>
        <v/>
      </c>
      <c r="AU49" t="str">
        <f>TRIM(MID(SUBSTITUTE($G49, ",", REPT(" ", 100)), (COLUMNS($AJ$2:AU49)-1)*100+1, 100))</f>
        <v/>
      </c>
      <c r="AV49" t="str">
        <f>TRIM(MID(SUBSTITUTE($G49, ",", REPT(" ", 100)), (COLUMNS($AJ$2:AV49)-1)*100+1, 100))</f>
        <v/>
      </c>
      <c r="AW49" t="str">
        <f>TRIM(MID(SUBSTITUTE($G49, ",", REPT(" ", 100)), (COLUMNS($AJ$2:AW49)-1)*100+1, 100))</f>
        <v/>
      </c>
      <c r="AX49" t="str">
        <f>TRIM(MID(SUBSTITUTE($G49, ",", REPT(" ", 100)), (COLUMNS($AJ$2:AX49)-1)*100+1, 100))</f>
        <v/>
      </c>
      <c r="AY49" t="str">
        <f>TRIM(MID(SUBSTITUTE($G49, ",", REPT(" ", 100)), (COLUMNS($AJ$2:AY49)-1)*100+1, 100))</f>
        <v/>
      </c>
      <c r="AZ49" t="str">
        <f>TRIM(MID(SUBSTITUTE($G49, ",", REPT(" ", 100)), (COLUMNS($AJ$2:AZ49)-1)*100+1, 100))</f>
        <v/>
      </c>
      <c r="BA49" t="str">
        <f>TRIM(MID(SUBSTITUTE($G49, ",", REPT(" ", 100)), (COLUMNS($AJ$2:BA49)-1)*100+1, 100))</f>
        <v/>
      </c>
      <c r="BB49" t="str">
        <f>TRIM(MID(SUBSTITUTE($G49, ",", REPT(" ", 100)), (COLUMNS($AJ$2:BB49)-1)*100+1, 100))</f>
        <v/>
      </c>
      <c r="BC49" t="str">
        <f>TRIM(MID(SUBSTITUTE($G49, ",", REPT(" ", 100)), (COLUMNS($AJ$2:BC49)-1)*100+1, 100))</f>
        <v/>
      </c>
      <c r="BH49">
        <f t="shared" si="1"/>
        <v>1</v>
      </c>
    </row>
    <row r="50" spans="1:60" ht="14.7" thickBot="1" x14ac:dyDescent="0.55000000000000004">
      <c r="A50" s="32" t="s">
        <v>437</v>
      </c>
      <c r="B50" s="257">
        <v>46071</v>
      </c>
      <c r="C50" s="2">
        <v>6.8</v>
      </c>
      <c r="D50" s="272"/>
      <c r="E50" s="271"/>
      <c r="F50" s="260">
        <v>0</v>
      </c>
      <c r="G50" s="69" t="s">
        <v>176</v>
      </c>
      <c r="I50" s="38">
        <v>0</v>
      </c>
      <c r="K50" s="241"/>
      <c r="L50" s="249"/>
      <c r="M50" s="242"/>
      <c r="S50" s="198"/>
      <c r="T50" s="232"/>
      <c r="U50" s="209"/>
      <c r="V50" s="210"/>
      <c r="W50" s="211"/>
      <c r="X50" s="212"/>
      <c r="Y50" s="232"/>
      <c r="Z50" s="198"/>
      <c r="AL50" t="str">
        <f>TRIM(MID(SUBSTITUTE($G50, ",", REPT(" ", 100)), (COLUMNS($AJ$2:AL50)-1)*100+1, 100))</f>
        <v/>
      </c>
      <c r="AM50" s="1">
        <v>45706</v>
      </c>
      <c r="AN50" s="2">
        <v>5</v>
      </c>
      <c r="AO50" s="2">
        <v>4</v>
      </c>
      <c r="AQ50" t="str">
        <f>TRIM(MID(SUBSTITUTE($G50, ",", REPT(" ", 100)), (COLUMNS($AJ$2:AQ50)-1)*100+1, 100))</f>
        <v/>
      </c>
      <c r="AR50" t="str">
        <f>TRIM(MID(SUBSTITUTE($G50, ",", REPT(" ", 100)), (COLUMNS($AJ$2:AR50)-1)*100+1, 100))</f>
        <v/>
      </c>
      <c r="AS50" t="str">
        <f>TRIM(MID(SUBSTITUTE($G50, ",", REPT(" ", 100)), (COLUMNS($AJ$2:AS50)-1)*100+1, 100))</f>
        <v/>
      </c>
      <c r="AT50" t="str">
        <f>TRIM(MID(SUBSTITUTE($G50, ",", REPT(" ", 100)), (COLUMNS($AJ$2:AT50)-1)*100+1, 100))</f>
        <v/>
      </c>
      <c r="AU50" t="str">
        <f>TRIM(MID(SUBSTITUTE($G50, ",", REPT(" ", 100)), (COLUMNS($AJ$2:AU50)-1)*100+1, 100))</f>
        <v/>
      </c>
      <c r="AV50" t="str">
        <f>TRIM(MID(SUBSTITUTE($G50, ",", REPT(" ", 100)), (COLUMNS($AJ$2:AV50)-1)*100+1, 100))</f>
        <v/>
      </c>
      <c r="AW50" t="str">
        <f>TRIM(MID(SUBSTITUTE($G50, ",", REPT(" ", 100)), (COLUMNS($AJ$2:AW50)-1)*100+1, 100))</f>
        <v/>
      </c>
      <c r="AX50" t="str">
        <f>TRIM(MID(SUBSTITUTE($G50, ",", REPT(" ", 100)), (COLUMNS($AJ$2:AX50)-1)*100+1, 100))</f>
        <v/>
      </c>
      <c r="AY50" t="str">
        <f>TRIM(MID(SUBSTITUTE($G50, ",", REPT(" ", 100)), (COLUMNS($AJ$2:AY50)-1)*100+1, 100))</f>
        <v/>
      </c>
      <c r="AZ50" t="str">
        <f>TRIM(MID(SUBSTITUTE($G50, ",", REPT(" ", 100)), (COLUMNS($AJ$2:AZ50)-1)*100+1, 100))</f>
        <v/>
      </c>
      <c r="BA50" t="str">
        <f>TRIM(MID(SUBSTITUTE($G50, ",", REPT(" ", 100)), (COLUMNS($AJ$2:BA50)-1)*100+1, 100))</f>
        <v/>
      </c>
      <c r="BB50" t="str">
        <f>TRIM(MID(SUBSTITUTE($G50, ",", REPT(" ", 100)), (COLUMNS($AJ$2:BB50)-1)*100+1, 100))</f>
        <v/>
      </c>
      <c r="BC50" t="str">
        <f>TRIM(MID(SUBSTITUTE($G50, ",", REPT(" ", 100)), (COLUMNS($AJ$2:BC50)-1)*100+1, 100))</f>
        <v/>
      </c>
      <c r="BH50">
        <f t="shared" si="1"/>
        <v>1</v>
      </c>
    </row>
    <row r="51" spans="1:60" ht="14.7" thickBot="1" x14ac:dyDescent="0.55000000000000004">
      <c r="A51" s="32" t="s">
        <v>431</v>
      </c>
      <c r="B51" s="258">
        <v>46072</v>
      </c>
      <c r="C51" s="2">
        <v>7.5</v>
      </c>
      <c r="D51" s="272"/>
      <c r="E51" s="271"/>
      <c r="F51" s="260">
        <v>1</v>
      </c>
      <c r="G51" s="69" t="s">
        <v>176</v>
      </c>
      <c r="H51" s="38" t="s">
        <v>501</v>
      </c>
      <c r="I51" s="38">
        <v>0</v>
      </c>
      <c r="K51" s="243"/>
      <c r="L51" s="244"/>
      <c r="M51" s="245"/>
      <c r="S51" s="199"/>
      <c r="T51" s="232"/>
      <c r="U51" s="213"/>
      <c r="V51" s="214"/>
      <c r="W51" s="213"/>
      <c r="X51" s="214"/>
      <c r="Y51" s="232"/>
      <c r="Z51" s="199"/>
      <c r="AL51" t="str">
        <f>TRIM(MID(SUBSTITUTE($G51, ",", REPT(" ", 100)), (COLUMNS($AJ$2:AL51)-1)*100+1, 100))</f>
        <v/>
      </c>
      <c r="AM51" s="1">
        <v>45707</v>
      </c>
      <c r="AN51" s="2">
        <v>4.8</v>
      </c>
      <c r="AO51" s="2">
        <v>4</v>
      </c>
      <c r="AQ51" t="str">
        <f>TRIM(MID(SUBSTITUTE($G51, ",", REPT(" ", 100)), (COLUMNS($AJ$2:AQ51)-1)*100+1, 100))</f>
        <v/>
      </c>
      <c r="AR51" t="str">
        <f>TRIM(MID(SUBSTITUTE($G51, ",", REPT(" ", 100)), (COLUMNS($AJ$2:AR51)-1)*100+1, 100))</f>
        <v/>
      </c>
      <c r="AS51" t="str">
        <f>TRIM(MID(SUBSTITUTE($G51, ",", REPT(" ", 100)), (COLUMNS($AJ$2:AS51)-1)*100+1, 100))</f>
        <v/>
      </c>
      <c r="AT51" t="str">
        <f>TRIM(MID(SUBSTITUTE($G51, ",", REPT(" ", 100)), (COLUMNS($AJ$2:AT51)-1)*100+1, 100))</f>
        <v/>
      </c>
      <c r="AU51" t="str">
        <f>TRIM(MID(SUBSTITUTE($G51, ",", REPT(" ", 100)), (COLUMNS($AJ$2:AU51)-1)*100+1, 100))</f>
        <v/>
      </c>
      <c r="AV51" t="str">
        <f>TRIM(MID(SUBSTITUTE($G51, ",", REPT(" ", 100)), (COLUMNS($AJ$2:AV51)-1)*100+1, 100))</f>
        <v/>
      </c>
      <c r="AW51" t="str">
        <f>TRIM(MID(SUBSTITUTE($G51, ",", REPT(" ", 100)), (COLUMNS($AJ$2:AW51)-1)*100+1, 100))</f>
        <v/>
      </c>
      <c r="AX51" t="str">
        <f>TRIM(MID(SUBSTITUTE($G51, ",", REPT(" ", 100)), (COLUMNS($AJ$2:AX51)-1)*100+1, 100))</f>
        <v/>
      </c>
      <c r="AY51" t="str">
        <f>TRIM(MID(SUBSTITUTE($G51, ",", REPT(" ", 100)), (COLUMNS($AJ$2:AY51)-1)*100+1, 100))</f>
        <v/>
      </c>
      <c r="AZ51" t="str">
        <f>TRIM(MID(SUBSTITUTE($G51, ",", REPT(" ", 100)), (COLUMNS($AJ$2:AZ51)-1)*100+1, 100))</f>
        <v/>
      </c>
      <c r="BA51" t="str">
        <f>TRIM(MID(SUBSTITUTE($G51, ",", REPT(" ", 100)), (COLUMNS($AJ$2:BA51)-1)*100+1, 100))</f>
        <v/>
      </c>
      <c r="BB51" t="str">
        <f>TRIM(MID(SUBSTITUTE($G51, ",", REPT(" ", 100)), (COLUMNS($AJ$2:BB51)-1)*100+1, 100))</f>
        <v/>
      </c>
      <c r="BC51" t="str">
        <f>TRIM(MID(SUBSTITUTE($G51, ",", REPT(" ", 100)), (COLUMNS($AJ$2:BC51)-1)*100+1, 100))</f>
        <v/>
      </c>
      <c r="BH51">
        <f t="shared" si="1"/>
        <v>1</v>
      </c>
    </row>
    <row r="52" spans="1:60" ht="14.7" thickBot="1" x14ac:dyDescent="0.55000000000000004">
      <c r="A52" s="32" t="s">
        <v>432</v>
      </c>
      <c r="B52" s="257">
        <v>46073</v>
      </c>
      <c r="C52" s="2">
        <v>7.2</v>
      </c>
      <c r="D52" s="272"/>
      <c r="E52" s="271"/>
      <c r="F52" s="260">
        <v>1</v>
      </c>
      <c r="G52" s="69" t="s">
        <v>176</v>
      </c>
      <c r="I52" s="38">
        <v>0</v>
      </c>
      <c r="S52" s="226"/>
      <c r="T52" s="222"/>
      <c r="U52" s="222"/>
      <c r="V52" s="237"/>
      <c r="W52" s="237"/>
      <c r="X52" s="223"/>
      <c r="Y52" s="229"/>
      <c r="Z52" s="228"/>
      <c r="AL52" t="str">
        <f>TRIM(MID(SUBSTITUTE($G52, ",", REPT(" ", 100)), (COLUMNS($AJ$2:AL52)-1)*100+1, 100))</f>
        <v/>
      </c>
      <c r="AM52" s="1">
        <v>45708</v>
      </c>
      <c r="AN52" s="2">
        <v>6.8</v>
      </c>
      <c r="AO52" s="2">
        <v>0</v>
      </c>
      <c r="AQ52" t="str">
        <f>TRIM(MID(SUBSTITUTE($G52, ",", REPT(" ", 100)), (COLUMNS($AJ$2:AQ52)-1)*100+1, 100))</f>
        <v/>
      </c>
      <c r="AR52" t="str">
        <f>TRIM(MID(SUBSTITUTE($G52, ",", REPT(" ", 100)), (COLUMNS($AJ$2:AR52)-1)*100+1, 100))</f>
        <v/>
      </c>
      <c r="AS52" t="str">
        <f>TRIM(MID(SUBSTITUTE($G52, ",", REPT(" ", 100)), (COLUMNS($AJ$2:AS52)-1)*100+1, 100))</f>
        <v/>
      </c>
      <c r="AT52" t="str">
        <f>TRIM(MID(SUBSTITUTE($G52, ",", REPT(" ", 100)), (COLUMNS($AJ$2:AT52)-1)*100+1, 100))</f>
        <v/>
      </c>
      <c r="AU52" t="str">
        <f>TRIM(MID(SUBSTITUTE($G52, ",", REPT(" ", 100)), (COLUMNS($AJ$2:AU52)-1)*100+1, 100))</f>
        <v/>
      </c>
      <c r="AV52" t="str">
        <f>TRIM(MID(SUBSTITUTE($G52, ",", REPT(" ", 100)), (COLUMNS($AJ$2:AV52)-1)*100+1, 100))</f>
        <v/>
      </c>
      <c r="AW52" t="str">
        <f>TRIM(MID(SUBSTITUTE($G52, ",", REPT(" ", 100)), (COLUMNS($AJ$2:AW52)-1)*100+1, 100))</f>
        <v/>
      </c>
      <c r="AX52" t="str">
        <f>TRIM(MID(SUBSTITUTE($G52, ",", REPT(" ", 100)), (COLUMNS($AJ$2:AX52)-1)*100+1, 100))</f>
        <v/>
      </c>
      <c r="AY52" t="str">
        <f>TRIM(MID(SUBSTITUTE($G52, ",", REPT(" ", 100)), (COLUMNS($AJ$2:AY52)-1)*100+1, 100))</f>
        <v/>
      </c>
      <c r="AZ52" t="str">
        <f>TRIM(MID(SUBSTITUTE($G52, ",", REPT(" ", 100)), (COLUMNS($AJ$2:AZ52)-1)*100+1, 100))</f>
        <v/>
      </c>
      <c r="BA52" t="str">
        <f>TRIM(MID(SUBSTITUTE($G52, ",", REPT(" ", 100)), (COLUMNS($AJ$2:BA52)-1)*100+1, 100))</f>
        <v/>
      </c>
      <c r="BB52" t="str">
        <f>TRIM(MID(SUBSTITUTE($G52, ",", REPT(" ", 100)), (COLUMNS($AJ$2:BB52)-1)*100+1, 100))</f>
        <v/>
      </c>
      <c r="BC52" t="str">
        <f>TRIM(MID(SUBSTITUTE($G52, ",", REPT(" ", 100)), (COLUMNS($AJ$2:BC52)-1)*100+1, 100))</f>
        <v/>
      </c>
      <c r="BH52">
        <f t="shared" si="1"/>
        <v>1</v>
      </c>
    </row>
    <row r="53" spans="1:60" ht="14.7" thickBot="1" x14ac:dyDescent="0.55000000000000004">
      <c r="A53" s="32" t="s">
        <v>433</v>
      </c>
      <c r="B53" s="258">
        <v>46074</v>
      </c>
      <c r="C53" s="2">
        <v>7</v>
      </c>
      <c r="D53" s="272"/>
      <c r="E53" s="271"/>
      <c r="F53" s="260">
        <v>1</v>
      </c>
      <c r="G53" s="69" t="s">
        <v>176</v>
      </c>
      <c r="I53" s="38">
        <v>0</v>
      </c>
      <c r="S53" s="200"/>
      <c r="T53" s="201"/>
      <c r="U53" s="222"/>
      <c r="V53" s="240"/>
      <c r="W53" s="240"/>
      <c r="X53" s="223"/>
      <c r="Y53" s="206"/>
      <c r="Z53" s="201"/>
      <c r="AL53" t="str">
        <f>TRIM(MID(SUBSTITUTE($G53, ",", REPT(" ", 100)), (COLUMNS($AJ$2:AL53)-1)*100+1, 100))</f>
        <v/>
      </c>
      <c r="AM53" s="1">
        <v>45709</v>
      </c>
      <c r="AN53" s="2">
        <v>2.2000000000000002</v>
      </c>
      <c r="AO53" s="2">
        <v>0</v>
      </c>
      <c r="AQ53" t="str">
        <f>TRIM(MID(SUBSTITUTE($G53, ",", REPT(" ", 100)), (COLUMNS($AJ$2:AQ53)-1)*100+1, 100))</f>
        <v/>
      </c>
      <c r="AR53" t="str">
        <f>TRIM(MID(SUBSTITUTE($G53, ",", REPT(" ", 100)), (COLUMNS($AJ$2:AR53)-1)*100+1, 100))</f>
        <v/>
      </c>
      <c r="AS53" t="str">
        <f>TRIM(MID(SUBSTITUTE($G53, ",", REPT(" ", 100)), (COLUMNS($AJ$2:AS53)-1)*100+1, 100))</f>
        <v/>
      </c>
      <c r="AT53" t="str">
        <f>TRIM(MID(SUBSTITUTE($G53, ",", REPT(" ", 100)), (COLUMNS($AJ$2:AT53)-1)*100+1, 100))</f>
        <v/>
      </c>
      <c r="AU53" t="str">
        <f>TRIM(MID(SUBSTITUTE($G53, ",", REPT(" ", 100)), (COLUMNS($AJ$2:AU53)-1)*100+1, 100))</f>
        <v/>
      </c>
      <c r="AV53" t="str">
        <f>TRIM(MID(SUBSTITUTE($G53, ",", REPT(" ", 100)), (COLUMNS($AJ$2:AV53)-1)*100+1, 100))</f>
        <v/>
      </c>
      <c r="AW53" t="str">
        <f>TRIM(MID(SUBSTITUTE($G53, ",", REPT(" ", 100)), (COLUMNS($AJ$2:AW53)-1)*100+1, 100))</f>
        <v/>
      </c>
      <c r="AX53" t="str">
        <f>TRIM(MID(SUBSTITUTE($G53, ",", REPT(" ", 100)), (COLUMNS($AJ$2:AX53)-1)*100+1, 100))</f>
        <v/>
      </c>
      <c r="AY53" t="str">
        <f>TRIM(MID(SUBSTITUTE($G53, ",", REPT(" ", 100)), (COLUMNS($AJ$2:AY53)-1)*100+1, 100))</f>
        <v/>
      </c>
      <c r="AZ53" t="str">
        <f>TRIM(MID(SUBSTITUTE($G53, ",", REPT(" ", 100)), (COLUMNS($AJ$2:AZ53)-1)*100+1, 100))</f>
        <v/>
      </c>
      <c r="BA53" t="str">
        <f>TRIM(MID(SUBSTITUTE($G53, ",", REPT(" ", 100)), (COLUMNS($AJ$2:BA53)-1)*100+1, 100))</f>
        <v/>
      </c>
      <c r="BB53" t="str">
        <f>TRIM(MID(SUBSTITUTE($G53, ",", REPT(" ", 100)), (COLUMNS($AJ$2:BB53)-1)*100+1, 100))</f>
        <v/>
      </c>
      <c r="BC53" t="str">
        <f>TRIM(MID(SUBSTITUTE($G53, ",", REPT(" ", 100)), (COLUMNS($AJ$2:BC53)-1)*100+1, 100))</f>
        <v/>
      </c>
      <c r="BH53">
        <f t="shared" si="1"/>
        <v>1</v>
      </c>
    </row>
    <row r="54" spans="1:60" ht="14.7" thickBot="1" x14ac:dyDescent="0.55000000000000004">
      <c r="A54" s="32" t="s">
        <v>434</v>
      </c>
      <c r="B54" s="257">
        <v>46075</v>
      </c>
      <c r="C54" s="2">
        <v>7.6</v>
      </c>
      <c r="D54" s="272"/>
      <c r="E54" s="271"/>
      <c r="F54" s="260">
        <v>0</v>
      </c>
      <c r="G54" s="38" t="s">
        <v>477</v>
      </c>
      <c r="I54" s="38">
        <v>0</v>
      </c>
      <c r="S54" s="202"/>
      <c r="T54" s="203"/>
      <c r="U54" s="222"/>
      <c r="V54" s="195"/>
      <c r="W54" s="196"/>
      <c r="X54" s="223"/>
      <c r="Y54" s="207"/>
      <c r="Z54" s="203"/>
      <c r="AL54" t="str">
        <f>TRIM(MID(SUBSTITUTE($G54, ",", REPT(" ", 100)), (COLUMNS($AJ$2:AL54)-1)*100+1, 100))</f>
        <v>Banglore</v>
      </c>
      <c r="AM54" s="1">
        <v>45710</v>
      </c>
      <c r="AN54" s="2">
        <v>5.5</v>
      </c>
      <c r="AO54" s="2">
        <v>2</v>
      </c>
      <c r="AQ54" t="str">
        <f>TRIM(MID(SUBSTITUTE($G54, ",", REPT(" ", 100)), (COLUMNS($AJ$2:AQ54)-1)*100+1, 100))</f>
        <v/>
      </c>
      <c r="AR54" t="str">
        <f>TRIM(MID(SUBSTITUTE($G54, ",", REPT(" ", 100)), (COLUMNS($AJ$2:AR54)-1)*100+1, 100))</f>
        <v/>
      </c>
      <c r="AS54" t="str">
        <f>TRIM(MID(SUBSTITUTE($G54, ",", REPT(" ", 100)), (COLUMNS($AJ$2:AS54)-1)*100+1, 100))</f>
        <v/>
      </c>
      <c r="AT54" t="str">
        <f>TRIM(MID(SUBSTITUTE($G54, ",", REPT(" ", 100)), (COLUMNS($AJ$2:AT54)-1)*100+1, 100))</f>
        <v/>
      </c>
      <c r="AU54" t="str">
        <f>TRIM(MID(SUBSTITUTE($G54, ",", REPT(" ", 100)), (COLUMNS($AJ$2:AU54)-1)*100+1, 100))</f>
        <v/>
      </c>
      <c r="AV54" t="str">
        <f>TRIM(MID(SUBSTITUTE($G54, ",", REPT(" ", 100)), (COLUMNS($AJ$2:AV54)-1)*100+1, 100))</f>
        <v/>
      </c>
      <c r="AW54" t="str">
        <f>TRIM(MID(SUBSTITUTE($G54, ",", REPT(" ", 100)), (COLUMNS($AJ$2:AW54)-1)*100+1, 100))</f>
        <v/>
      </c>
      <c r="AX54" t="str">
        <f>TRIM(MID(SUBSTITUTE($G54, ",", REPT(" ", 100)), (COLUMNS($AJ$2:AX54)-1)*100+1, 100))</f>
        <v/>
      </c>
      <c r="AY54" t="str">
        <f>TRIM(MID(SUBSTITUTE($G54, ",", REPT(" ", 100)), (COLUMNS($AJ$2:AY54)-1)*100+1, 100))</f>
        <v/>
      </c>
      <c r="AZ54" t="str">
        <f>TRIM(MID(SUBSTITUTE($G54, ",", REPT(" ", 100)), (COLUMNS($AJ$2:AZ54)-1)*100+1, 100))</f>
        <v/>
      </c>
      <c r="BA54" t="str">
        <f>TRIM(MID(SUBSTITUTE($G54, ",", REPT(" ", 100)), (COLUMNS($AJ$2:BA54)-1)*100+1, 100))</f>
        <v/>
      </c>
      <c r="BB54" t="str">
        <f>TRIM(MID(SUBSTITUTE($G54, ",", REPT(" ", 100)), (COLUMNS($AJ$2:BB54)-1)*100+1, 100))</f>
        <v/>
      </c>
      <c r="BC54" t="str">
        <f>TRIM(MID(SUBSTITUTE($G54, ",", REPT(" ", 100)), (COLUMNS($AJ$2:BC54)-1)*100+1, 100))</f>
        <v/>
      </c>
      <c r="BH54">
        <f t="shared" si="1"/>
        <v>0.33333333333333331</v>
      </c>
    </row>
    <row r="55" spans="1:60" ht="14.7" thickBot="1" x14ac:dyDescent="0.55000000000000004">
      <c r="A55" s="32" t="s">
        <v>435</v>
      </c>
      <c r="B55" s="258">
        <v>46076</v>
      </c>
      <c r="C55" s="2">
        <v>9</v>
      </c>
      <c r="D55" s="272"/>
      <c r="E55" s="271"/>
      <c r="F55" s="260">
        <v>1</v>
      </c>
      <c r="G55" s="38" t="s">
        <v>462</v>
      </c>
      <c r="I55" s="38">
        <v>0</v>
      </c>
      <c r="S55" s="204"/>
      <c r="T55" s="205"/>
      <c r="U55" s="225"/>
      <c r="V55" s="236"/>
      <c r="W55" s="236"/>
      <c r="X55" s="224"/>
      <c r="Y55" s="208"/>
      <c r="Z55" s="205"/>
      <c r="AL55" t="str">
        <f>TRIM(MID(SUBSTITUTE($G55, ",", REPT(" ", 100)), (COLUMNS($AJ$2:AL55)-1)*100+1, 100))</f>
        <v/>
      </c>
      <c r="AM55" s="1">
        <v>45711</v>
      </c>
      <c r="AN55" s="2">
        <v>4.5</v>
      </c>
      <c r="AO55" s="2">
        <v>4</v>
      </c>
      <c r="AQ55" t="str">
        <f>TRIM(MID(SUBSTITUTE($G55, ",", REPT(" ", 100)), (COLUMNS($AJ$2:AQ55)-1)*100+1, 100))</f>
        <v/>
      </c>
      <c r="AR55" t="str">
        <f>TRIM(MID(SUBSTITUTE($G55, ",", REPT(" ", 100)), (COLUMNS($AJ$2:AR55)-1)*100+1, 100))</f>
        <v/>
      </c>
      <c r="AS55" t="str">
        <f>TRIM(MID(SUBSTITUTE($G55, ",", REPT(" ", 100)), (COLUMNS($AJ$2:AS55)-1)*100+1, 100))</f>
        <v/>
      </c>
      <c r="AT55" t="str">
        <f>TRIM(MID(SUBSTITUTE($G55, ",", REPT(" ", 100)), (COLUMNS($AJ$2:AT55)-1)*100+1, 100))</f>
        <v/>
      </c>
      <c r="AU55" t="str">
        <f>TRIM(MID(SUBSTITUTE($G55, ",", REPT(" ", 100)), (COLUMNS($AJ$2:AU55)-1)*100+1, 100))</f>
        <v/>
      </c>
      <c r="AV55" t="str">
        <f>TRIM(MID(SUBSTITUTE($G55, ",", REPT(" ", 100)), (COLUMNS($AJ$2:AV55)-1)*100+1, 100))</f>
        <v/>
      </c>
      <c r="AW55" t="str">
        <f>TRIM(MID(SUBSTITUTE($G55, ",", REPT(" ", 100)), (COLUMNS($AJ$2:AW55)-1)*100+1, 100))</f>
        <v/>
      </c>
      <c r="AX55" t="str">
        <f>TRIM(MID(SUBSTITUTE($G55, ",", REPT(" ", 100)), (COLUMNS($AJ$2:AX55)-1)*100+1, 100))</f>
        <v/>
      </c>
      <c r="AY55" t="str">
        <f>TRIM(MID(SUBSTITUTE($G55, ",", REPT(" ", 100)), (COLUMNS($AJ$2:AY55)-1)*100+1, 100))</f>
        <v/>
      </c>
      <c r="AZ55" t="str">
        <f>TRIM(MID(SUBSTITUTE($G55, ",", REPT(" ", 100)), (COLUMNS($AJ$2:AZ55)-1)*100+1, 100))</f>
        <v/>
      </c>
      <c r="BA55" t="str">
        <f>TRIM(MID(SUBSTITUTE($G55, ",", REPT(" ", 100)), (COLUMNS($AJ$2:BA55)-1)*100+1, 100))</f>
        <v/>
      </c>
      <c r="BB55" t="str">
        <f>TRIM(MID(SUBSTITUTE($G55, ",", REPT(" ", 100)), (COLUMNS($AJ$2:BB55)-1)*100+1, 100))</f>
        <v/>
      </c>
      <c r="BC55" t="str">
        <f>TRIM(MID(SUBSTITUTE($G55, ",", REPT(" ", 100)), (COLUMNS($AJ$2:BC55)-1)*100+1, 100))</f>
        <v/>
      </c>
      <c r="BH55">
        <f t="shared" si="1"/>
        <v>1</v>
      </c>
    </row>
    <row r="56" spans="1:60" x14ac:dyDescent="0.5">
      <c r="A56" s="32" t="s">
        <v>436</v>
      </c>
      <c r="B56" s="257">
        <v>46077</v>
      </c>
      <c r="C56" s="2">
        <v>5.5</v>
      </c>
      <c r="D56" s="272"/>
      <c r="E56" s="271"/>
      <c r="F56" s="260">
        <v>0</v>
      </c>
      <c r="G56" s="38" t="s">
        <v>462</v>
      </c>
      <c r="I56" s="38">
        <v>0</v>
      </c>
      <c r="V56" s="38"/>
      <c r="W56" s="38"/>
      <c r="X56" s="176"/>
      <c r="Y56" s="101"/>
      <c r="AL56" t="str">
        <f>TRIM(MID(SUBSTITUTE($G56, ",", REPT(" ", 100)), (COLUMNS($AJ$2:AL56)-1)*100+1, 100))</f>
        <v/>
      </c>
      <c r="AM56" s="1">
        <v>45712</v>
      </c>
      <c r="AN56" s="2">
        <v>6.5</v>
      </c>
      <c r="AO56" s="2">
        <v>4</v>
      </c>
      <c r="AQ56" t="str">
        <f>TRIM(MID(SUBSTITUTE($G56, ",", REPT(" ", 100)), (COLUMNS($AJ$2:AQ56)-1)*100+1, 100))</f>
        <v/>
      </c>
      <c r="AR56" t="str">
        <f>TRIM(MID(SUBSTITUTE($G56, ",", REPT(" ", 100)), (COLUMNS($AJ$2:AR56)-1)*100+1, 100))</f>
        <v/>
      </c>
      <c r="AS56" t="str">
        <f>TRIM(MID(SUBSTITUTE($G56, ",", REPT(" ", 100)), (COLUMNS($AJ$2:AS56)-1)*100+1, 100))</f>
        <v/>
      </c>
      <c r="AT56" t="str">
        <f>TRIM(MID(SUBSTITUTE($G56, ",", REPT(" ", 100)), (COLUMNS($AJ$2:AT56)-1)*100+1, 100))</f>
        <v/>
      </c>
      <c r="AU56" t="str">
        <f>TRIM(MID(SUBSTITUTE($G56, ",", REPT(" ", 100)), (COLUMNS($AJ$2:AU56)-1)*100+1, 100))</f>
        <v/>
      </c>
      <c r="AV56" t="str">
        <f>TRIM(MID(SUBSTITUTE($G56, ",", REPT(" ", 100)), (COLUMNS($AJ$2:AV56)-1)*100+1, 100))</f>
        <v/>
      </c>
      <c r="AW56" t="str">
        <f>TRIM(MID(SUBSTITUTE($G56, ",", REPT(" ", 100)), (COLUMNS($AJ$2:AW56)-1)*100+1, 100))</f>
        <v/>
      </c>
      <c r="AX56" t="str">
        <f>TRIM(MID(SUBSTITUTE($G56, ",", REPT(" ", 100)), (COLUMNS($AJ$2:AX56)-1)*100+1, 100))</f>
        <v/>
      </c>
      <c r="AY56" t="str">
        <f>TRIM(MID(SUBSTITUTE($G56, ",", REPT(" ", 100)), (COLUMNS($AJ$2:AY56)-1)*100+1, 100))</f>
        <v/>
      </c>
      <c r="AZ56" t="str">
        <f>TRIM(MID(SUBSTITUTE($G56, ",", REPT(" ", 100)), (COLUMNS($AJ$2:AZ56)-1)*100+1, 100))</f>
        <v/>
      </c>
      <c r="BA56" t="str">
        <f>TRIM(MID(SUBSTITUTE($G56, ",", REPT(" ", 100)), (COLUMNS($AJ$2:BA56)-1)*100+1, 100))</f>
        <v/>
      </c>
      <c r="BB56" t="str">
        <f>TRIM(MID(SUBSTITUTE($G56, ",", REPT(" ", 100)), (COLUMNS($AJ$2:BB56)-1)*100+1, 100))</f>
        <v/>
      </c>
      <c r="BC56" t="str">
        <f>TRIM(MID(SUBSTITUTE($G56, ",", REPT(" ", 100)), (COLUMNS($AJ$2:BC56)-1)*100+1, 100))</f>
        <v/>
      </c>
      <c r="BH56">
        <f t="shared" si="1"/>
        <v>1</v>
      </c>
    </row>
    <row r="57" spans="1:60" ht="14.7" thickBot="1" x14ac:dyDescent="0.55000000000000004">
      <c r="A57" s="32" t="s">
        <v>437</v>
      </c>
      <c r="B57" s="258">
        <v>46078</v>
      </c>
      <c r="C57" s="2">
        <v>7.8</v>
      </c>
      <c r="D57" s="272"/>
      <c r="E57" s="271"/>
      <c r="F57" s="260">
        <v>1</v>
      </c>
      <c r="G57" s="38" t="s">
        <v>462</v>
      </c>
      <c r="I57" s="38">
        <v>0</v>
      </c>
      <c r="AL57" t="str">
        <f>TRIM(MID(SUBSTITUTE($G57, ",", REPT(" ", 100)), (COLUMNS($AJ$2:AL57)-1)*100+1, 100))</f>
        <v/>
      </c>
      <c r="AM57" s="1">
        <v>45713</v>
      </c>
      <c r="AN57" s="2">
        <v>4.5</v>
      </c>
      <c r="AO57" s="2">
        <v>6</v>
      </c>
      <c r="AQ57" t="str">
        <f>TRIM(MID(SUBSTITUTE($G57, ",", REPT(" ", 100)), (COLUMNS($AJ$2:AQ57)-1)*100+1, 100))</f>
        <v/>
      </c>
      <c r="AR57" t="str">
        <f>TRIM(MID(SUBSTITUTE($G57, ",", REPT(" ", 100)), (COLUMNS($AJ$2:AR57)-1)*100+1, 100))</f>
        <v/>
      </c>
      <c r="AS57" t="str">
        <f>TRIM(MID(SUBSTITUTE($G57, ",", REPT(" ", 100)), (COLUMNS($AJ$2:AS57)-1)*100+1, 100))</f>
        <v/>
      </c>
      <c r="AT57" t="str">
        <f>TRIM(MID(SUBSTITUTE($G57, ",", REPT(" ", 100)), (COLUMNS($AJ$2:AT57)-1)*100+1, 100))</f>
        <v/>
      </c>
      <c r="AU57" t="str">
        <f>TRIM(MID(SUBSTITUTE($G57, ",", REPT(" ", 100)), (COLUMNS($AJ$2:AU57)-1)*100+1, 100))</f>
        <v/>
      </c>
      <c r="AV57" t="str">
        <f>TRIM(MID(SUBSTITUTE($G57, ",", REPT(" ", 100)), (COLUMNS($AJ$2:AV57)-1)*100+1, 100))</f>
        <v/>
      </c>
      <c r="AW57" t="str">
        <f>TRIM(MID(SUBSTITUTE($G57, ",", REPT(" ", 100)), (COLUMNS($AJ$2:AW57)-1)*100+1, 100))</f>
        <v/>
      </c>
      <c r="AX57" t="str">
        <f>TRIM(MID(SUBSTITUTE($G57, ",", REPT(" ", 100)), (COLUMNS($AJ$2:AX57)-1)*100+1, 100))</f>
        <v/>
      </c>
      <c r="AY57" t="str">
        <f>TRIM(MID(SUBSTITUTE($G57, ",", REPT(" ", 100)), (COLUMNS($AJ$2:AY57)-1)*100+1, 100))</f>
        <v/>
      </c>
      <c r="AZ57" t="str">
        <f>TRIM(MID(SUBSTITUTE($G57, ",", REPT(" ", 100)), (COLUMNS($AJ$2:AZ57)-1)*100+1, 100))</f>
        <v/>
      </c>
      <c r="BA57" t="str">
        <f>TRIM(MID(SUBSTITUTE($G57, ",", REPT(" ", 100)), (COLUMNS($AJ$2:BA57)-1)*100+1, 100))</f>
        <v/>
      </c>
      <c r="BB57" t="str">
        <f>TRIM(MID(SUBSTITUTE($G57, ",", REPT(" ", 100)), (COLUMNS($AJ$2:BB57)-1)*100+1, 100))</f>
        <v/>
      </c>
      <c r="BC57" t="str">
        <f>TRIM(MID(SUBSTITUTE($G57, ",", REPT(" ", 100)), (COLUMNS($AJ$2:BC57)-1)*100+1, 100))</f>
        <v/>
      </c>
      <c r="BH57">
        <f t="shared" si="1"/>
        <v>1</v>
      </c>
    </row>
    <row r="58" spans="1:60" x14ac:dyDescent="0.5">
      <c r="A58" s="32" t="s">
        <v>431</v>
      </c>
      <c r="B58" s="257">
        <v>46079</v>
      </c>
      <c r="C58" s="2">
        <v>6</v>
      </c>
      <c r="D58" s="272"/>
      <c r="E58" s="271"/>
      <c r="F58" s="260">
        <v>0</v>
      </c>
      <c r="G58" s="38" t="s">
        <v>462</v>
      </c>
      <c r="I58" s="38">
        <v>0</v>
      </c>
      <c r="AL58" t="str">
        <f>TRIM(MID(SUBSTITUTE($G58, ",", REPT(" ", 100)), (COLUMNS($AJ$2:AL58)-1)*100+1, 100))</f>
        <v/>
      </c>
      <c r="AM58" s="1">
        <v>45714</v>
      </c>
      <c r="AN58" s="2">
        <v>7.5</v>
      </c>
      <c r="AO58" s="2">
        <v>4</v>
      </c>
      <c r="AQ58" t="str">
        <f>TRIM(MID(SUBSTITUTE($G58, ",", REPT(" ", 100)), (COLUMNS($AJ$2:AQ58)-1)*100+1, 100))</f>
        <v/>
      </c>
      <c r="AR58" t="str">
        <f>TRIM(MID(SUBSTITUTE($G58, ",", REPT(" ", 100)), (COLUMNS($AJ$2:AR58)-1)*100+1, 100))</f>
        <v/>
      </c>
      <c r="AS58" t="str">
        <f>TRIM(MID(SUBSTITUTE($G58, ",", REPT(" ", 100)), (COLUMNS($AJ$2:AS58)-1)*100+1, 100))</f>
        <v/>
      </c>
      <c r="AT58" t="str">
        <f>TRIM(MID(SUBSTITUTE($G58, ",", REPT(" ", 100)), (COLUMNS($AJ$2:AT58)-1)*100+1, 100))</f>
        <v/>
      </c>
      <c r="AU58" t="str">
        <f>TRIM(MID(SUBSTITUTE($G58, ",", REPT(" ", 100)), (COLUMNS($AJ$2:AU58)-1)*100+1, 100))</f>
        <v/>
      </c>
      <c r="AV58" t="str">
        <f>TRIM(MID(SUBSTITUTE($G58, ",", REPT(" ", 100)), (COLUMNS($AJ$2:AV58)-1)*100+1, 100))</f>
        <v/>
      </c>
      <c r="AW58" t="str">
        <f>TRIM(MID(SUBSTITUTE($G58, ",", REPT(" ", 100)), (COLUMNS($AJ$2:AW58)-1)*100+1, 100))</f>
        <v/>
      </c>
      <c r="AX58" t="str">
        <f>TRIM(MID(SUBSTITUTE($G58, ",", REPT(" ", 100)), (COLUMNS($AJ$2:AX58)-1)*100+1, 100))</f>
        <v/>
      </c>
      <c r="AY58" t="str">
        <f>TRIM(MID(SUBSTITUTE($G58, ",", REPT(" ", 100)), (COLUMNS($AJ$2:AY58)-1)*100+1, 100))</f>
        <v/>
      </c>
      <c r="AZ58" t="str">
        <f>TRIM(MID(SUBSTITUTE($G58, ",", REPT(" ", 100)), (COLUMNS($AJ$2:AZ58)-1)*100+1, 100))</f>
        <v/>
      </c>
      <c r="BA58" t="str">
        <f>TRIM(MID(SUBSTITUTE($G58, ",", REPT(" ", 100)), (COLUMNS($AJ$2:BA58)-1)*100+1, 100))</f>
        <v/>
      </c>
      <c r="BB58" t="str">
        <f>TRIM(MID(SUBSTITUTE($G58, ",", REPT(" ", 100)), (COLUMNS($AJ$2:BB58)-1)*100+1, 100))</f>
        <v/>
      </c>
      <c r="BC58" t="str">
        <f>TRIM(MID(SUBSTITUTE($G58, ",", REPT(" ", 100)), (COLUMNS($AJ$2:BC58)-1)*100+1, 100))</f>
        <v/>
      </c>
      <c r="BH58">
        <f t="shared" si="1"/>
        <v>1</v>
      </c>
    </row>
    <row r="59" spans="1:60" ht="14.7" thickBot="1" x14ac:dyDescent="0.55000000000000004">
      <c r="A59" s="32" t="s">
        <v>432</v>
      </c>
      <c r="B59" s="258">
        <v>46080</v>
      </c>
      <c r="C59" s="2">
        <v>6.5</v>
      </c>
      <c r="D59" s="272"/>
      <c r="E59" s="271"/>
      <c r="F59" s="260">
        <v>1</v>
      </c>
      <c r="G59" s="38" t="s">
        <v>462</v>
      </c>
      <c r="I59" s="38">
        <v>0</v>
      </c>
      <c r="AL59" t="str">
        <f>TRIM(MID(SUBSTITUTE($G59, ",", REPT(" ", 100)), (COLUMNS($AJ$2:AL59)-1)*100+1, 100))</f>
        <v/>
      </c>
      <c r="AM59" s="1">
        <v>45715</v>
      </c>
      <c r="AN59" s="2">
        <v>5</v>
      </c>
      <c r="AO59" s="2">
        <v>4</v>
      </c>
      <c r="AQ59" t="str">
        <f>TRIM(MID(SUBSTITUTE($G59, ",", REPT(" ", 100)), (COLUMNS($AJ$2:AQ59)-1)*100+1, 100))</f>
        <v/>
      </c>
      <c r="AR59" t="str">
        <f>TRIM(MID(SUBSTITUTE($G59, ",", REPT(" ", 100)), (COLUMNS($AJ$2:AR59)-1)*100+1, 100))</f>
        <v/>
      </c>
      <c r="AS59" t="str">
        <f>TRIM(MID(SUBSTITUTE($G59, ",", REPT(" ", 100)), (COLUMNS($AJ$2:AS59)-1)*100+1, 100))</f>
        <v/>
      </c>
      <c r="AT59" t="str">
        <f>TRIM(MID(SUBSTITUTE($G59, ",", REPT(" ", 100)), (COLUMNS($AJ$2:AT59)-1)*100+1, 100))</f>
        <v/>
      </c>
      <c r="AU59" t="str">
        <f>TRIM(MID(SUBSTITUTE($G59, ",", REPT(" ", 100)), (COLUMNS($AJ$2:AU59)-1)*100+1, 100))</f>
        <v/>
      </c>
      <c r="AV59" t="str">
        <f>TRIM(MID(SUBSTITUTE($G59, ",", REPT(" ", 100)), (COLUMNS($AJ$2:AV59)-1)*100+1, 100))</f>
        <v/>
      </c>
      <c r="AW59" t="str">
        <f>TRIM(MID(SUBSTITUTE($G59, ",", REPT(" ", 100)), (COLUMNS($AJ$2:AW59)-1)*100+1, 100))</f>
        <v/>
      </c>
      <c r="AX59" t="str">
        <f>TRIM(MID(SUBSTITUTE($G59, ",", REPT(" ", 100)), (COLUMNS($AJ$2:AX59)-1)*100+1, 100))</f>
        <v/>
      </c>
      <c r="AY59" t="str">
        <f>TRIM(MID(SUBSTITUTE($G59, ",", REPT(" ", 100)), (COLUMNS($AJ$2:AY59)-1)*100+1, 100))</f>
        <v/>
      </c>
      <c r="AZ59" t="str">
        <f>TRIM(MID(SUBSTITUTE($G59, ",", REPT(" ", 100)), (COLUMNS($AJ$2:AZ59)-1)*100+1, 100))</f>
        <v/>
      </c>
      <c r="BA59" t="str">
        <f>TRIM(MID(SUBSTITUTE($G59, ",", REPT(" ", 100)), (COLUMNS($AJ$2:BA59)-1)*100+1, 100))</f>
        <v/>
      </c>
      <c r="BB59" t="str">
        <f>TRIM(MID(SUBSTITUTE($G59, ",", REPT(" ", 100)), (COLUMNS($AJ$2:BB59)-1)*100+1, 100))</f>
        <v/>
      </c>
      <c r="BC59" t="str">
        <f>TRIM(MID(SUBSTITUTE($G59, ",", REPT(" ", 100)), (COLUMNS($AJ$2:BC59)-1)*100+1, 100))</f>
        <v/>
      </c>
      <c r="BH59">
        <f t="shared" si="1"/>
        <v>1</v>
      </c>
    </row>
    <row r="60" spans="1:60" x14ac:dyDescent="0.5">
      <c r="A60" s="32" t="s">
        <v>433</v>
      </c>
      <c r="B60" s="257">
        <v>46081</v>
      </c>
      <c r="C60" s="2">
        <v>7.3</v>
      </c>
      <c r="D60" s="272"/>
      <c r="E60" s="271"/>
      <c r="F60" s="260">
        <v>1</v>
      </c>
      <c r="G60" s="38" t="s">
        <v>462</v>
      </c>
      <c r="I60" s="38">
        <v>0</v>
      </c>
      <c r="AL60" t="str">
        <f>TRIM(MID(SUBSTITUTE($G60, ",", REPT(" ", 100)), (COLUMNS($AJ$2:AL60)-1)*100+1, 100))</f>
        <v/>
      </c>
      <c r="AM60" s="1">
        <v>45716</v>
      </c>
      <c r="AN60" s="2">
        <v>5.5</v>
      </c>
      <c r="AO60" s="2">
        <v>4</v>
      </c>
      <c r="AQ60" t="str">
        <f>TRIM(MID(SUBSTITUTE($G60, ",", REPT(" ", 100)), (COLUMNS($AJ$2:AQ60)-1)*100+1, 100))</f>
        <v/>
      </c>
      <c r="AR60" t="str">
        <f>TRIM(MID(SUBSTITUTE($G60, ",", REPT(" ", 100)), (COLUMNS($AJ$2:AR60)-1)*100+1, 100))</f>
        <v/>
      </c>
      <c r="AS60" t="str">
        <f>TRIM(MID(SUBSTITUTE($G60, ",", REPT(" ", 100)), (COLUMNS($AJ$2:AS60)-1)*100+1, 100))</f>
        <v/>
      </c>
      <c r="AT60" t="str">
        <f>TRIM(MID(SUBSTITUTE($G60, ",", REPT(" ", 100)), (COLUMNS($AJ$2:AT60)-1)*100+1, 100))</f>
        <v/>
      </c>
      <c r="AU60" t="str">
        <f>TRIM(MID(SUBSTITUTE($G60, ",", REPT(" ", 100)), (COLUMNS($AJ$2:AU60)-1)*100+1, 100))</f>
        <v/>
      </c>
      <c r="AV60" t="str">
        <f>TRIM(MID(SUBSTITUTE($G60, ",", REPT(" ", 100)), (COLUMNS($AJ$2:AV60)-1)*100+1, 100))</f>
        <v/>
      </c>
      <c r="AW60" t="str">
        <f>TRIM(MID(SUBSTITUTE($G60, ",", REPT(" ", 100)), (COLUMNS($AJ$2:AW60)-1)*100+1, 100))</f>
        <v/>
      </c>
      <c r="AX60" t="str">
        <f>TRIM(MID(SUBSTITUTE($G60, ",", REPT(" ", 100)), (COLUMNS($AJ$2:AX60)-1)*100+1, 100))</f>
        <v/>
      </c>
      <c r="AY60" t="str">
        <f>TRIM(MID(SUBSTITUTE($G60, ",", REPT(" ", 100)), (COLUMNS($AJ$2:AY60)-1)*100+1, 100))</f>
        <v/>
      </c>
      <c r="AZ60" t="str">
        <f>TRIM(MID(SUBSTITUTE($G60, ",", REPT(" ", 100)), (COLUMNS($AJ$2:AZ60)-1)*100+1, 100))</f>
        <v/>
      </c>
      <c r="BA60" t="str">
        <f>TRIM(MID(SUBSTITUTE($G60, ",", REPT(" ", 100)), (COLUMNS($AJ$2:BA60)-1)*100+1, 100))</f>
        <v/>
      </c>
      <c r="BB60" t="str">
        <f>TRIM(MID(SUBSTITUTE($G60, ",", REPT(" ", 100)), (COLUMNS($AJ$2:BB60)-1)*100+1, 100))</f>
        <v/>
      </c>
      <c r="BC60" t="str">
        <f>TRIM(MID(SUBSTITUTE($G60, ",", REPT(" ", 100)), (COLUMNS($AJ$2:BC60)-1)*100+1, 100))</f>
        <v/>
      </c>
      <c r="BH60">
        <f t="shared" si="1"/>
        <v>1</v>
      </c>
    </row>
    <row r="61" spans="1:60" ht="14.7" thickBot="1" x14ac:dyDescent="0.55000000000000004">
      <c r="A61" s="32" t="s">
        <v>434</v>
      </c>
      <c r="B61" s="258">
        <v>46082</v>
      </c>
      <c r="C61" s="2">
        <v>6.5</v>
      </c>
      <c r="D61" s="272">
        <f>AVERAGE(C61:C91)</f>
        <v>6.5161290322580649</v>
      </c>
      <c r="E61" s="271"/>
      <c r="F61" s="260">
        <v>0</v>
      </c>
      <c r="G61" s="38" t="s">
        <v>462</v>
      </c>
      <c r="I61" s="38">
        <v>0</v>
      </c>
      <c r="AL61" t="str">
        <f>TRIM(MID(SUBSTITUTE($G61, ",", REPT(" ", 100)), (COLUMNS($AJ$2:AL61)-1)*100+1, 100))</f>
        <v/>
      </c>
      <c r="AM61" s="1">
        <v>45717</v>
      </c>
      <c r="AN61" s="2">
        <v>6</v>
      </c>
      <c r="AO61" s="2">
        <v>5</v>
      </c>
      <c r="AQ61" t="str">
        <f>TRIM(MID(SUBSTITUTE($G61, ",", REPT(" ", 100)), (COLUMNS($AJ$2:AQ61)-1)*100+1, 100))</f>
        <v/>
      </c>
      <c r="AR61" t="str">
        <f>TRIM(MID(SUBSTITUTE($G61, ",", REPT(" ", 100)), (COLUMNS($AJ$2:AR61)-1)*100+1, 100))</f>
        <v/>
      </c>
      <c r="AS61" t="str">
        <f>TRIM(MID(SUBSTITUTE($G61, ",", REPT(" ", 100)), (COLUMNS($AJ$2:AS61)-1)*100+1, 100))</f>
        <v/>
      </c>
      <c r="AT61" t="str">
        <f>TRIM(MID(SUBSTITUTE($G61, ",", REPT(" ", 100)), (COLUMNS($AJ$2:AT61)-1)*100+1, 100))</f>
        <v/>
      </c>
      <c r="AU61" t="str">
        <f>TRIM(MID(SUBSTITUTE($G61, ",", REPT(" ", 100)), (COLUMNS($AJ$2:AU61)-1)*100+1, 100))</f>
        <v/>
      </c>
      <c r="AV61" t="str">
        <f>TRIM(MID(SUBSTITUTE($G61, ",", REPT(" ", 100)), (COLUMNS($AJ$2:AV61)-1)*100+1, 100))</f>
        <v/>
      </c>
      <c r="AW61" t="str">
        <f>TRIM(MID(SUBSTITUTE($G61, ",", REPT(" ", 100)), (COLUMNS($AJ$2:AW61)-1)*100+1, 100))</f>
        <v/>
      </c>
      <c r="AX61" t="str">
        <f>TRIM(MID(SUBSTITUTE($G61, ",", REPT(" ", 100)), (COLUMNS($AJ$2:AX61)-1)*100+1, 100))</f>
        <v/>
      </c>
      <c r="AY61" t="str">
        <f>TRIM(MID(SUBSTITUTE($G61, ",", REPT(" ", 100)), (COLUMNS($AJ$2:AY61)-1)*100+1, 100))</f>
        <v/>
      </c>
      <c r="AZ61" t="str">
        <f>TRIM(MID(SUBSTITUTE($G61, ",", REPT(" ", 100)), (COLUMNS($AJ$2:AZ61)-1)*100+1, 100))</f>
        <v/>
      </c>
      <c r="BA61" t="str">
        <f>TRIM(MID(SUBSTITUTE($G61, ",", REPT(" ", 100)), (COLUMNS($AJ$2:BA61)-1)*100+1, 100))</f>
        <v/>
      </c>
      <c r="BB61" t="str">
        <f>TRIM(MID(SUBSTITUTE($G61, ",", REPT(" ", 100)), (COLUMNS($AJ$2:BB61)-1)*100+1, 100))</f>
        <v/>
      </c>
      <c r="BC61" t="str">
        <f>TRIM(MID(SUBSTITUTE($G61, ",", REPT(" ", 100)), (COLUMNS($AJ$2:BC61)-1)*100+1, 100))</f>
        <v/>
      </c>
      <c r="BH61">
        <f t="shared" si="1"/>
        <v>1</v>
      </c>
    </row>
    <row r="62" spans="1:60" x14ac:dyDescent="0.5">
      <c r="A62" s="32" t="s">
        <v>435</v>
      </c>
      <c r="B62" s="257">
        <v>46083</v>
      </c>
      <c r="C62" s="2">
        <v>6</v>
      </c>
      <c r="D62" s="272"/>
      <c r="E62" s="271"/>
      <c r="F62" s="260">
        <v>1</v>
      </c>
      <c r="G62" s="38" t="s">
        <v>462</v>
      </c>
      <c r="I62" s="38">
        <v>0.3</v>
      </c>
      <c r="AL62" t="str">
        <f>TRIM(MID(SUBSTITUTE($G62, ",", REPT(" ", 100)), (COLUMNS($AJ$2:AL62)-1)*100+1, 100))</f>
        <v/>
      </c>
      <c r="AM62" s="1">
        <v>45718</v>
      </c>
      <c r="AN62" s="2">
        <v>6</v>
      </c>
      <c r="AO62" s="2">
        <v>4.8</v>
      </c>
      <c r="AQ62" t="str">
        <f>TRIM(MID(SUBSTITUTE($G62, ",", REPT(" ", 100)), (COLUMNS($AJ$2:AQ62)-1)*100+1, 100))</f>
        <v/>
      </c>
      <c r="AR62" t="str">
        <f>TRIM(MID(SUBSTITUTE($G62, ",", REPT(" ", 100)), (COLUMNS($AJ$2:AR62)-1)*100+1, 100))</f>
        <v/>
      </c>
      <c r="AS62" t="str">
        <f>TRIM(MID(SUBSTITUTE($G62, ",", REPT(" ", 100)), (COLUMNS($AJ$2:AS62)-1)*100+1, 100))</f>
        <v/>
      </c>
      <c r="AT62" t="str">
        <f>TRIM(MID(SUBSTITUTE($G62, ",", REPT(" ", 100)), (COLUMNS($AJ$2:AT62)-1)*100+1, 100))</f>
        <v/>
      </c>
      <c r="AU62" t="str">
        <f>TRIM(MID(SUBSTITUTE($G62, ",", REPT(" ", 100)), (COLUMNS($AJ$2:AU62)-1)*100+1, 100))</f>
        <v/>
      </c>
      <c r="AV62" t="str">
        <f>TRIM(MID(SUBSTITUTE($G62, ",", REPT(" ", 100)), (COLUMNS($AJ$2:AV62)-1)*100+1, 100))</f>
        <v/>
      </c>
      <c r="AW62" t="str">
        <f>TRIM(MID(SUBSTITUTE($G62, ",", REPT(" ", 100)), (COLUMNS($AJ$2:AW62)-1)*100+1, 100))</f>
        <v/>
      </c>
      <c r="AX62" t="str">
        <f>TRIM(MID(SUBSTITUTE($G62, ",", REPT(" ", 100)), (COLUMNS($AJ$2:AX62)-1)*100+1, 100))</f>
        <v/>
      </c>
      <c r="AY62" t="str">
        <f>TRIM(MID(SUBSTITUTE($G62, ",", REPT(" ", 100)), (COLUMNS($AJ$2:AY62)-1)*100+1, 100))</f>
        <v/>
      </c>
      <c r="AZ62" t="str">
        <f>TRIM(MID(SUBSTITUTE($G62, ",", REPT(" ", 100)), (COLUMNS($AJ$2:AZ62)-1)*100+1, 100))</f>
        <v/>
      </c>
      <c r="BA62" t="str">
        <f>TRIM(MID(SUBSTITUTE($G62, ",", REPT(" ", 100)), (COLUMNS($AJ$2:BA62)-1)*100+1, 100))</f>
        <v/>
      </c>
      <c r="BB62" t="str">
        <f>TRIM(MID(SUBSTITUTE($G62, ",", REPT(" ", 100)), (COLUMNS($AJ$2:BB62)-1)*100+1, 100))</f>
        <v/>
      </c>
      <c r="BC62" t="str">
        <f>TRIM(MID(SUBSTITUTE($G62, ",", REPT(" ", 100)), (COLUMNS($AJ$2:BC62)-1)*100+1, 100))</f>
        <v/>
      </c>
      <c r="BH62">
        <f t="shared" si="1"/>
        <v>1</v>
      </c>
    </row>
    <row r="63" spans="1:60" ht="14.7" thickBot="1" x14ac:dyDescent="0.55000000000000004">
      <c r="A63" s="32" t="s">
        <v>436</v>
      </c>
      <c r="B63" s="258">
        <v>46084</v>
      </c>
      <c r="C63" s="2">
        <v>6.8</v>
      </c>
      <c r="D63" s="272"/>
      <c r="E63" s="271"/>
      <c r="F63" s="260">
        <v>0</v>
      </c>
      <c r="G63" s="38" t="s">
        <v>462</v>
      </c>
      <c r="I63" s="38">
        <v>0.2</v>
      </c>
      <c r="AL63" t="str">
        <f>TRIM(MID(SUBSTITUTE($G63, ",", REPT(" ", 100)), (COLUMNS($AJ$2:AL63)-1)*100+1, 100))</f>
        <v/>
      </c>
      <c r="AM63" s="1">
        <v>45719</v>
      </c>
      <c r="AN63" s="2">
        <v>8</v>
      </c>
      <c r="AO63" s="2">
        <v>3</v>
      </c>
      <c r="AQ63" t="str">
        <f>TRIM(MID(SUBSTITUTE($G63, ",", REPT(" ", 100)), (COLUMNS($AJ$2:AQ63)-1)*100+1, 100))</f>
        <v/>
      </c>
      <c r="AR63" t="str">
        <f>TRIM(MID(SUBSTITUTE($G63, ",", REPT(" ", 100)), (COLUMNS($AJ$2:AR63)-1)*100+1, 100))</f>
        <v/>
      </c>
      <c r="AS63" t="str">
        <f>TRIM(MID(SUBSTITUTE($G63, ",", REPT(" ", 100)), (COLUMNS($AJ$2:AS63)-1)*100+1, 100))</f>
        <v/>
      </c>
      <c r="AT63" t="str">
        <f>TRIM(MID(SUBSTITUTE($G63, ",", REPT(" ", 100)), (COLUMNS($AJ$2:AT63)-1)*100+1, 100))</f>
        <v/>
      </c>
      <c r="AU63" t="str">
        <f>TRIM(MID(SUBSTITUTE($G63, ",", REPT(" ", 100)), (COLUMNS($AJ$2:AU63)-1)*100+1, 100))</f>
        <v/>
      </c>
      <c r="AV63" t="str">
        <f>TRIM(MID(SUBSTITUTE($G63, ",", REPT(" ", 100)), (COLUMNS($AJ$2:AV63)-1)*100+1, 100))</f>
        <v/>
      </c>
      <c r="AW63" t="str">
        <f>TRIM(MID(SUBSTITUTE($G63, ",", REPT(" ", 100)), (COLUMNS($AJ$2:AW63)-1)*100+1, 100))</f>
        <v/>
      </c>
      <c r="AX63" t="str">
        <f>TRIM(MID(SUBSTITUTE($G63, ",", REPT(" ", 100)), (COLUMNS($AJ$2:AX63)-1)*100+1, 100))</f>
        <v/>
      </c>
      <c r="AY63" t="str">
        <f>TRIM(MID(SUBSTITUTE($G63, ",", REPT(" ", 100)), (COLUMNS($AJ$2:AY63)-1)*100+1, 100))</f>
        <v/>
      </c>
      <c r="AZ63" t="str">
        <f>TRIM(MID(SUBSTITUTE($G63, ",", REPT(" ", 100)), (COLUMNS($AJ$2:AZ63)-1)*100+1, 100))</f>
        <v/>
      </c>
      <c r="BA63" t="str">
        <f>TRIM(MID(SUBSTITUTE($G63, ",", REPT(" ", 100)), (COLUMNS($AJ$2:BA63)-1)*100+1, 100))</f>
        <v/>
      </c>
      <c r="BB63" t="str">
        <f>TRIM(MID(SUBSTITUTE($G63, ",", REPT(" ", 100)), (COLUMNS($AJ$2:BB63)-1)*100+1, 100))</f>
        <v/>
      </c>
      <c r="BC63" t="str">
        <f>TRIM(MID(SUBSTITUTE($G63, ",", REPT(" ", 100)), (COLUMNS($AJ$2:BC63)-1)*100+1, 100))</f>
        <v/>
      </c>
      <c r="BH63">
        <f t="shared" si="1"/>
        <v>1</v>
      </c>
    </row>
    <row r="64" spans="1:60" x14ac:dyDescent="0.5">
      <c r="A64" s="32" t="s">
        <v>437</v>
      </c>
      <c r="B64" s="257">
        <v>46085</v>
      </c>
      <c r="C64" s="2">
        <v>7</v>
      </c>
      <c r="D64" s="272"/>
      <c r="E64" s="271"/>
      <c r="F64" s="260">
        <v>1</v>
      </c>
      <c r="G64" s="38" t="s">
        <v>462</v>
      </c>
      <c r="I64" s="38">
        <v>0</v>
      </c>
      <c r="AL64" t="str">
        <f>TRIM(MID(SUBSTITUTE($G64, ",", REPT(" ", 100)), (COLUMNS($AJ$2:AL64)-1)*100+1, 100))</f>
        <v/>
      </c>
      <c r="AM64" s="1">
        <v>45720</v>
      </c>
      <c r="AN64" s="2">
        <v>6</v>
      </c>
      <c r="AO64" s="2">
        <v>4</v>
      </c>
      <c r="AQ64" t="str">
        <f>TRIM(MID(SUBSTITUTE($G64, ",", REPT(" ", 100)), (COLUMNS($AJ$2:AQ64)-1)*100+1, 100))</f>
        <v/>
      </c>
      <c r="AR64" t="str">
        <f>TRIM(MID(SUBSTITUTE($G64, ",", REPT(" ", 100)), (COLUMNS($AJ$2:AR64)-1)*100+1, 100))</f>
        <v/>
      </c>
      <c r="AS64" t="str">
        <f>TRIM(MID(SUBSTITUTE($G64, ",", REPT(" ", 100)), (COLUMNS($AJ$2:AS64)-1)*100+1, 100))</f>
        <v/>
      </c>
      <c r="AT64" t="str">
        <f>TRIM(MID(SUBSTITUTE($G64, ",", REPT(" ", 100)), (COLUMNS($AJ$2:AT64)-1)*100+1, 100))</f>
        <v/>
      </c>
      <c r="AU64" t="str">
        <f>TRIM(MID(SUBSTITUTE($G64, ",", REPT(" ", 100)), (COLUMNS($AJ$2:AU64)-1)*100+1, 100))</f>
        <v/>
      </c>
      <c r="AV64" t="str">
        <f>TRIM(MID(SUBSTITUTE($G64, ",", REPT(" ", 100)), (COLUMNS($AJ$2:AV64)-1)*100+1, 100))</f>
        <v/>
      </c>
      <c r="AW64" t="str">
        <f>TRIM(MID(SUBSTITUTE($G64, ",", REPT(" ", 100)), (COLUMNS($AJ$2:AW64)-1)*100+1, 100))</f>
        <v/>
      </c>
      <c r="AX64" t="str">
        <f>TRIM(MID(SUBSTITUTE($G64, ",", REPT(" ", 100)), (COLUMNS($AJ$2:AX64)-1)*100+1, 100))</f>
        <v/>
      </c>
      <c r="AY64" t="str">
        <f>TRIM(MID(SUBSTITUTE($G64, ",", REPT(" ", 100)), (COLUMNS($AJ$2:AY64)-1)*100+1, 100))</f>
        <v/>
      </c>
      <c r="AZ64" t="str">
        <f>TRIM(MID(SUBSTITUTE($G64, ",", REPT(" ", 100)), (COLUMNS($AJ$2:AZ64)-1)*100+1, 100))</f>
        <v/>
      </c>
      <c r="BA64" t="str">
        <f>TRIM(MID(SUBSTITUTE($G64, ",", REPT(" ", 100)), (COLUMNS($AJ$2:BA64)-1)*100+1, 100))</f>
        <v/>
      </c>
      <c r="BB64" t="str">
        <f>TRIM(MID(SUBSTITUTE($G64, ",", REPT(" ", 100)), (COLUMNS($AJ$2:BB64)-1)*100+1, 100))</f>
        <v/>
      </c>
      <c r="BC64" t="str">
        <f>TRIM(MID(SUBSTITUTE($G64, ",", REPT(" ", 100)), (COLUMNS($AJ$2:BC64)-1)*100+1, 100))</f>
        <v/>
      </c>
      <c r="BH64">
        <f t="shared" si="1"/>
        <v>1</v>
      </c>
    </row>
    <row r="65" spans="1:60" ht="14.7" thickBot="1" x14ac:dyDescent="0.55000000000000004">
      <c r="A65" s="32" t="s">
        <v>431</v>
      </c>
      <c r="B65" s="258">
        <v>46086</v>
      </c>
      <c r="C65" s="2">
        <v>6.9</v>
      </c>
      <c r="D65" s="272"/>
      <c r="E65" s="271"/>
      <c r="F65" s="260">
        <v>0</v>
      </c>
      <c r="G65" s="38" t="s">
        <v>462</v>
      </c>
      <c r="I65" s="38">
        <v>0</v>
      </c>
      <c r="M65" s="38"/>
      <c r="AL65" t="str">
        <f>TRIM(MID(SUBSTITUTE($G65, ",", REPT(" ", 100)), (COLUMNS($AJ$2:AL65)-1)*100+1, 100))</f>
        <v/>
      </c>
      <c r="AM65" s="1">
        <v>45721</v>
      </c>
      <c r="AN65" s="2">
        <v>4</v>
      </c>
      <c r="AO65" s="2">
        <v>5</v>
      </c>
      <c r="AQ65" t="str">
        <f>TRIM(MID(SUBSTITUTE($G65, ",", REPT(" ", 100)), (COLUMNS($AJ$2:AQ65)-1)*100+1, 100))</f>
        <v/>
      </c>
      <c r="AR65" t="str">
        <f>TRIM(MID(SUBSTITUTE($G65, ",", REPT(" ", 100)), (COLUMNS($AJ$2:AR65)-1)*100+1, 100))</f>
        <v/>
      </c>
      <c r="AS65" t="str">
        <f>TRIM(MID(SUBSTITUTE($G65, ",", REPT(" ", 100)), (COLUMNS($AJ$2:AS65)-1)*100+1, 100))</f>
        <v/>
      </c>
      <c r="AT65" t="str">
        <f>TRIM(MID(SUBSTITUTE($G65, ",", REPT(" ", 100)), (COLUMNS($AJ$2:AT65)-1)*100+1, 100))</f>
        <v/>
      </c>
      <c r="AU65" t="str">
        <f>TRIM(MID(SUBSTITUTE($G65, ",", REPT(" ", 100)), (COLUMNS($AJ$2:AU65)-1)*100+1, 100))</f>
        <v/>
      </c>
      <c r="AV65" t="str">
        <f>TRIM(MID(SUBSTITUTE($G65, ",", REPT(" ", 100)), (COLUMNS($AJ$2:AV65)-1)*100+1, 100))</f>
        <v/>
      </c>
      <c r="AW65" t="str">
        <f>TRIM(MID(SUBSTITUTE($G65, ",", REPT(" ", 100)), (COLUMNS($AJ$2:AW65)-1)*100+1, 100))</f>
        <v/>
      </c>
      <c r="AX65" t="str">
        <f>TRIM(MID(SUBSTITUTE($G65, ",", REPT(" ", 100)), (COLUMNS($AJ$2:AX65)-1)*100+1, 100))</f>
        <v/>
      </c>
      <c r="AY65" t="str">
        <f>TRIM(MID(SUBSTITUTE($G65, ",", REPT(" ", 100)), (COLUMNS($AJ$2:AY65)-1)*100+1, 100))</f>
        <v/>
      </c>
      <c r="AZ65" t="str">
        <f>TRIM(MID(SUBSTITUTE($G65, ",", REPT(" ", 100)), (COLUMNS($AJ$2:AZ65)-1)*100+1, 100))</f>
        <v/>
      </c>
      <c r="BA65" t="str">
        <f>TRIM(MID(SUBSTITUTE($G65, ",", REPT(" ", 100)), (COLUMNS($AJ$2:BA65)-1)*100+1, 100))</f>
        <v/>
      </c>
      <c r="BB65" t="str">
        <f>TRIM(MID(SUBSTITUTE($G65, ",", REPT(" ", 100)), (COLUMNS($AJ$2:BB65)-1)*100+1, 100))</f>
        <v/>
      </c>
      <c r="BC65" t="str">
        <f>TRIM(MID(SUBSTITUTE($G65, ",", REPT(" ", 100)), (COLUMNS($AJ$2:BC65)-1)*100+1, 100))</f>
        <v/>
      </c>
      <c r="BH65">
        <f t="shared" si="1"/>
        <v>1</v>
      </c>
    </row>
    <row r="66" spans="1:60" x14ac:dyDescent="0.5">
      <c r="A66" s="32" t="s">
        <v>432</v>
      </c>
      <c r="B66" s="257">
        <v>46087</v>
      </c>
      <c r="C66" s="2">
        <v>6.5</v>
      </c>
      <c r="D66" s="272"/>
      <c r="E66" s="271"/>
      <c r="F66" s="260">
        <v>0</v>
      </c>
      <c r="G66" s="38" t="s">
        <v>462</v>
      </c>
      <c r="I66" s="38">
        <v>0.1</v>
      </c>
      <c r="M66" s="38"/>
      <c r="AL66" t="str">
        <f>TRIM(MID(SUBSTITUTE($G66, ",", REPT(" ", 100)), (COLUMNS($AJ$2:AL66)-1)*100+1, 100))</f>
        <v/>
      </c>
      <c r="AM66" s="1">
        <v>45722</v>
      </c>
      <c r="AN66" s="2">
        <v>4</v>
      </c>
      <c r="AO66" s="2">
        <v>6.5</v>
      </c>
      <c r="AQ66" t="str">
        <f>TRIM(MID(SUBSTITUTE($G66, ",", REPT(" ", 100)), (COLUMNS($AJ$2:AQ66)-1)*100+1, 100))</f>
        <v/>
      </c>
      <c r="AR66" t="str">
        <f>TRIM(MID(SUBSTITUTE($G66, ",", REPT(" ", 100)), (COLUMNS($AJ$2:AR66)-1)*100+1, 100))</f>
        <v/>
      </c>
      <c r="AS66" t="str">
        <f>TRIM(MID(SUBSTITUTE($G66, ",", REPT(" ", 100)), (COLUMNS($AJ$2:AS66)-1)*100+1, 100))</f>
        <v/>
      </c>
      <c r="AT66" t="str">
        <f>TRIM(MID(SUBSTITUTE($G66, ",", REPT(" ", 100)), (COLUMNS($AJ$2:AT66)-1)*100+1, 100))</f>
        <v/>
      </c>
      <c r="AU66" t="str">
        <f>TRIM(MID(SUBSTITUTE($G66, ",", REPT(" ", 100)), (COLUMNS($AJ$2:AU66)-1)*100+1, 100))</f>
        <v/>
      </c>
      <c r="AV66" t="str">
        <f>TRIM(MID(SUBSTITUTE($G66, ",", REPT(" ", 100)), (COLUMNS($AJ$2:AV66)-1)*100+1, 100))</f>
        <v/>
      </c>
      <c r="AW66" t="str">
        <f>TRIM(MID(SUBSTITUTE($G66, ",", REPT(" ", 100)), (COLUMNS($AJ$2:AW66)-1)*100+1, 100))</f>
        <v/>
      </c>
      <c r="AX66" t="str">
        <f>TRIM(MID(SUBSTITUTE($G66, ",", REPT(" ", 100)), (COLUMNS($AJ$2:AX66)-1)*100+1, 100))</f>
        <v/>
      </c>
      <c r="AY66" t="str">
        <f>TRIM(MID(SUBSTITUTE($G66, ",", REPT(" ", 100)), (COLUMNS($AJ$2:AY66)-1)*100+1, 100))</f>
        <v/>
      </c>
      <c r="AZ66" t="str">
        <f>TRIM(MID(SUBSTITUTE($G66, ",", REPT(" ", 100)), (COLUMNS($AJ$2:AZ66)-1)*100+1, 100))</f>
        <v/>
      </c>
      <c r="BA66" t="str">
        <f>TRIM(MID(SUBSTITUTE($G66, ",", REPT(" ", 100)), (COLUMNS($AJ$2:BA66)-1)*100+1, 100))</f>
        <v/>
      </c>
      <c r="BB66" t="str">
        <f>TRIM(MID(SUBSTITUTE($G66, ",", REPT(" ", 100)), (COLUMNS($AJ$2:BB66)-1)*100+1, 100))</f>
        <v/>
      </c>
      <c r="BC66" t="str">
        <f>TRIM(MID(SUBSTITUTE($G66, ",", REPT(" ", 100)), (COLUMNS($AJ$2:BC66)-1)*100+1, 100))</f>
        <v/>
      </c>
      <c r="BH66">
        <f t="shared" si="1"/>
        <v>1</v>
      </c>
    </row>
    <row r="67" spans="1:60" ht="14.7" thickBot="1" x14ac:dyDescent="0.55000000000000004">
      <c r="A67" s="32" t="s">
        <v>433</v>
      </c>
      <c r="B67" s="258">
        <v>46088</v>
      </c>
      <c r="C67" s="2">
        <v>5</v>
      </c>
      <c r="D67" s="272"/>
      <c r="E67" s="271"/>
      <c r="F67" s="260">
        <v>1</v>
      </c>
      <c r="G67" s="38" t="s">
        <v>462</v>
      </c>
      <c r="I67" s="38">
        <v>0</v>
      </c>
      <c r="AL67" t="str">
        <f>TRIM(MID(SUBSTITUTE($G67, ",", REPT(" ", 100)), (COLUMNS($AJ$2:AL67)-1)*100+1, 100))</f>
        <v/>
      </c>
      <c r="AM67" s="1">
        <v>45723</v>
      </c>
      <c r="AN67" s="2">
        <v>6</v>
      </c>
      <c r="AO67" s="2">
        <v>6</v>
      </c>
      <c r="AQ67" t="str">
        <f>TRIM(MID(SUBSTITUTE($G67, ",", REPT(" ", 100)), (COLUMNS($AJ$2:AQ67)-1)*100+1, 100))</f>
        <v/>
      </c>
      <c r="AR67" t="str">
        <f>TRIM(MID(SUBSTITUTE($G67, ",", REPT(" ", 100)), (COLUMNS($AJ$2:AR67)-1)*100+1, 100))</f>
        <v/>
      </c>
      <c r="AS67" t="str">
        <f>TRIM(MID(SUBSTITUTE($G67, ",", REPT(" ", 100)), (COLUMNS($AJ$2:AS67)-1)*100+1, 100))</f>
        <v/>
      </c>
      <c r="AT67" t="str">
        <f>TRIM(MID(SUBSTITUTE($G67, ",", REPT(" ", 100)), (COLUMNS($AJ$2:AT67)-1)*100+1, 100))</f>
        <v/>
      </c>
      <c r="AU67" t="str">
        <f>TRIM(MID(SUBSTITUTE($G67, ",", REPT(" ", 100)), (COLUMNS($AJ$2:AU67)-1)*100+1, 100))</f>
        <v/>
      </c>
      <c r="AV67" t="str">
        <f>TRIM(MID(SUBSTITUTE($G67, ",", REPT(" ", 100)), (COLUMNS($AJ$2:AV67)-1)*100+1, 100))</f>
        <v/>
      </c>
      <c r="AW67" t="str">
        <f>TRIM(MID(SUBSTITUTE($G67, ",", REPT(" ", 100)), (COLUMNS($AJ$2:AW67)-1)*100+1, 100))</f>
        <v/>
      </c>
      <c r="AX67" t="str">
        <f>TRIM(MID(SUBSTITUTE($G67, ",", REPT(" ", 100)), (COLUMNS($AJ$2:AX67)-1)*100+1, 100))</f>
        <v/>
      </c>
      <c r="AY67" t="str">
        <f>TRIM(MID(SUBSTITUTE($G67, ",", REPT(" ", 100)), (COLUMNS($AJ$2:AY67)-1)*100+1, 100))</f>
        <v/>
      </c>
      <c r="AZ67" t="str">
        <f>TRIM(MID(SUBSTITUTE($G67, ",", REPT(" ", 100)), (COLUMNS($AJ$2:AZ67)-1)*100+1, 100))</f>
        <v/>
      </c>
      <c r="BA67" t="str">
        <f>TRIM(MID(SUBSTITUTE($G67, ",", REPT(" ", 100)), (COLUMNS($AJ$2:BA67)-1)*100+1, 100))</f>
        <v/>
      </c>
      <c r="BB67" t="str">
        <f>TRIM(MID(SUBSTITUTE($G67, ",", REPT(" ", 100)), (COLUMNS($AJ$2:BB67)-1)*100+1, 100))</f>
        <v/>
      </c>
      <c r="BC67" t="str">
        <f>TRIM(MID(SUBSTITUTE($G67, ",", REPT(" ", 100)), (COLUMNS($AJ$2:BC67)-1)*100+1, 100))</f>
        <v/>
      </c>
      <c r="BH67">
        <f t="shared" ref="BH67:BH130" si="3">1/(LEN(G67)-LEN(SUBSTITUTE(G67,",",""))+1)</f>
        <v>1</v>
      </c>
    </row>
    <row r="68" spans="1:60" x14ac:dyDescent="0.5">
      <c r="A68" s="32" t="s">
        <v>434</v>
      </c>
      <c r="B68" s="257">
        <v>46089</v>
      </c>
      <c r="C68" s="2">
        <v>8.4</v>
      </c>
      <c r="D68" s="272"/>
      <c r="E68" s="271"/>
      <c r="F68" s="260">
        <v>1</v>
      </c>
      <c r="G68" s="38" t="s">
        <v>462</v>
      </c>
      <c r="H68" s="38" t="s">
        <v>506</v>
      </c>
      <c r="I68" s="38">
        <v>0</v>
      </c>
      <c r="AL68" t="str">
        <f>TRIM(MID(SUBSTITUTE($G68, ",", REPT(" ", 100)), (COLUMNS($AJ$2:AL68)-1)*100+1, 100))</f>
        <v/>
      </c>
      <c r="AM68" s="1">
        <v>45724</v>
      </c>
      <c r="AN68" s="2">
        <v>6</v>
      </c>
      <c r="AO68" s="2">
        <v>6.1</v>
      </c>
      <c r="AQ68" t="str">
        <f>TRIM(MID(SUBSTITUTE($G68, ",", REPT(" ", 100)), (COLUMNS($AJ$2:AQ68)-1)*100+1, 100))</f>
        <v/>
      </c>
      <c r="AR68" t="str">
        <f>TRIM(MID(SUBSTITUTE($G68, ",", REPT(" ", 100)), (COLUMNS($AJ$2:AR68)-1)*100+1, 100))</f>
        <v/>
      </c>
      <c r="AS68" t="str">
        <f>TRIM(MID(SUBSTITUTE($G68, ",", REPT(" ", 100)), (COLUMNS($AJ$2:AS68)-1)*100+1, 100))</f>
        <v/>
      </c>
      <c r="AT68" t="str">
        <f>TRIM(MID(SUBSTITUTE($G68, ",", REPT(" ", 100)), (COLUMNS($AJ$2:AT68)-1)*100+1, 100))</f>
        <v/>
      </c>
      <c r="AU68" t="str">
        <f>TRIM(MID(SUBSTITUTE($G68, ",", REPT(" ", 100)), (COLUMNS($AJ$2:AU68)-1)*100+1, 100))</f>
        <v/>
      </c>
      <c r="AV68" t="str">
        <f>TRIM(MID(SUBSTITUTE($G68, ",", REPT(" ", 100)), (COLUMNS($AJ$2:AV68)-1)*100+1, 100))</f>
        <v/>
      </c>
      <c r="AW68" t="str">
        <f>TRIM(MID(SUBSTITUTE($G68, ",", REPT(" ", 100)), (COLUMNS($AJ$2:AW68)-1)*100+1, 100))</f>
        <v/>
      </c>
      <c r="AX68" t="str">
        <f>TRIM(MID(SUBSTITUTE($G68, ",", REPT(" ", 100)), (COLUMNS($AJ$2:AX68)-1)*100+1, 100))</f>
        <v/>
      </c>
      <c r="AY68" t="str">
        <f>TRIM(MID(SUBSTITUTE($G68, ",", REPT(" ", 100)), (COLUMNS($AJ$2:AY68)-1)*100+1, 100))</f>
        <v/>
      </c>
      <c r="AZ68" t="str">
        <f>TRIM(MID(SUBSTITUTE($G68, ",", REPT(" ", 100)), (COLUMNS($AJ$2:AZ68)-1)*100+1, 100))</f>
        <v/>
      </c>
      <c r="BA68" t="str">
        <f>TRIM(MID(SUBSTITUTE($G68, ",", REPT(" ", 100)), (COLUMNS($AJ$2:BA68)-1)*100+1, 100))</f>
        <v/>
      </c>
      <c r="BB68" t="str">
        <f>TRIM(MID(SUBSTITUTE($G68, ",", REPT(" ", 100)), (COLUMNS($AJ$2:BB68)-1)*100+1, 100))</f>
        <v/>
      </c>
      <c r="BC68" t="str">
        <f>TRIM(MID(SUBSTITUTE($G68, ",", REPT(" ", 100)), (COLUMNS($AJ$2:BC68)-1)*100+1, 100))</f>
        <v/>
      </c>
      <c r="BH68">
        <f t="shared" si="3"/>
        <v>1</v>
      </c>
    </row>
    <row r="69" spans="1:60" ht="14.7" thickBot="1" x14ac:dyDescent="0.55000000000000004">
      <c r="A69" s="32" t="s">
        <v>435</v>
      </c>
      <c r="B69" s="258">
        <v>46090</v>
      </c>
      <c r="C69" s="2">
        <v>5.3</v>
      </c>
      <c r="D69" s="272"/>
      <c r="E69" s="271"/>
      <c r="F69" s="260">
        <v>0</v>
      </c>
      <c r="G69" s="38" t="s">
        <v>462</v>
      </c>
      <c r="H69" s="38" t="s">
        <v>507</v>
      </c>
      <c r="I69" s="38">
        <v>0</v>
      </c>
      <c r="AL69" t="str">
        <f>TRIM(MID(SUBSTITUTE($G69, ",", REPT(" ", 100)), (COLUMNS($AJ$2:AL69)-1)*100+1, 100))</f>
        <v/>
      </c>
      <c r="AM69" s="1">
        <v>45725</v>
      </c>
      <c r="AN69" s="2">
        <v>6</v>
      </c>
      <c r="AO69" s="2">
        <v>8</v>
      </c>
      <c r="AQ69" t="str">
        <f>TRIM(MID(SUBSTITUTE($G69, ",", REPT(" ", 100)), (COLUMNS($AJ$2:AQ69)-1)*100+1, 100))</f>
        <v/>
      </c>
      <c r="AR69" t="str">
        <f>TRIM(MID(SUBSTITUTE($G69, ",", REPT(" ", 100)), (COLUMNS($AJ$2:AR69)-1)*100+1, 100))</f>
        <v/>
      </c>
      <c r="AS69" t="str">
        <f>TRIM(MID(SUBSTITUTE($G69, ",", REPT(" ", 100)), (COLUMNS($AJ$2:AS69)-1)*100+1, 100))</f>
        <v/>
      </c>
      <c r="AT69" t="str">
        <f>TRIM(MID(SUBSTITUTE($G69, ",", REPT(" ", 100)), (COLUMNS($AJ$2:AT69)-1)*100+1, 100))</f>
        <v/>
      </c>
      <c r="AU69" t="str">
        <f>TRIM(MID(SUBSTITUTE($G69, ",", REPT(" ", 100)), (COLUMNS($AJ$2:AU69)-1)*100+1, 100))</f>
        <v/>
      </c>
      <c r="AV69" t="str">
        <f>TRIM(MID(SUBSTITUTE($G69, ",", REPT(" ", 100)), (COLUMNS($AJ$2:AV69)-1)*100+1, 100))</f>
        <v/>
      </c>
      <c r="AW69" t="str">
        <f>TRIM(MID(SUBSTITUTE($G69, ",", REPT(" ", 100)), (COLUMNS($AJ$2:AW69)-1)*100+1, 100))</f>
        <v/>
      </c>
      <c r="AX69" t="str">
        <f>TRIM(MID(SUBSTITUTE($G69, ",", REPT(" ", 100)), (COLUMNS($AJ$2:AX69)-1)*100+1, 100))</f>
        <v/>
      </c>
      <c r="AY69" t="str">
        <f>TRIM(MID(SUBSTITUTE($G69, ",", REPT(" ", 100)), (COLUMNS($AJ$2:AY69)-1)*100+1, 100))</f>
        <v/>
      </c>
      <c r="AZ69" t="str">
        <f>TRIM(MID(SUBSTITUTE($G69, ",", REPT(" ", 100)), (COLUMNS($AJ$2:AZ69)-1)*100+1, 100))</f>
        <v/>
      </c>
      <c r="BA69" t="str">
        <f>TRIM(MID(SUBSTITUTE($G69, ",", REPT(" ", 100)), (COLUMNS($AJ$2:BA69)-1)*100+1, 100))</f>
        <v/>
      </c>
      <c r="BB69" t="str">
        <f>TRIM(MID(SUBSTITUTE($G69, ",", REPT(" ", 100)), (COLUMNS($AJ$2:BB69)-1)*100+1, 100))</f>
        <v/>
      </c>
      <c r="BC69" t="str">
        <f>TRIM(MID(SUBSTITUTE($G69, ",", REPT(" ", 100)), (COLUMNS($AJ$2:BC69)-1)*100+1, 100))</f>
        <v/>
      </c>
      <c r="BH69">
        <f t="shared" si="3"/>
        <v>1</v>
      </c>
    </row>
    <row r="70" spans="1:60" x14ac:dyDescent="0.5">
      <c r="A70" s="32" t="s">
        <v>436</v>
      </c>
      <c r="B70" s="257">
        <v>46091</v>
      </c>
      <c r="C70" s="2">
        <v>5.8</v>
      </c>
      <c r="D70" s="272"/>
      <c r="E70" s="271"/>
      <c r="F70" s="260">
        <v>0</v>
      </c>
      <c r="G70" s="38" t="s">
        <v>462</v>
      </c>
      <c r="I70" s="38">
        <v>0</v>
      </c>
      <c r="AL70" t="str">
        <f>TRIM(MID(SUBSTITUTE($G70, ",", REPT(" ", 100)), (COLUMNS($AJ$2:AL70)-1)*100+1, 100))</f>
        <v/>
      </c>
      <c r="AM70" s="1">
        <v>45726</v>
      </c>
      <c r="AN70" s="2">
        <v>6</v>
      </c>
      <c r="AO70" s="2">
        <v>4.5</v>
      </c>
      <c r="AQ70" t="str">
        <f>TRIM(MID(SUBSTITUTE($G70, ",", REPT(" ", 100)), (COLUMNS($AJ$2:AQ70)-1)*100+1, 100))</f>
        <v/>
      </c>
      <c r="AR70" t="str">
        <f>TRIM(MID(SUBSTITUTE($G70, ",", REPT(" ", 100)), (COLUMNS($AJ$2:AR70)-1)*100+1, 100))</f>
        <v/>
      </c>
      <c r="AS70" t="str">
        <f>TRIM(MID(SUBSTITUTE($G70, ",", REPT(" ", 100)), (COLUMNS($AJ$2:AS70)-1)*100+1, 100))</f>
        <v/>
      </c>
      <c r="AT70" t="str">
        <f>TRIM(MID(SUBSTITUTE($G70, ",", REPT(" ", 100)), (COLUMNS($AJ$2:AT70)-1)*100+1, 100))</f>
        <v/>
      </c>
      <c r="AU70" t="str">
        <f>TRIM(MID(SUBSTITUTE($G70, ",", REPT(" ", 100)), (COLUMNS($AJ$2:AU70)-1)*100+1, 100))</f>
        <v/>
      </c>
      <c r="AV70" t="str">
        <f>TRIM(MID(SUBSTITUTE($G70, ",", REPT(" ", 100)), (COLUMNS($AJ$2:AV70)-1)*100+1, 100))</f>
        <v/>
      </c>
      <c r="AW70" t="str">
        <f>TRIM(MID(SUBSTITUTE($G70, ",", REPT(" ", 100)), (COLUMNS($AJ$2:AW70)-1)*100+1, 100))</f>
        <v/>
      </c>
      <c r="AX70" t="str">
        <f>TRIM(MID(SUBSTITUTE($G70, ",", REPT(" ", 100)), (COLUMNS($AJ$2:AX70)-1)*100+1, 100))</f>
        <v/>
      </c>
      <c r="AY70" t="str">
        <f>TRIM(MID(SUBSTITUTE($G70, ",", REPT(" ", 100)), (COLUMNS($AJ$2:AY70)-1)*100+1, 100))</f>
        <v/>
      </c>
      <c r="AZ70" t="str">
        <f>TRIM(MID(SUBSTITUTE($G70, ",", REPT(" ", 100)), (COLUMNS($AJ$2:AZ70)-1)*100+1, 100))</f>
        <v/>
      </c>
      <c r="BA70" t="str">
        <f>TRIM(MID(SUBSTITUTE($G70, ",", REPT(" ", 100)), (COLUMNS($AJ$2:BA70)-1)*100+1, 100))</f>
        <v/>
      </c>
      <c r="BB70" t="str">
        <f>TRIM(MID(SUBSTITUTE($G70, ",", REPT(" ", 100)), (COLUMNS($AJ$2:BB70)-1)*100+1, 100))</f>
        <v/>
      </c>
      <c r="BC70" t="str">
        <f>TRIM(MID(SUBSTITUTE($G70, ",", REPT(" ", 100)), (COLUMNS($AJ$2:BC70)-1)*100+1, 100))</f>
        <v/>
      </c>
      <c r="BH70">
        <f t="shared" si="3"/>
        <v>1</v>
      </c>
    </row>
    <row r="71" spans="1:60" ht="14.7" thickBot="1" x14ac:dyDescent="0.55000000000000004">
      <c r="A71" s="32" t="s">
        <v>437</v>
      </c>
      <c r="B71" s="258">
        <v>46092</v>
      </c>
      <c r="C71" s="2">
        <v>5.5</v>
      </c>
      <c r="D71" s="272"/>
      <c r="E71" s="271"/>
      <c r="F71" s="260">
        <v>0</v>
      </c>
      <c r="G71" s="38" t="s">
        <v>462</v>
      </c>
      <c r="I71" s="38">
        <v>0</v>
      </c>
      <c r="AL71" t="str">
        <f>TRIM(MID(SUBSTITUTE($G71, ",", REPT(" ", 100)), (COLUMNS($AJ$2:AL71)-1)*100+1, 100))</f>
        <v/>
      </c>
      <c r="AM71" s="1">
        <v>45727</v>
      </c>
      <c r="AN71" s="2">
        <v>4</v>
      </c>
      <c r="AO71" s="2">
        <v>7</v>
      </c>
      <c r="AQ71" t="str">
        <f>TRIM(MID(SUBSTITUTE($G71, ",", REPT(" ", 100)), (COLUMNS($AJ$2:AQ71)-1)*100+1, 100))</f>
        <v/>
      </c>
      <c r="AR71" t="str">
        <f>TRIM(MID(SUBSTITUTE($G71, ",", REPT(" ", 100)), (COLUMNS($AJ$2:AR71)-1)*100+1, 100))</f>
        <v/>
      </c>
      <c r="AS71" t="str">
        <f>TRIM(MID(SUBSTITUTE($G71, ",", REPT(" ", 100)), (COLUMNS($AJ$2:AS71)-1)*100+1, 100))</f>
        <v/>
      </c>
      <c r="AT71" t="str">
        <f>TRIM(MID(SUBSTITUTE($G71, ",", REPT(" ", 100)), (COLUMNS($AJ$2:AT71)-1)*100+1, 100))</f>
        <v/>
      </c>
      <c r="AU71" t="str">
        <f>TRIM(MID(SUBSTITUTE($G71, ",", REPT(" ", 100)), (COLUMNS($AJ$2:AU71)-1)*100+1, 100))</f>
        <v/>
      </c>
      <c r="AV71" t="str">
        <f>TRIM(MID(SUBSTITUTE($G71, ",", REPT(" ", 100)), (COLUMNS($AJ$2:AV71)-1)*100+1, 100))</f>
        <v/>
      </c>
      <c r="AW71" t="str">
        <f>TRIM(MID(SUBSTITUTE($G71, ",", REPT(" ", 100)), (COLUMNS($AJ$2:AW71)-1)*100+1, 100))</f>
        <v/>
      </c>
      <c r="AX71" t="str">
        <f>TRIM(MID(SUBSTITUTE($G71, ",", REPT(" ", 100)), (COLUMNS($AJ$2:AX71)-1)*100+1, 100))</f>
        <v/>
      </c>
      <c r="AY71" t="str">
        <f>TRIM(MID(SUBSTITUTE($G71, ",", REPT(" ", 100)), (COLUMNS($AJ$2:AY71)-1)*100+1, 100))</f>
        <v/>
      </c>
      <c r="AZ71" t="str">
        <f>TRIM(MID(SUBSTITUTE($G71, ",", REPT(" ", 100)), (COLUMNS($AJ$2:AZ71)-1)*100+1, 100))</f>
        <v/>
      </c>
      <c r="BA71" t="str">
        <f>TRIM(MID(SUBSTITUTE($G71, ",", REPT(" ", 100)), (COLUMNS($AJ$2:BA71)-1)*100+1, 100))</f>
        <v/>
      </c>
      <c r="BB71" t="str">
        <f>TRIM(MID(SUBSTITUTE($G71, ",", REPT(" ", 100)), (COLUMNS($AJ$2:BB71)-1)*100+1, 100))</f>
        <v/>
      </c>
      <c r="BC71" t="str">
        <f>TRIM(MID(SUBSTITUTE($G71, ",", REPT(" ", 100)), (COLUMNS($AJ$2:BC71)-1)*100+1, 100))</f>
        <v/>
      </c>
      <c r="BH71">
        <f t="shared" si="3"/>
        <v>1</v>
      </c>
    </row>
    <row r="72" spans="1:60" x14ac:dyDescent="0.5">
      <c r="A72" s="32" t="s">
        <v>431</v>
      </c>
      <c r="B72" s="257">
        <v>46093</v>
      </c>
      <c r="C72" s="2">
        <v>5.6</v>
      </c>
      <c r="D72" s="272"/>
      <c r="E72" s="271"/>
      <c r="F72" s="260">
        <v>1</v>
      </c>
      <c r="G72" s="38" t="s">
        <v>519</v>
      </c>
      <c r="H72" s="38" t="s">
        <v>518</v>
      </c>
      <c r="I72" s="38">
        <v>0</v>
      </c>
      <c r="AL72" t="str">
        <f>TRIM(MID(SUBSTITUTE($G72, ",", REPT(" ", 100)), (COLUMNS($AJ$2:AL72)-1)*100+1, 100))</f>
        <v/>
      </c>
      <c r="AM72" s="1">
        <v>45728</v>
      </c>
      <c r="AN72" s="2">
        <v>6</v>
      </c>
      <c r="AO72" s="2">
        <v>4.8</v>
      </c>
      <c r="AQ72" t="str">
        <f>TRIM(MID(SUBSTITUTE($G72, ",", REPT(" ", 100)), (COLUMNS($AJ$2:AQ72)-1)*100+1, 100))</f>
        <v/>
      </c>
      <c r="AR72" t="str">
        <f>TRIM(MID(SUBSTITUTE($G72, ",", REPT(" ", 100)), (COLUMNS($AJ$2:AR72)-1)*100+1, 100))</f>
        <v/>
      </c>
      <c r="AS72" t="str">
        <f>TRIM(MID(SUBSTITUTE($G72, ",", REPT(" ", 100)), (COLUMNS($AJ$2:AS72)-1)*100+1, 100))</f>
        <v/>
      </c>
      <c r="AT72" t="str">
        <f>TRIM(MID(SUBSTITUTE($G72, ",", REPT(" ", 100)), (COLUMNS($AJ$2:AT72)-1)*100+1, 100))</f>
        <v/>
      </c>
      <c r="AU72" t="str">
        <f>TRIM(MID(SUBSTITUTE($G72, ",", REPT(" ", 100)), (COLUMNS($AJ$2:AU72)-1)*100+1, 100))</f>
        <v/>
      </c>
      <c r="AV72" t="str">
        <f>TRIM(MID(SUBSTITUTE($G72, ",", REPT(" ", 100)), (COLUMNS($AJ$2:AV72)-1)*100+1, 100))</f>
        <v/>
      </c>
      <c r="AW72" t="str">
        <f>TRIM(MID(SUBSTITUTE($G72, ",", REPT(" ", 100)), (COLUMNS($AJ$2:AW72)-1)*100+1, 100))</f>
        <v/>
      </c>
      <c r="AX72" t="str">
        <f>TRIM(MID(SUBSTITUTE($G72, ",", REPT(" ", 100)), (COLUMNS($AJ$2:AX72)-1)*100+1, 100))</f>
        <v/>
      </c>
      <c r="AY72" t="str">
        <f>TRIM(MID(SUBSTITUTE($G72, ",", REPT(" ", 100)), (COLUMNS($AJ$2:AY72)-1)*100+1, 100))</f>
        <v/>
      </c>
      <c r="AZ72" t="str">
        <f>TRIM(MID(SUBSTITUTE($G72, ",", REPT(" ", 100)), (COLUMNS($AJ$2:AZ72)-1)*100+1, 100))</f>
        <v/>
      </c>
      <c r="BA72" t="str">
        <f>TRIM(MID(SUBSTITUTE($G72, ",", REPT(" ", 100)), (COLUMNS($AJ$2:BA72)-1)*100+1, 100))</f>
        <v/>
      </c>
      <c r="BB72" t="str">
        <f>TRIM(MID(SUBSTITUTE($G72, ",", REPT(" ", 100)), (COLUMNS($AJ$2:BB72)-1)*100+1, 100))</f>
        <v/>
      </c>
      <c r="BC72" t="str">
        <f>TRIM(MID(SUBSTITUTE($G72, ",", REPT(" ", 100)), (COLUMNS($AJ$2:BC72)-1)*100+1, 100))</f>
        <v/>
      </c>
      <c r="BH72">
        <f t="shared" si="3"/>
        <v>0.5</v>
      </c>
    </row>
    <row r="73" spans="1:60" ht="14.7" thickBot="1" x14ac:dyDescent="0.55000000000000004">
      <c r="A73" s="32" t="s">
        <v>432</v>
      </c>
      <c r="B73" s="258">
        <v>46094</v>
      </c>
      <c r="C73" s="2">
        <v>8.5</v>
      </c>
      <c r="D73" s="272"/>
      <c r="E73" s="271"/>
      <c r="F73" s="260">
        <v>1</v>
      </c>
      <c r="G73" s="38" t="s">
        <v>176</v>
      </c>
      <c r="H73" s="38" t="s">
        <v>518</v>
      </c>
      <c r="I73" s="38">
        <v>0</v>
      </c>
      <c r="AL73" t="str">
        <f>TRIM(MID(SUBSTITUTE($G73, ",", REPT(" ", 100)), (COLUMNS($AJ$2:AL73)-1)*100+1, 100))</f>
        <v/>
      </c>
      <c r="AM73" s="1">
        <v>45729</v>
      </c>
      <c r="AN73" s="2">
        <v>6</v>
      </c>
      <c r="AO73" s="2">
        <v>5</v>
      </c>
      <c r="AQ73" t="str">
        <f>TRIM(MID(SUBSTITUTE($G73, ",", REPT(" ", 100)), (COLUMNS($AJ$2:AQ73)-1)*100+1, 100))</f>
        <v/>
      </c>
      <c r="AR73" t="str">
        <f>TRIM(MID(SUBSTITUTE($G73, ",", REPT(" ", 100)), (COLUMNS($AJ$2:AR73)-1)*100+1, 100))</f>
        <v/>
      </c>
      <c r="AS73" t="str">
        <f>TRIM(MID(SUBSTITUTE($G73, ",", REPT(" ", 100)), (COLUMNS($AJ$2:AS73)-1)*100+1, 100))</f>
        <v/>
      </c>
      <c r="AT73" t="str">
        <f>TRIM(MID(SUBSTITUTE($G73, ",", REPT(" ", 100)), (COLUMNS($AJ$2:AT73)-1)*100+1, 100))</f>
        <v/>
      </c>
      <c r="AU73" t="str">
        <f>TRIM(MID(SUBSTITUTE($G73, ",", REPT(" ", 100)), (COLUMNS($AJ$2:AU73)-1)*100+1, 100))</f>
        <v/>
      </c>
      <c r="AV73" t="str">
        <f>TRIM(MID(SUBSTITUTE($G73, ",", REPT(" ", 100)), (COLUMNS($AJ$2:AV73)-1)*100+1, 100))</f>
        <v/>
      </c>
      <c r="AW73" t="str">
        <f>TRIM(MID(SUBSTITUTE($G73, ",", REPT(" ", 100)), (COLUMNS($AJ$2:AW73)-1)*100+1, 100))</f>
        <v/>
      </c>
      <c r="AX73" t="str">
        <f>TRIM(MID(SUBSTITUTE($G73, ",", REPT(" ", 100)), (COLUMNS($AJ$2:AX73)-1)*100+1, 100))</f>
        <v/>
      </c>
      <c r="AY73" t="str">
        <f>TRIM(MID(SUBSTITUTE($G73, ",", REPT(" ", 100)), (COLUMNS($AJ$2:AY73)-1)*100+1, 100))</f>
        <v/>
      </c>
      <c r="AZ73" t="str">
        <f>TRIM(MID(SUBSTITUTE($G73, ",", REPT(" ", 100)), (COLUMNS($AJ$2:AZ73)-1)*100+1, 100))</f>
        <v/>
      </c>
      <c r="BA73" t="str">
        <f>TRIM(MID(SUBSTITUTE($G73, ",", REPT(" ", 100)), (COLUMNS($AJ$2:BA73)-1)*100+1, 100))</f>
        <v/>
      </c>
      <c r="BB73" t="str">
        <f>TRIM(MID(SUBSTITUTE($G73, ",", REPT(" ", 100)), (COLUMNS($AJ$2:BB73)-1)*100+1, 100))</f>
        <v/>
      </c>
      <c r="BC73" t="str">
        <f>TRIM(MID(SUBSTITUTE($G73, ",", REPT(" ", 100)), (COLUMNS($AJ$2:BC73)-1)*100+1, 100))</f>
        <v/>
      </c>
      <c r="BH73">
        <f t="shared" si="3"/>
        <v>1</v>
      </c>
    </row>
    <row r="74" spans="1:60" x14ac:dyDescent="0.5">
      <c r="A74" s="32" t="s">
        <v>433</v>
      </c>
      <c r="B74" s="257">
        <v>46095</v>
      </c>
      <c r="C74" s="2">
        <v>7.8</v>
      </c>
      <c r="D74" s="272"/>
      <c r="E74" s="271"/>
      <c r="F74" s="260">
        <v>1</v>
      </c>
      <c r="G74" s="38" t="s">
        <v>176</v>
      </c>
      <c r="H74" s="38" t="s">
        <v>518</v>
      </c>
      <c r="I74" s="38">
        <v>0</v>
      </c>
      <c r="AL74" t="str">
        <f>TRIM(MID(SUBSTITUTE($G74, ",", REPT(" ", 100)), (COLUMNS($AJ$2:AL74)-1)*100+1, 100))</f>
        <v/>
      </c>
      <c r="AM74" s="1">
        <v>45730</v>
      </c>
      <c r="AN74" s="2">
        <v>4</v>
      </c>
      <c r="AO74" s="2">
        <v>4</v>
      </c>
      <c r="AQ74" t="str">
        <f>TRIM(MID(SUBSTITUTE($G74, ",", REPT(" ", 100)), (COLUMNS($AJ$2:AQ74)-1)*100+1, 100))</f>
        <v/>
      </c>
      <c r="AR74" t="str">
        <f>TRIM(MID(SUBSTITUTE($G74, ",", REPT(" ", 100)), (COLUMNS($AJ$2:AR74)-1)*100+1, 100))</f>
        <v/>
      </c>
      <c r="AS74" t="str">
        <f>TRIM(MID(SUBSTITUTE($G74, ",", REPT(" ", 100)), (COLUMNS($AJ$2:AS74)-1)*100+1, 100))</f>
        <v/>
      </c>
      <c r="AT74" t="str">
        <f>TRIM(MID(SUBSTITUTE($G74, ",", REPT(" ", 100)), (COLUMNS($AJ$2:AT74)-1)*100+1, 100))</f>
        <v/>
      </c>
      <c r="AU74" t="str">
        <f>TRIM(MID(SUBSTITUTE($G74, ",", REPT(" ", 100)), (COLUMNS($AJ$2:AU74)-1)*100+1, 100))</f>
        <v/>
      </c>
      <c r="AV74" t="str">
        <f>TRIM(MID(SUBSTITUTE($G74, ",", REPT(" ", 100)), (COLUMNS($AJ$2:AV74)-1)*100+1, 100))</f>
        <v/>
      </c>
      <c r="AW74" t="str">
        <f>TRIM(MID(SUBSTITUTE($G74, ",", REPT(" ", 100)), (COLUMNS($AJ$2:AW74)-1)*100+1, 100))</f>
        <v/>
      </c>
      <c r="AX74" t="str">
        <f>TRIM(MID(SUBSTITUTE($G74, ",", REPT(" ", 100)), (COLUMNS($AJ$2:AX74)-1)*100+1, 100))</f>
        <v/>
      </c>
      <c r="AY74" t="str">
        <f>TRIM(MID(SUBSTITUTE($G74, ",", REPT(" ", 100)), (COLUMNS($AJ$2:AY74)-1)*100+1, 100))</f>
        <v/>
      </c>
      <c r="AZ74" t="str">
        <f>TRIM(MID(SUBSTITUTE($G74, ",", REPT(" ", 100)), (COLUMNS($AJ$2:AZ74)-1)*100+1, 100))</f>
        <v/>
      </c>
      <c r="BA74" t="str">
        <f>TRIM(MID(SUBSTITUTE($G74, ",", REPT(" ", 100)), (COLUMNS($AJ$2:BA74)-1)*100+1, 100))</f>
        <v/>
      </c>
      <c r="BB74" t="str">
        <f>TRIM(MID(SUBSTITUTE($G74, ",", REPT(" ", 100)), (COLUMNS($AJ$2:BB74)-1)*100+1, 100))</f>
        <v/>
      </c>
      <c r="BC74" t="str">
        <f>TRIM(MID(SUBSTITUTE($G74, ",", REPT(" ", 100)), (COLUMNS($AJ$2:BC74)-1)*100+1, 100))</f>
        <v/>
      </c>
      <c r="BH74">
        <f t="shared" si="3"/>
        <v>1</v>
      </c>
    </row>
    <row r="75" spans="1:60" ht="14.7" thickBot="1" x14ac:dyDescent="0.55000000000000004">
      <c r="A75" s="32" t="s">
        <v>434</v>
      </c>
      <c r="B75" s="258">
        <v>46096</v>
      </c>
      <c r="C75" s="2">
        <v>10</v>
      </c>
      <c r="D75" s="272"/>
      <c r="E75" s="271"/>
      <c r="F75" s="260">
        <v>1</v>
      </c>
      <c r="G75" s="38" t="s">
        <v>176</v>
      </c>
      <c r="H75" s="38" t="s">
        <v>518</v>
      </c>
      <c r="I75" s="38">
        <v>0</v>
      </c>
      <c r="AL75" t="str">
        <f>TRIM(MID(SUBSTITUTE($G75, ",", REPT(" ", 100)), (COLUMNS($AJ$2:AL75)-1)*100+1, 100))</f>
        <v/>
      </c>
      <c r="AM75" s="1">
        <v>45731</v>
      </c>
      <c r="AN75" s="2">
        <v>6</v>
      </c>
      <c r="AO75" s="2">
        <v>4</v>
      </c>
      <c r="AQ75" t="str">
        <f>TRIM(MID(SUBSTITUTE($G75, ",", REPT(" ", 100)), (COLUMNS($AJ$2:AQ75)-1)*100+1, 100))</f>
        <v/>
      </c>
      <c r="AR75" t="str">
        <f>TRIM(MID(SUBSTITUTE($G75, ",", REPT(" ", 100)), (COLUMNS($AJ$2:AR75)-1)*100+1, 100))</f>
        <v/>
      </c>
      <c r="AS75" t="str">
        <f>TRIM(MID(SUBSTITUTE($G75, ",", REPT(" ", 100)), (COLUMNS($AJ$2:AS75)-1)*100+1, 100))</f>
        <v/>
      </c>
      <c r="AT75" t="str">
        <f>TRIM(MID(SUBSTITUTE($G75, ",", REPT(" ", 100)), (COLUMNS($AJ$2:AT75)-1)*100+1, 100))</f>
        <v/>
      </c>
      <c r="AU75" t="str">
        <f>TRIM(MID(SUBSTITUTE($G75, ",", REPT(" ", 100)), (COLUMNS($AJ$2:AU75)-1)*100+1, 100))</f>
        <v/>
      </c>
      <c r="AV75" t="str">
        <f>TRIM(MID(SUBSTITUTE($G75, ",", REPT(" ", 100)), (COLUMNS($AJ$2:AV75)-1)*100+1, 100))</f>
        <v/>
      </c>
      <c r="AW75" t="str">
        <f>TRIM(MID(SUBSTITUTE($G75, ",", REPT(" ", 100)), (COLUMNS($AJ$2:AW75)-1)*100+1, 100))</f>
        <v/>
      </c>
      <c r="AX75" t="str">
        <f>TRIM(MID(SUBSTITUTE($G75, ",", REPT(" ", 100)), (COLUMNS($AJ$2:AX75)-1)*100+1, 100))</f>
        <v/>
      </c>
      <c r="AY75" t="str">
        <f>TRIM(MID(SUBSTITUTE($G75, ",", REPT(" ", 100)), (COLUMNS($AJ$2:AY75)-1)*100+1, 100))</f>
        <v/>
      </c>
      <c r="AZ75" t="str">
        <f>TRIM(MID(SUBSTITUTE($G75, ",", REPT(" ", 100)), (COLUMNS($AJ$2:AZ75)-1)*100+1, 100))</f>
        <v/>
      </c>
      <c r="BA75" t="str">
        <f>TRIM(MID(SUBSTITUTE($G75, ",", REPT(" ", 100)), (COLUMNS($AJ$2:BA75)-1)*100+1, 100))</f>
        <v/>
      </c>
      <c r="BB75" t="str">
        <f>TRIM(MID(SUBSTITUTE($G75, ",", REPT(" ", 100)), (COLUMNS($AJ$2:BB75)-1)*100+1, 100))</f>
        <v/>
      </c>
      <c r="BC75" t="str">
        <f>TRIM(MID(SUBSTITUTE($G75, ",", REPT(" ", 100)), (COLUMNS($AJ$2:BC75)-1)*100+1, 100))</f>
        <v/>
      </c>
      <c r="BH75">
        <f t="shared" si="3"/>
        <v>1</v>
      </c>
    </row>
    <row r="76" spans="1:60" x14ac:dyDescent="0.5">
      <c r="A76" s="32" t="s">
        <v>435</v>
      </c>
      <c r="B76" s="257">
        <v>46097</v>
      </c>
      <c r="C76" s="2">
        <v>7.5</v>
      </c>
      <c r="D76" s="272"/>
      <c r="E76" s="271"/>
      <c r="F76" s="260">
        <v>0</v>
      </c>
      <c r="G76" s="38" t="s">
        <v>176</v>
      </c>
      <c r="H76" s="38" t="s">
        <v>518</v>
      </c>
      <c r="I76" s="38">
        <v>0</v>
      </c>
      <c r="AL76" t="str">
        <f>TRIM(MID(SUBSTITUTE($G76, ",", REPT(" ", 100)), (COLUMNS($AJ$2:AL76)-1)*100+1, 100))</f>
        <v/>
      </c>
      <c r="AM76" s="1">
        <v>45732</v>
      </c>
      <c r="AN76" s="2">
        <v>6</v>
      </c>
      <c r="AO76" s="2">
        <v>5</v>
      </c>
      <c r="AQ76" t="str">
        <f>TRIM(MID(SUBSTITUTE($G76, ",", REPT(" ", 100)), (COLUMNS($AJ$2:AQ76)-1)*100+1, 100))</f>
        <v/>
      </c>
      <c r="AR76" t="str">
        <f>TRIM(MID(SUBSTITUTE($G76, ",", REPT(" ", 100)), (COLUMNS($AJ$2:AR76)-1)*100+1, 100))</f>
        <v/>
      </c>
      <c r="AS76" t="str">
        <f>TRIM(MID(SUBSTITUTE($G76, ",", REPT(" ", 100)), (COLUMNS($AJ$2:AS76)-1)*100+1, 100))</f>
        <v/>
      </c>
      <c r="AT76" t="str">
        <f>TRIM(MID(SUBSTITUTE($G76, ",", REPT(" ", 100)), (COLUMNS($AJ$2:AT76)-1)*100+1, 100))</f>
        <v/>
      </c>
      <c r="AU76" t="str">
        <f>TRIM(MID(SUBSTITUTE($G76, ",", REPT(" ", 100)), (COLUMNS($AJ$2:AU76)-1)*100+1, 100))</f>
        <v/>
      </c>
      <c r="AV76" t="str">
        <f>TRIM(MID(SUBSTITUTE($G76, ",", REPT(" ", 100)), (COLUMNS($AJ$2:AV76)-1)*100+1, 100))</f>
        <v/>
      </c>
      <c r="AW76" t="str">
        <f>TRIM(MID(SUBSTITUTE($G76, ",", REPT(" ", 100)), (COLUMNS($AJ$2:AW76)-1)*100+1, 100))</f>
        <v/>
      </c>
      <c r="AX76" t="str">
        <f>TRIM(MID(SUBSTITUTE($G76, ",", REPT(" ", 100)), (COLUMNS($AJ$2:AX76)-1)*100+1, 100))</f>
        <v/>
      </c>
      <c r="AY76" t="str">
        <f>TRIM(MID(SUBSTITUTE($G76, ",", REPT(" ", 100)), (COLUMNS($AJ$2:AY76)-1)*100+1, 100))</f>
        <v/>
      </c>
      <c r="AZ76" t="str">
        <f>TRIM(MID(SUBSTITUTE($G76, ",", REPT(" ", 100)), (COLUMNS($AJ$2:AZ76)-1)*100+1, 100))</f>
        <v/>
      </c>
      <c r="BA76" t="str">
        <f>TRIM(MID(SUBSTITUTE($G76, ",", REPT(" ", 100)), (COLUMNS($AJ$2:BA76)-1)*100+1, 100))</f>
        <v/>
      </c>
      <c r="BB76" t="str">
        <f>TRIM(MID(SUBSTITUTE($G76, ",", REPT(" ", 100)), (COLUMNS($AJ$2:BB76)-1)*100+1, 100))</f>
        <v/>
      </c>
      <c r="BC76" t="str">
        <f>TRIM(MID(SUBSTITUTE($G76, ",", REPT(" ", 100)), (COLUMNS($AJ$2:BC76)-1)*100+1, 100))</f>
        <v/>
      </c>
      <c r="BH76">
        <f t="shared" si="3"/>
        <v>1</v>
      </c>
    </row>
    <row r="77" spans="1:60" ht="14.7" thickBot="1" x14ac:dyDescent="0.55000000000000004">
      <c r="A77" s="32" t="s">
        <v>436</v>
      </c>
      <c r="B77" s="258">
        <v>46098</v>
      </c>
      <c r="C77" s="2">
        <v>6.2</v>
      </c>
      <c r="D77" s="272"/>
      <c r="E77" s="271"/>
      <c r="F77" s="260">
        <v>1</v>
      </c>
      <c r="G77" s="38" t="s">
        <v>176</v>
      </c>
      <c r="I77" s="38">
        <v>0</v>
      </c>
      <c r="AL77" t="str">
        <f>TRIM(MID(SUBSTITUTE($G77, ",", REPT(" ", 100)), (COLUMNS($AJ$2:AL77)-1)*100+1, 100))</f>
        <v/>
      </c>
      <c r="AM77" s="1">
        <v>45733</v>
      </c>
      <c r="AN77" s="2">
        <v>4</v>
      </c>
      <c r="AO77" s="2">
        <v>4.2</v>
      </c>
      <c r="AQ77" t="str">
        <f>TRIM(MID(SUBSTITUTE($G77, ",", REPT(" ", 100)), (COLUMNS($AJ$2:AQ77)-1)*100+1, 100))</f>
        <v/>
      </c>
      <c r="AR77" t="str">
        <f>TRIM(MID(SUBSTITUTE($G77, ",", REPT(" ", 100)), (COLUMNS($AJ$2:AR77)-1)*100+1, 100))</f>
        <v/>
      </c>
      <c r="AS77" t="str">
        <f>TRIM(MID(SUBSTITUTE($G77, ",", REPT(" ", 100)), (COLUMNS($AJ$2:AS77)-1)*100+1, 100))</f>
        <v/>
      </c>
      <c r="AT77" t="str">
        <f>TRIM(MID(SUBSTITUTE($G77, ",", REPT(" ", 100)), (COLUMNS($AJ$2:AT77)-1)*100+1, 100))</f>
        <v/>
      </c>
      <c r="AU77" t="str">
        <f>TRIM(MID(SUBSTITUTE($G77, ",", REPT(" ", 100)), (COLUMNS($AJ$2:AU77)-1)*100+1, 100))</f>
        <v/>
      </c>
      <c r="AV77" t="str">
        <f>TRIM(MID(SUBSTITUTE($G77, ",", REPT(" ", 100)), (COLUMNS($AJ$2:AV77)-1)*100+1, 100))</f>
        <v/>
      </c>
      <c r="AW77" t="str">
        <f>TRIM(MID(SUBSTITUTE($G77, ",", REPT(" ", 100)), (COLUMNS($AJ$2:AW77)-1)*100+1, 100))</f>
        <v/>
      </c>
      <c r="AX77" t="str">
        <f>TRIM(MID(SUBSTITUTE($G77, ",", REPT(" ", 100)), (COLUMNS($AJ$2:AX77)-1)*100+1, 100))</f>
        <v/>
      </c>
      <c r="AY77" t="str">
        <f>TRIM(MID(SUBSTITUTE($G77, ",", REPT(" ", 100)), (COLUMNS($AJ$2:AY77)-1)*100+1, 100))</f>
        <v/>
      </c>
      <c r="AZ77" t="str">
        <f>TRIM(MID(SUBSTITUTE($G77, ",", REPT(" ", 100)), (COLUMNS($AJ$2:AZ77)-1)*100+1, 100))</f>
        <v/>
      </c>
      <c r="BA77" t="str">
        <f>TRIM(MID(SUBSTITUTE($G77, ",", REPT(" ", 100)), (COLUMNS($AJ$2:BA77)-1)*100+1, 100))</f>
        <v/>
      </c>
      <c r="BB77" t="str">
        <f>TRIM(MID(SUBSTITUTE($G77, ",", REPT(" ", 100)), (COLUMNS($AJ$2:BB77)-1)*100+1, 100))</f>
        <v/>
      </c>
      <c r="BC77" t="str">
        <f>TRIM(MID(SUBSTITUTE($G77, ",", REPT(" ", 100)), (COLUMNS($AJ$2:BC77)-1)*100+1, 100))</f>
        <v/>
      </c>
      <c r="BH77">
        <f t="shared" si="3"/>
        <v>1</v>
      </c>
    </row>
    <row r="78" spans="1:60" x14ac:dyDescent="0.5">
      <c r="A78" s="32" t="s">
        <v>437</v>
      </c>
      <c r="B78" s="257">
        <v>46099</v>
      </c>
      <c r="C78" s="2">
        <v>6.2</v>
      </c>
      <c r="D78" s="272"/>
      <c r="E78" s="271"/>
      <c r="F78" s="260">
        <v>0</v>
      </c>
      <c r="G78" s="38" t="s">
        <v>176</v>
      </c>
      <c r="I78" s="38">
        <v>0</v>
      </c>
      <c r="AL78" t="str">
        <f>TRIM(MID(SUBSTITUTE($G78, ",", REPT(" ", 100)), (COLUMNS($AJ$2:AL78)-1)*100+1, 100))</f>
        <v/>
      </c>
      <c r="AM78" s="1">
        <v>45734</v>
      </c>
      <c r="AN78" s="2">
        <v>6</v>
      </c>
      <c r="AO78" s="2">
        <v>5.5</v>
      </c>
      <c r="AQ78" t="str">
        <f>TRIM(MID(SUBSTITUTE($G78, ",", REPT(" ", 100)), (COLUMNS($AJ$2:AQ78)-1)*100+1, 100))</f>
        <v/>
      </c>
      <c r="AR78" t="str">
        <f>TRIM(MID(SUBSTITUTE($G78, ",", REPT(" ", 100)), (COLUMNS($AJ$2:AR78)-1)*100+1, 100))</f>
        <v/>
      </c>
      <c r="AS78" t="str">
        <f>TRIM(MID(SUBSTITUTE($G78, ",", REPT(" ", 100)), (COLUMNS($AJ$2:AS78)-1)*100+1, 100))</f>
        <v/>
      </c>
      <c r="AT78" t="str">
        <f>TRIM(MID(SUBSTITUTE($G78, ",", REPT(" ", 100)), (COLUMNS($AJ$2:AT78)-1)*100+1, 100))</f>
        <v/>
      </c>
      <c r="AU78" t="str">
        <f>TRIM(MID(SUBSTITUTE($G78, ",", REPT(" ", 100)), (COLUMNS($AJ$2:AU78)-1)*100+1, 100))</f>
        <v/>
      </c>
      <c r="AV78" t="str">
        <f>TRIM(MID(SUBSTITUTE($G78, ",", REPT(" ", 100)), (COLUMNS($AJ$2:AV78)-1)*100+1, 100))</f>
        <v/>
      </c>
      <c r="AW78" t="str">
        <f>TRIM(MID(SUBSTITUTE($G78, ",", REPT(" ", 100)), (COLUMNS($AJ$2:AW78)-1)*100+1, 100))</f>
        <v/>
      </c>
      <c r="AX78" t="str">
        <f>TRIM(MID(SUBSTITUTE($G78, ",", REPT(" ", 100)), (COLUMNS($AJ$2:AX78)-1)*100+1, 100))</f>
        <v/>
      </c>
      <c r="AY78" t="str">
        <f>TRIM(MID(SUBSTITUTE($G78, ",", REPT(" ", 100)), (COLUMNS($AJ$2:AY78)-1)*100+1, 100))</f>
        <v/>
      </c>
      <c r="AZ78" t="str">
        <f>TRIM(MID(SUBSTITUTE($G78, ",", REPT(" ", 100)), (COLUMNS($AJ$2:AZ78)-1)*100+1, 100))</f>
        <v/>
      </c>
      <c r="BA78" t="str">
        <f>TRIM(MID(SUBSTITUTE($G78, ",", REPT(" ", 100)), (COLUMNS($AJ$2:BA78)-1)*100+1, 100))</f>
        <v/>
      </c>
      <c r="BB78" t="str">
        <f>TRIM(MID(SUBSTITUTE($G78, ",", REPT(" ", 100)), (COLUMNS($AJ$2:BB78)-1)*100+1, 100))</f>
        <v/>
      </c>
      <c r="BC78" t="str">
        <f>TRIM(MID(SUBSTITUTE($G78, ",", REPT(" ", 100)), (COLUMNS($AJ$2:BC78)-1)*100+1, 100))</f>
        <v/>
      </c>
      <c r="BH78">
        <f t="shared" si="3"/>
        <v>1</v>
      </c>
    </row>
    <row r="79" spans="1:60" ht="14.7" thickBot="1" x14ac:dyDescent="0.55000000000000004">
      <c r="A79" s="32" t="s">
        <v>431</v>
      </c>
      <c r="B79" s="258">
        <v>46100</v>
      </c>
      <c r="C79" s="2">
        <v>8</v>
      </c>
      <c r="D79" s="272"/>
      <c r="E79" s="271"/>
      <c r="F79" s="260">
        <v>1</v>
      </c>
      <c r="G79" s="38" t="s">
        <v>176</v>
      </c>
      <c r="I79" s="38">
        <v>0</v>
      </c>
      <c r="AL79" t="str">
        <f>TRIM(MID(SUBSTITUTE($G79, ",", REPT(" ", 100)), (COLUMNS($AJ$2:AL79)-1)*100+1, 100))</f>
        <v/>
      </c>
      <c r="AM79" s="1">
        <v>45735</v>
      </c>
      <c r="AN79" s="2">
        <v>2</v>
      </c>
      <c r="AO79" s="2">
        <v>3</v>
      </c>
      <c r="AQ79" t="str">
        <f>TRIM(MID(SUBSTITUTE($G79, ",", REPT(" ", 100)), (COLUMNS($AJ$2:AQ79)-1)*100+1, 100))</f>
        <v/>
      </c>
      <c r="AR79" t="str">
        <f>TRIM(MID(SUBSTITUTE($G79, ",", REPT(" ", 100)), (COLUMNS($AJ$2:AR79)-1)*100+1, 100))</f>
        <v/>
      </c>
      <c r="AS79" t="str">
        <f>TRIM(MID(SUBSTITUTE($G79, ",", REPT(" ", 100)), (COLUMNS($AJ$2:AS79)-1)*100+1, 100))</f>
        <v/>
      </c>
      <c r="AT79" t="str">
        <f>TRIM(MID(SUBSTITUTE($G79, ",", REPT(" ", 100)), (COLUMNS($AJ$2:AT79)-1)*100+1, 100))</f>
        <v/>
      </c>
      <c r="AU79" t="str">
        <f>TRIM(MID(SUBSTITUTE($G79, ",", REPT(" ", 100)), (COLUMNS($AJ$2:AU79)-1)*100+1, 100))</f>
        <v/>
      </c>
      <c r="AV79" t="str">
        <f>TRIM(MID(SUBSTITUTE($G79, ",", REPT(" ", 100)), (COLUMNS($AJ$2:AV79)-1)*100+1, 100))</f>
        <v/>
      </c>
      <c r="AW79" t="str">
        <f>TRIM(MID(SUBSTITUTE($G79, ",", REPT(" ", 100)), (COLUMNS($AJ$2:AW79)-1)*100+1, 100))</f>
        <v/>
      </c>
      <c r="AX79" t="str">
        <f>TRIM(MID(SUBSTITUTE($G79, ",", REPT(" ", 100)), (COLUMNS($AJ$2:AX79)-1)*100+1, 100))</f>
        <v/>
      </c>
      <c r="AY79" t="str">
        <f>TRIM(MID(SUBSTITUTE($G79, ",", REPT(" ", 100)), (COLUMNS($AJ$2:AY79)-1)*100+1, 100))</f>
        <v/>
      </c>
      <c r="AZ79" t="str">
        <f>TRIM(MID(SUBSTITUTE($G79, ",", REPT(" ", 100)), (COLUMNS($AJ$2:AZ79)-1)*100+1, 100))</f>
        <v/>
      </c>
      <c r="BA79" t="str">
        <f>TRIM(MID(SUBSTITUTE($G79, ",", REPT(" ", 100)), (COLUMNS($AJ$2:BA79)-1)*100+1, 100))</f>
        <v/>
      </c>
      <c r="BB79" t="str">
        <f>TRIM(MID(SUBSTITUTE($G79, ",", REPT(" ", 100)), (COLUMNS($AJ$2:BB79)-1)*100+1, 100))</f>
        <v/>
      </c>
      <c r="BC79" t="str">
        <f>TRIM(MID(SUBSTITUTE($G79, ",", REPT(" ", 100)), (COLUMNS($AJ$2:BC79)-1)*100+1, 100))</f>
        <v/>
      </c>
      <c r="BH79">
        <f t="shared" si="3"/>
        <v>1</v>
      </c>
    </row>
    <row r="80" spans="1:60" x14ac:dyDescent="0.5">
      <c r="A80" s="32" t="s">
        <v>432</v>
      </c>
      <c r="B80" s="257">
        <v>46101</v>
      </c>
      <c r="C80" s="2">
        <v>4</v>
      </c>
      <c r="D80" s="272"/>
      <c r="E80" s="271"/>
      <c r="F80" s="260">
        <v>0</v>
      </c>
      <c r="G80" s="38" t="s">
        <v>520</v>
      </c>
      <c r="I80" s="38">
        <v>0</v>
      </c>
      <c r="M80" s="189" t="s">
        <v>207</v>
      </c>
      <c r="N80" s="189" t="s">
        <v>642</v>
      </c>
      <c r="AL80" t="str">
        <f>TRIM(MID(SUBSTITUTE($G80, ",", REPT(" ", 100)), (COLUMNS($AJ$2:AL80)-1)*100+1, 100))</f>
        <v/>
      </c>
      <c r="AM80" s="1">
        <v>45736</v>
      </c>
      <c r="AN80" s="2">
        <v>8</v>
      </c>
      <c r="AO80" s="2">
        <v>5</v>
      </c>
      <c r="AQ80" t="str">
        <f>TRIM(MID(SUBSTITUTE($G80, ",", REPT(" ", 100)), (COLUMNS($AJ$2:AQ80)-1)*100+1, 100))</f>
        <v/>
      </c>
      <c r="AR80" t="str">
        <f>TRIM(MID(SUBSTITUTE($G80, ",", REPT(" ", 100)), (COLUMNS($AJ$2:AR80)-1)*100+1, 100))</f>
        <v/>
      </c>
      <c r="AS80" t="str">
        <f>TRIM(MID(SUBSTITUTE($G80, ",", REPT(" ", 100)), (COLUMNS($AJ$2:AS80)-1)*100+1, 100))</f>
        <v/>
      </c>
      <c r="AT80" t="str">
        <f>TRIM(MID(SUBSTITUTE($G80, ",", REPT(" ", 100)), (COLUMNS($AJ$2:AT80)-1)*100+1, 100))</f>
        <v/>
      </c>
      <c r="AU80" t="str">
        <f>TRIM(MID(SUBSTITUTE($G80, ",", REPT(" ", 100)), (COLUMNS($AJ$2:AU80)-1)*100+1, 100))</f>
        <v/>
      </c>
      <c r="AV80" t="str">
        <f>TRIM(MID(SUBSTITUTE($G80, ",", REPT(" ", 100)), (COLUMNS($AJ$2:AV80)-1)*100+1, 100))</f>
        <v/>
      </c>
      <c r="AW80" t="str">
        <f>TRIM(MID(SUBSTITUTE($G80, ",", REPT(" ", 100)), (COLUMNS($AJ$2:AW80)-1)*100+1, 100))</f>
        <v/>
      </c>
      <c r="AX80" t="str">
        <f>TRIM(MID(SUBSTITUTE($G80, ",", REPT(" ", 100)), (COLUMNS($AJ$2:AX80)-1)*100+1, 100))</f>
        <v/>
      </c>
      <c r="AY80" t="str">
        <f>TRIM(MID(SUBSTITUTE($G80, ",", REPT(" ", 100)), (COLUMNS($AJ$2:AY80)-1)*100+1, 100))</f>
        <v/>
      </c>
      <c r="AZ80" t="str">
        <f>TRIM(MID(SUBSTITUTE($G80, ",", REPT(" ", 100)), (COLUMNS($AJ$2:AZ80)-1)*100+1, 100))</f>
        <v/>
      </c>
      <c r="BA80" t="str">
        <f>TRIM(MID(SUBSTITUTE($G80, ",", REPT(" ", 100)), (COLUMNS($AJ$2:BA80)-1)*100+1, 100))</f>
        <v/>
      </c>
      <c r="BB80" t="str">
        <f>TRIM(MID(SUBSTITUTE($G80, ",", REPT(" ", 100)), (COLUMNS($AJ$2:BB80)-1)*100+1, 100))</f>
        <v/>
      </c>
      <c r="BC80" t="str">
        <f>TRIM(MID(SUBSTITUTE($G80, ",", REPT(" ", 100)), (COLUMNS($AJ$2:BC80)-1)*100+1, 100))</f>
        <v/>
      </c>
      <c r="BH80">
        <f t="shared" si="3"/>
        <v>0.5</v>
      </c>
    </row>
    <row r="81" spans="1:60" ht="14.7" thickBot="1" x14ac:dyDescent="0.55000000000000004">
      <c r="A81" s="32" t="s">
        <v>433</v>
      </c>
      <c r="B81" s="258">
        <v>46102</v>
      </c>
      <c r="C81" s="2">
        <v>5</v>
      </c>
      <c r="D81" s="272"/>
      <c r="E81" s="271"/>
      <c r="F81" s="260">
        <v>1</v>
      </c>
      <c r="G81" s="38" t="s">
        <v>462</v>
      </c>
      <c r="I81" s="38">
        <v>0</v>
      </c>
      <c r="M81" s="31" t="s">
        <v>435</v>
      </c>
      <c r="N81" s="66">
        <f>AVERAGEIF(A2:A366, M81, C2:C366)</f>
        <v>5.8119047619047626</v>
      </c>
      <c r="AL81" t="str">
        <f>TRIM(MID(SUBSTITUTE($G81, ",", REPT(" ", 100)), (COLUMNS($AJ$2:AL81)-1)*100+1, 100))</f>
        <v/>
      </c>
      <c r="AM81" s="1">
        <v>45737</v>
      </c>
      <c r="AN81" s="2">
        <v>6</v>
      </c>
      <c r="AO81" s="2">
        <v>5</v>
      </c>
      <c r="AQ81" t="str">
        <f>TRIM(MID(SUBSTITUTE($G81, ",", REPT(" ", 100)), (COLUMNS($AJ$2:AQ81)-1)*100+1, 100))</f>
        <v/>
      </c>
      <c r="AR81" t="str">
        <f>TRIM(MID(SUBSTITUTE($G81, ",", REPT(" ", 100)), (COLUMNS($AJ$2:AR81)-1)*100+1, 100))</f>
        <v/>
      </c>
      <c r="AS81" t="str">
        <f>TRIM(MID(SUBSTITUTE($G81, ",", REPT(" ", 100)), (COLUMNS($AJ$2:AS81)-1)*100+1, 100))</f>
        <v/>
      </c>
      <c r="AT81" t="str">
        <f>TRIM(MID(SUBSTITUTE($G81, ",", REPT(" ", 100)), (COLUMNS($AJ$2:AT81)-1)*100+1, 100))</f>
        <v/>
      </c>
      <c r="AU81" t="str">
        <f>TRIM(MID(SUBSTITUTE($G81, ",", REPT(" ", 100)), (COLUMNS($AJ$2:AU81)-1)*100+1, 100))</f>
        <v/>
      </c>
      <c r="AV81" t="str">
        <f>TRIM(MID(SUBSTITUTE($G81, ",", REPT(" ", 100)), (COLUMNS($AJ$2:AV81)-1)*100+1, 100))</f>
        <v/>
      </c>
      <c r="AW81" t="str">
        <f>TRIM(MID(SUBSTITUTE($G81, ",", REPT(" ", 100)), (COLUMNS($AJ$2:AW81)-1)*100+1, 100))</f>
        <v/>
      </c>
      <c r="AX81" t="str">
        <f>TRIM(MID(SUBSTITUTE($G81, ",", REPT(" ", 100)), (COLUMNS($AJ$2:AX81)-1)*100+1, 100))</f>
        <v/>
      </c>
      <c r="AY81" t="str">
        <f>TRIM(MID(SUBSTITUTE($G81, ",", REPT(" ", 100)), (COLUMNS($AJ$2:AY81)-1)*100+1, 100))</f>
        <v/>
      </c>
      <c r="AZ81" t="str">
        <f>TRIM(MID(SUBSTITUTE($G81, ",", REPT(" ", 100)), (COLUMNS($AJ$2:AZ81)-1)*100+1, 100))</f>
        <v/>
      </c>
      <c r="BA81" t="str">
        <f>TRIM(MID(SUBSTITUTE($G81, ",", REPT(" ", 100)), (COLUMNS($AJ$2:BA81)-1)*100+1, 100))</f>
        <v/>
      </c>
      <c r="BB81" t="str">
        <f>TRIM(MID(SUBSTITUTE($G81, ",", REPT(" ", 100)), (COLUMNS($AJ$2:BB81)-1)*100+1, 100))</f>
        <v/>
      </c>
      <c r="BC81" t="str">
        <f>TRIM(MID(SUBSTITUTE($G81, ",", REPT(" ", 100)), (COLUMNS($AJ$2:BC81)-1)*100+1, 100))</f>
        <v/>
      </c>
      <c r="BH81">
        <f t="shared" si="3"/>
        <v>1</v>
      </c>
    </row>
    <row r="82" spans="1:60" x14ac:dyDescent="0.5">
      <c r="A82" s="32" t="s">
        <v>434</v>
      </c>
      <c r="B82" s="257">
        <v>46103</v>
      </c>
      <c r="C82" s="2">
        <v>5.9</v>
      </c>
      <c r="D82" s="272"/>
      <c r="E82" s="271"/>
      <c r="F82" s="260">
        <v>1</v>
      </c>
      <c r="G82" s="38" t="s">
        <v>462</v>
      </c>
      <c r="I82" s="38">
        <v>0</v>
      </c>
      <c r="M82" s="31" t="s">
        <v>436</v>
      </c>
      <c r="N82" s="66">
        <f>AVERAGEIF(A2:A366, M82, C2:C366)</f>
        <v>5.7833333333333323</v>
      </c>
      <c r="AL82" t="str">
        <f>TRIM(MID(SUBSTITUTE($G82, ",", REPT(" ", 100)), (COLUMNS($AJ$2:AL82)-1)*100+1, 100))</f>
        <v/>
      </c>
      <c r="AM82" s="1">
        <v>45738</v>
      </c>
      <c r="AN82" s="2">
        <v>8</v>
      </c>
      <c r="AO82" s="2">
        <v>7.5</v>
      </c>
      <c r="AQ82" t="str">
        <f>TRIM(MID(SUBSTITUTE($G82, ",", REPT(" ", 100)), (COLUMNS($AJ$2:AQ82)-1)*100+1, 100))</f>
        <v/>
      </c>
      <c r="AR82" t="str">
        <f>TRIM(MID(SUBSTITUTE($G82, ",", REPT(" ", 100)), (COLUMNS($AJ$2:AR82)-1)*100+1, 100))</f>
        <v/>
      </c>
      <c r="AS82" t="str">
        <f>TRIM(MID(SUBSTITUTE($G82, ",", REPT(" ", 100)), (COLUMNS($AJ$2:AS82)-1)*100+1, 100))</f>
        <v/>
      </c>
      <c r="AT82" t="str">
        <f>TRIM(MID(SUBSTITUTE($G82, ",", REPT(" ", 100)), (COLUMNS($AJ$2:AT82)-1)*100+1, 100))</f>
        <v/>
      </c>
      <c r="AU82" t="str">
        <f>TRIM(MID(SUBSTITUTE($G82, ",", REPT(" ", 100)), (COLUMNS($AJ$2:AU82)-1)*100+1, 100))</f>
        <v/>
      </c>
      <c r="AV82" t="str">
        <f>TRIM(MID(SUBSTITUTE($G82, ",", REPT(" ", 100)), (COLUMNS($AJ$2:AV82)-1)*100+1, 100))</f>
        <v/>
      </c>
      <c r="AW82" t="str">
        <f>TRIM(MID(SUBSTITUTE($G82, ",", REPT(" ", 100)), (COLUMNS($AJ$2:AW82)-1)*100+1, 100))</f>
        <v/>
      </c>
      <c r="AX82" t="str">
        <f>TRIM(MID(SUBSTITUTE($G82, ",", REPT(" ", 100)), (COLUMNS($AJ$2:AX82)-1)*100+1, 100))</f>
        <v/>
      </c>
      <c r="AY82" t="str">
        <f>TRIM(MID(SUBSTITUTE($G82, ",", REPT(" ", 100)), (COLUMNS($AJ$2:AY82)-1)*100+1, 100))</f>
        <v/>
      </c>
      <c r="AZ82" t="str">
        <f>TRIM(MID(SUBSTITUTE($G82, ",", REPT(" ", 100)), (COLUMNS($AJ$2:AZ82)-1)*100+1, 100))</f>
        <v/>
      </c>
      <c r="BA82" t="str">
        <f>TRIM(MID(SUBSTITUTE($G82, ",", REPT(" ", 100)), (COLUMNS($AJ$2:BA82)-1)*100+1, 100))</f>
        <v/>
      </c>
      <c r="BB82" t="str">
        <f>TRIM(MID(SUBSTITUTE($G82, ",", REPT(" ", 100)), (COLUMNS($AJ$2:BB82)-1)*100+1, 100))</f>
        <v/>
      </c>
      <c r="BC82" t="str">
        <f>TRIM(MID(SUBSTITUTE($G82, ",", REPT(" ", 100)), (COLUMNS($AJ$2:BC82)-1)*100+1, 100))</f>
        <v/>
      </c>
      <c r="BH82">
        <f t="shared" si="3"/>
        <v>1</v>
      </c>
    </row>
    <row r="83" spans="1:60" ht="14.7" thickBot="1" x14ac:dyDescent="0.55000000000000004">
      <c r="A83" s="32" t="s">
        <v>435</v>
      </c>
      <c r="B83" s="258">
        <v>46104</v>
      </c>
      <c r="C83" s="2">
        <v>6</v>
      </c>
      <c r="D83" s="272"/>
      <c r="E83" s="271"/>
      <c r="F83" s="260">
        <v>0</v>
      </c>
      <c r="G83" s="38" t="s">
        <v>462</v>
      </c>
      <c r="I83" s="38">
        <v>0</v>
      </c>
      <c r="M83" s="31" t="s">
        <v>437</v>
      </c>
      <c r="N83" s="66">
        <f>AVERAGEIF(A2:A366, M83, C2:C366)</f>
        <v>5.6714285714285708</v>
      </c>
      <c r="AL83" t="str">
        <f>TRIM(MID(SUBSTITUTE($G83, ",", REPT(" ", 100)), (COLUMNS($AJ$2:AL83)-1)*100+1, 100))</f>
        <v/>
      </c>
      <c r="AM83" s="1">
        <v>45739</v>
      </c>
      <c r="AN83" s="2">
        <v>6</v>
      </c>
      <c r="AO83" s="2">
        <v>7</v>
      </c>
      <c r="AQ83" t="str">
        <f>TRIM(MID(SUBSTITUTE($G83, ",", REPT(" ", 100)), (COLUMNS($AJ$2:AQ83)-1)*100+1, 100))</f>
        <v/>
      </c>
      <c r="AR83" t="str">
        <f>TRIM(MID(SUBSTITUTE($G83, ",", REPT(" ", 100)), (COLUMNS($AJ$2:AR83)-1)*100+1, 100))</f>
        <v/>
      </c>
      <c r="AS83" t="str">
        <f>TRIM(MID(SUBSTITUTE($G83, ",", REPT(" ", 100)), (COLUMNS($AJ$2:AS83)-1)*100+1, 100))</f>
        <v/>
      </c>
      <c r="AT83" t="str">
        <f>TRIM(MID(SUBSTITUTE($G83, ",", REPT(" ", 100)), (COLUMNS($AJ$2:AT83)-1)*100+1, 100))</f>
        <v/>
      </c>
      <c r="AU83" t="str">
        <f>TRIM(MID(SUBSTITUTE($G83, ",", REPT(" ", 100)), (COLUMNS($AJ$2:AU83)-1)*100+1, 100))</f>
        <v/>
      </c>
      <c r="AV83" t="str">
        <f>TRIM(MID(SUBSTITUTE($G83, ",", REPT(" ", 100)), (COLUMNS($AJ$2:AV83)-1)*100+1, 100))</f>
        <v/>
      </c>
      <c r="AW83" t="str">
        <f>TRIM(MID(SUBSTITUTE($G83, ",", REPT(" ", 100)), (COLUMNS($AJ$2:AW83)-1)*100+1, 100))</f>
        <v/>
      </c>
      <c r="AX83" t="str">
        <f>TRIM(MID(SUBSTITUTE($G83, ",", REPT(" ", 100)), (COLUMNS($AJ$2:AX83)-1)*100+1, 100))</f>
        <v/>
      </c>
      <c r="AY83" t="str">
        <f>TRIM(MID(SUBSTITUTE($G83, ",", REPT(" ", 100)), (COLUMNS($AJ$2:AY83)-1)*100+1, 100))</f>
        <v/>
      </c>
      <c r="AZ83" t="str">
        <f>TRIM(MID(SUBSTITUTE($G83, ",", REPT(" ", 100)), (COLUMNS($AJ$2:AZ83)-1)*100+1, 100))</f>
        <v/>
      </c>
      <c r="BA83" t="str">
        <f>TRIM(MID(SUBSTITUTE($G83, ",", REPT(" ", 100)), (COLUMNS($AJ$2:BA83)-1)*100+1, 100))</f>
        <v/>
      </c>
      <c r="BB83" t="str">
        <f>TRIM(MID(SUBSTITUTE($G83, ",", REPT(" ", 100)), (COLUMNS($AJ$2:BB83)-1)*100+1, 100))</f>
        <v/>
      </c>
      <c r="BC83" t="str">
        <f>TRIM(MID(SUBSTITUTE($G83, ",", REPT(" ", 100)), (COLUMNS($AJ$2:BC83)-1)*100+1, 100))</f>
        <v/>
      </c>
      <c r="BH83">
        <f t="shared" si="3"/>
        <v>1</v>
      </c>
    </row>
    <row r="84" spans="1:60" x14ac:dyDescent="0.5">
      <c r="A84" s="32" t="s">
        <v>436</v>
      </c>
      <c r="B84" s="257">
        <v>46105</v>
      </c>
      <c r="C84" s="2">
        <v>7</v>
      </c>
      <c r="D84" s="272"/>
      <c r="E84" s="271"/>
      <c r="F84" s="260">
        <v>0</v>
      </c>
      <c r="G84" s="38" t="s">
        <v>462</v>
      </c>
      <c r="I84" s="38">
        <v>0</v>
      </c>
      <c r="M84" s="31" t="s">
        <v>431</v>
      </c>
      <c r="N84" s="66">
        <f>AVERAGEIF(A2:A366, M84, C2:C366)</f>
        <v>6.0930232558139537</v>
      </c>
      <c r="AL84" t="str">
        <f>TRIM(MID(SUBSTITUTE($G84, ",", REPT(" ", 100)), (COLUMNS($AJ$2:AL84)-1)*100+1, 100))</f>
        <v/>
      </c>
      <c r="AM84" s="1">
        <v>45740</v>
      </c>
      <c r="AN84" s="2">
        <v>2</v>
      </c>
      <c r="AO84" s="2">
        <v>4.5</v>
      </c>
      <c r="AQ84" t="str">
        <f>TRIM(MID(SUBSTITUTE($G84, ",", REPT(" ", 100)), (COLUMNS($AJ$2:AQ84)-1)*100+1, 100))</f>
        <v/>
      </c>
      <c r="AR84" t="str">
        <f>TRIM(MID(SUBSTITUTE($G84, ",", REPT(" ", 100)), (COLUMNS($AJ$2:AR84)-1)*100+1, 100))</f>
        <v/>
      </c>
      <c r="AS84" t="str">
        <f>TRIM(MID(SUBSTITUTE($G84, ",", REPT(" ", 100)), (COLUMNS($AJ$2:AS84)-1)*100+1, 100))</f>
        <v/>
      </c>
      <c r="AT84" t="str">
        <f>TRIM(MID(SUBSTITUTE($G84, ",", REPT(" ", 100)), (COLUMNS($AJ$2:AT84)-1)*100+1, 100))</f>
        <v/>
      </c>
      <c r="AU84" t="str">
        <f>TRIM(MID(SUBSTITUTE($G84, ",", REPT(" ", 100)), (COLUMNS($AJ$2:AU84)-1)*100+1, 100))</f>
        <v/>
      </c>
      <c r="AV84" t="str">
        <f>TRIM(MID(SUBSTITUTE($G84, ",", REPT(" ", 100)), (COLUMNS($AJ$2:AV84)-1)*100+1, 100))</f>
        <v/>
      </c>
      <c r="AW84" t="str">
        <f>TRIM(MID(SUBSTITUTE($G84, ",", REPT(" ", 100)), (COLUMNS($AJ$2:AW84)-1)*100+1, 100))</f>
        <v/>
      </c>
      <c r="AX84" t="str">
        <f>TRIM(MID(SUBSTITUTE($G84, ",", REPT(" ", 100)), (COLUMNS($AJ$2:AX84)-1)*100+1, 100))</f>
        <v/>
      </c>
      <c r="AY84" t="str">
        <f>TRIM(MID(SUBSTITUTE($G84, ",", REPT(" ", 100)), (COLUMNS($AJ$2:AY84)-1)*100+1, 100))</f>
        <v/>
      </c>
      <c r="AZ84" t="str">
        <f>TRIM(MID(SUBSTITUTE($G84, ",", REPT(" ", 100)), (COLUMNS($AJ$2:AZ84)-1)*100+1, 100))</f>
        <v/>
      </c>
      <c r="BA84" t="str">
        <f>TRIM(MID(SUBSTITUTE($G84, ",", REPT(" ", 100)), (COLUMNS($AJ$2:BA84)-1)*100+1, 100))</f>
        <v/>
      </c>
      <c r="BB84" t="str">
        <f>TRIM(MID(SUBSTITUTE($G84, ",", REPT(" ", 100)), (COLUMNS($AJ$2:BB84)-1)*100+1, 100))</f>
        <v/>
      </c>
      <c r="BC84" t="str">
        <f>TRIM(MID(SUBSTITUTE($G84, ",", REPT(" ", 100)), (COLUMNS($AJ$2:BC84)-1)*100+1, 100))</f>
        <v/>
      </c>
      <c r="BH84">
        <f t="shared" si="3"/>
        <v>1</v>
      </c>
    </row>
    <row r="85" spans="1:60" ht="14.7" thickBot="1" x14ac:dyDescent="0.55000000000000004">
      <c r="A85" s="32" t="s">
        <v>437</v>
      </c>
      <c r="B85" s="258">
        <v>46106</v>
      </c>
      <c r="C85" s="2">
        <v>6.5</v>
      </c>
      <c r="D85" s="272"/>
      <c r="E85" s="271"/>
      <c r="F85" s="260">
        <v>1</v>
      </c>
      <c r="G85" s="38" t="s">
        <v>462</v>
      </c>
      <c r="I85" s="38">
        <v>0</v>
      </c>
      <c r="M85" s="31" t="s">
        <v>432</v>
      </c>
      <c r="N85" s="66">
        <f>AVERAGEIF(A2:A366, M85, C2:C366)</f>
        <v>6.1790697674418613</v>
      </c>
      <c r="AL85" t="str">
        <f>TRIM(MID(SUBSTITUTE($G85, ",", REPT(" ", 100)), (COLUMNS($AJ$2:AL85)-1)*100+1, 100))</f>
        <v/>
      </c>
      <c r="AM85" s="1">
        <v>45741</v>
      </c>
      <c r="AN85" s="2">
        <v>8</v>
      </c>
      <c r="AO85" s="2">
        <v>5.5</v>
      </c>
      <c r="AQ85" t="str">
        <f>TRIM(MID(SUBSTITUTE($G85, ",", REPT(" ", 100)), (COLUMNS($AJ$2:AQ85)-1)*100+1, 100))</f>
        <v/>
      </c>
      <c r="AR85" t="str">
        <f>TRIM(MID(SUBSTITUTE($G85, ",", REPT(" ", 100)), (COLUMNS($AJ$2:AR85)-1)*100+1, 100))</f>
        <v/>
      </c>
      <c r="AS85" t="str">
        <f>TRIM(MID(SUBSTITUTE($G85, ",", REPT(" ", 100)), (COLUMNS($AJ$2:AS85)-1)*100+1, 100))</f>
        <v/>
      </c>
      <c r="AT85" t="str">
        <f>TRIM(MID(SUBSTITUTE($G85, ",", REPT(" ", 100)), (COLUMNS($AJ$2:AT85)-1)*100+1, 100))</f>
        <v/>
      </c>
      <c r="AU85" t="str">
        <f>TRIM(MID(SUBSTITUTE($G85, ",", REPT(" ", 100)), (COLUMNS($AJ$2:AU85)-1)*100+1, 100))</f>
        <v/>
      </c>
      <c r="AV85" t="str">
        <f>TRIM(MID(SUBSTITUTE($G85, ",", REPT(" ", 100)), (COLUMNS($AJ$2:AV85)-1)*100+1, 100))</f>
        <v/>
      </c>
      <c r="AW85" t="str">
        <f>TRIM(MID(SUBSTITUTE($G85, ",", REPT(" ", 100)), (COLUMNS($AJ$2:AW85)-1)*100+1, 100))</f>
        <v/>
      </c>
      <c r="AX85" t="str">
        <f>TRIM(MID(SUBSTITUTE($G85, ",", REPT(" ", 100)), (COLUMNS($AJ$2:AX85)-1)*100+1, 100))</f>
        <v/>
      </c>
      <c r="AY85" t="str">
        <f>TRIM(MID(SUBSTITUTE($G85, ",", REPT(" ", 100)), (COLUMNS($AJ$2:AY85)-1)*100+1, 100))</f>
        <v/>
      </c>
      <c r="AZ85" t="str">
        <f>TRIM(MID(SUBSTITUTE($G85, ",", REPT(" ", 100)), (COLUMNS($AJ$2:AZ85)-1)*100+1, 100))</f>
        <v/>
      </c>
      <c r="BA85" t="str">
        <f>TRIM(MID(SUBSTITUTE($G85, ",", REPT(" ", 100)), (COLUMNS($AJ$2:BA85)-1)*100+1, 100))</f>
        <v/>
      </c>
      <c r="BB85" t="str">
        <f>TRIM(MID(SUBSTITUTE($G85, ",", REPT(" ", 100)), (COLUMNS($AJ$2:BB85)-1)*100+1, 100))</f>
        <v/>
      </c>
      <c r="BC85" t="str">
        <f>TRIM(MID(SUBSTITUTE($G85, ",", REPT(" ", 100)), (COLUMNS($AJ$2:BC85)-1)*100+1, 100))</f>
        <v/>
      </c>
      <c r="BH85">
        <f t="shared" si="3"/>
        <v>1</v>
      </c>
    </row>
    <row r="86" spans="1:60" x14ac:dyDescent="0.5">
      <c r="A86" s="32" t="s">
        <v>431</v>
      </c>
      <c r="B86" s="257">
        <v>46107</v>
      </c>
      <c r="C86" s="2">
        <v>5.9</v>
      </c>
      <c r="D86" s="272"/>
      <c r="E86" s="271"/>
      <c r="F86" s="260">
        <v>0</v>
      </c>
      <c r="G86" s="38" t="s">
        <v>462</v>
      </c>
      <c r="I86" s="38">
        <v>0</v>
      </c>
      <c r="M86" s="31" t="s">
        <v>433</v>
      </c>
      <c r="N86" s="66">
        <f>AVERAGEIF(A2:A366, M86, C2:C366)</f>
        <v>6.3738095238095234</v>
      </c>
      <c r="AL86" t="str">
        <f>TRIM(MID(SUBSTITUTE($G86, ",", REPT(" ", 100)), (COLUMNS($AJ$2:AL86)-1)*100+1, 100))</f>
        <v/>
      </c>
      <c r="AM86" s="1">
        <v>45742</v>
      </c>
      <c r="AN86" s="2">
        <v>6</v>
      </c>
      <c r="AO86" s="2">
        <v>6</v>
      </c>
      <c r="AQ86" t="str">
        <f>TRIM(MID(SUBSTITUTE($G86, ",", REPT(" ", 100)), (COLUMNS($AJ$2:AQ86)-1)*100+1, 100))</f>
        <v/>
      </c>
      <c r="AR86" t="str">
        <f>TRIM(MID(SUBSTITUTE($G86, ",", REPT(" ", 100)), (COLUMNS($AJ$2:AR86)-1)*100+1, 100))</f>
        <v/>
      </c>
      <c r="AS86" t="str">
        <f>TRIM(MID(SUBSTITUTE($G86, ",", REPT(" ", 100)), (COLUMNS($AJ$2:AS86)-1)*100+1, 100))</f>
        <v/>
      </c>
      <c r="AT86" t="str">
        <f>TRIM(MID(SUBSTITUTE($G86, ",", REPT(" ", 100)), (COLUMNS($AJ$2:AT86)-1)*100+1, 100))</f>
        <v/>
      </c>
      <c r="AU86" t="str">
        <f>TRIM(MID(SUBSTITUTE($G86, ",", REPT(" ", 100)), (COLUMNS($AJ$2:AU86)-1)*100+1, 100))</f>
        <v/>
      </c>
      <c r="AV86" t="str">
        <f>TRIM(MID(SUBSTITUTE($G86, ",", REPT(" ", 100)), (COLUMNS($AJ$2:AV86)-1)*100+1, 100))</f>
        <v/>
      </c>
      <c r="AW86" t="str">
        <f>TRIM(MID(SUBSTITUTE($G86, ",", REPT(" ", 100)), (COLUMNS($AJ$2:AW86)-1)*100+1, 100))</f>
        <v/>
      </c>
      <c r="AX86" t="str">
        <f>TRIM(MID(SUBSTITUTE($G86, ",", REPT(" ", 100)), (COLUMNS($AJ$2:AX86)-1)*100+1, 100))</f>
        <v/>
      </c>
      <c r="AY86" t="str">
        <f>TRIM(MID(SUBSTITUTE($G86, ",", REPT(" ", 100)), (COLUMNS($AJ$2:AY86)-1)*100+1, 100))</f>
        <v/>
      </c>
      <c r="AZ86" t="str">
        <f>TRIM(MID(SUBSTITUTE($G86, ",", REPT(" ", 100)), (COLUMNS($AJ$2:AZ86)-1)*100+1, 100))</f>
        <v/>
      </c>
      <c r="BA86" t="str">
        <f>TRIM(MID(SUBSTITUTE($G86, ",", REPT(" ", 100)), (COLUMNS($AJ$2:BA86)-1)*100+1, 100))</f>
        <v/>
      </c>
      <c r="BB86" t="str">
        <f>TRIM(MID(SUBSTITUTE($G86, ",", REPT(" ", 100)), (COLUMNS($AJ$2:BB86)-1)*100+1, 100))</f>
        <v/>
      </c>
      <c r="BC86" t="str">
        <f>TRIM(MID(SUBSTITUTE($G86, ",", REPT(" ", 100)), (COLUMNS($AJ$2:BC86)-1)*100+1, 100))</f>
        <v/>
      </c>
      <c r="BH86">
        <f t="shared" si="3"/>
        <v>1</v>
      </c>
    </row>
    <row r="87" spans="1:60" ht="14.7" thickBot="1" x14ac:dyDescent="0.55000000000000004">
      <c r="A87" s="32" t="s">
        <v>432</v>
      </c>
      <c r="B87" s="258">
        <v>46108</v>
      </c>
      <c r="C87" s="2">
        <v>6.2</v>
      </c>
      <c r="D87" s="272"/>
      <c r="E87" s="271"/>
      <c r="F87" s="260">
        <v>1</v>
      </c>
      <c r="G87" s="38" t="s">
        <v>462</v>
      </c>
      <c r="I87" s="38">
        <v>0</v>
      </c>
      <c r="M87" s="31" t="s">
        <v>434</v>
      </c>
      <c r="N87" s="66">
        <f>AVERAGEIF(A2:A366, M87, C2:C366)</f>
        <v>6.2404761904761896</v>
      </c>
      <c r="AL87" t="str">
        <f>TRIM(MID(SUBSTITUTE($G87, ",", REPT(" ", 100)), (COLUMNS($AJ$2:AL87)-1)*100+1, 100))</f>
        <v/>
      </c>
      <c r="AM87" s="1">
        <v>45743</v>
      </c>
      <c r="AN87" s="2">
        <v>4</v>
      </c>
      <c r="AO87" s="2">
        <v>5.2</v>
      </c>
      <c r="AQ87" t="str">
        <f>TRIM(MID(SUBSTITUTE($G87, ",", REPT(" ", 100)), (COLUMNS($AJ$2:AQ87)-1)*100+1, 100))</f>
        <v/>
      </c>
      <c r="AR87" t="str">
        <f>TRIM(MID(SUBSTITUTE($G87, ",", REPT(" ", 100)), (COLUMNS($AJ$2:AR87)-1)*100+1, 100))</f>
        <v/>
      </c>
      <c r="AS87" t="str">
        <f>TRIM(MID(SUBSTITUTE($G87, ",", REPT(" ", 100)), (COLUMNS($AJ$2:AS87)-1)*100+1, 100))</f>
        <v/>
      </c>
      <c r="AT87" t="str">
        <f>TRIM(MID(SUBSTITUTE($G87, ",", REPT(" ", 100)), (COLUMNS($AJ$2:AT87)-1)*100+1, 100))</f>
        <v/>
      </c>
      <c r="AU87" t="str">
        <f>TRIM(MID(SUBSTITUTE($G87, ",", REPT(" ", 100)), (COLUMNS($AJ$2:AU87)-1)*100+1, 100))</f>
        <v/>
      </c>
      <c r="AV87" t="str">
        <f>TRIM(MID(SUBSTITUTE($G87, ",", REPT(" ", 100)), (COLUMNS($AJ$2:AV87)-1)*100+1, 100))</f>
        <v/>
      </c>
      <c r="AW87" t="str">
        <f>TRIM(MID(SUBSTITUTE($G87, ",", REPT(" ", 100)), (COLUMNS($AJ$2:AW87)-1)*100+1, 100))</f>
        <v/>
      </c>
      <c r="AX87" t="str">
        <f>TRIM(MID(SUBSTITUTE($G87, ",", REPT(" ", 100)), (COLUMNS($AJ$2:AX87)-1)*100+1, 100))</f>
        <v/>
      </c>
      <c r="AY87" t="str">
        <f>TRIM(MID(SUBSTITUTE($G87, ",", REPT(" ", 100)), (COLUMNS($AJ$2:AY87)-1)*100+1, 100))</f>
        <v/>
      </c>
      <c r="AZ87" t="str">
        <f>TRIM(MID(SUBSTITUTE($G87, ",", REPT(" ", 100)), (COLUMNS($AJ$2:AZ87)-1)*100+1, 100))</f>
        <v/>
      </c>
      <c r="BA87" t="str">
        <f>TRIM(MID(SUBSTITUTE($G87, ",", REPT(" ", 100)), (COLUMNS($AJ$2:BA87)-1)*100+1, 100))</f>
        <v/>
      </c>
      <c r="BB87" t="str">
        <f>TRIM(MID(SUBSTITUTE($G87, ",", REPT(" ", 100)), (COLUMNS($AJ$2:BB87)-1)*100+1, 100))</f>
        <v/>
      </c>
      <c r="BC87" t="str">
        <f>TRIM(MID(SUBSTITUTE($G87, ",", REPT(" ", 100)), (COLUMNS($AJ$2:BC87)-1)*100+1, 100))</f>
        <v/>
      </c>
      <c r="BH87">
        <f t="shared" si="3"/>
        <v>1</v>
      </c>
    </row>
    <row r="88" spans="1:60" x14ac:dyDescent="0.5">
      <c r="A88" s="32" t="s">
        <v>433</v>
      </c>
      <c r="B88" s="257">
        <v>46109</v>
      </c>
      <c r="C88" s="2">
        <v>5.5</v>
      </c>
      <c r="D88" s="272"/>
      <c r="E88" s="271"/>
      <c r="F88" s="260">
        <v>1</v>
      </c>
      <c r="G88" s="38" t="s">
        <v>462</v>
      </c>
      <c r="I88" s="38">
        <v>0</v>
      </c>
      <c r="AL88" t="str">
        <f>TRIM(MID(SUBSTITUTE($G88, ",", REPT(" ", 100)), (COLUMNS($AJ$2:AL88)-1)*100+1, 100))</f>
        <v/>
      </c>
      <c r="AM88" s="1">
        <v>45744</v>
      </c>
      <c r="AN88" s="2">
        <v>6</v>
      </c>
      <c r="AO88" s="2">
        <v>4.5</v>
      </c>
      <c r="AQ88" t="str">
        <f>TRIM(MID(SUBSTITUTE($G88, ",", REPT(" ", 100)), (COLUMNS($AJ$2:AQ88)-1)*100+1, 100))</f>
        <v/>
      </c>
      <c r="AR88" t="str">
        <f>TRIM(MID(SUBSTITUTE($G88, ",", REPT(" ", 100)), (COLUMNS($AJ$2:AR88)-1)*100+1, 100))</f>
        <v/>
      </c>
      <c r="AS88" t="str">
        <f>TRIM(MID(SUBSTITUTE($G88, ",", REPT(" ", 100)), (COLUMNS($AJ$2:AS88)-1)*100+1, 100))</f>
        <v/>
      </c>
      <c r="AT88" t="str">
        <f>TRIM(MID(SUBSTITUTE($G88, ",", REPT(" ", 100)), (COLUMNS($AJ$2:AT88)-1)*100+1, 100))</f>
        <v/>
      </c>
      <c r="AU88" t="str">
        <f>TRIM(MID(SUBSTITUTE($G88, ",", REPT(" ", 100)), (COLUMNS($AJ$2:AU88)-1)*100+1, 100))</f>
        <v/>
      </c>
      <c r="AV88" t="str">
        <f>TRIM(MID(SUBSTITUTE($G88, ",", REPT(" ", 100)), (COLUMNS($AJ$2:AV88)-1)*100+1, 100))</f>
        <v/>
      </c>
      <c r="AW88" t="str">
        <f>TRIM(MID(SUBSTITUTE($G88, ",", REPT(" ", 100)), (COLUMNS($AJ$2:AW88)-1)*100+1, 100))</f>
        <v/>
      </c>
      <c r="AX88" t="str">
        <f>TRIM(MID(SUBSTITUTE($G88, ",", REPT(" ", 100)), (COLUMNS($AJ$2:AX88)-1)*100+1, 100))</f>
        <v/>
      </c>
      <c r="AY88" t="str">
        <f>TRIM(MID(SUBSTITUTE($G88, ",", REPT(" ", 100)), (COLUMNS($AJ$2:AY88)-1)*100+1, 100))</f>
        <v/>
      </c>
      <c r="AZ88" t="str">
        <f>TRIM(MID(SUBSTITUTE($G88, ",", REPT(" ", 100)), (COLUMNS($AJ$2:AZ88)-1)*100+1, 100))</f>
        <v/>
      </c>
      <c r="BA88" t="str">
        <f>TRIM(MID(SUBSTITUTE($G88, ",", REPT(" ", 100)), (COLUMNS($AJ$2:BA88)-1)*100+1, 100))</f>
        <v/>
      </c>
      <c r="BB88" t="str">
        <f>TRIM(MID(SUBSTITUTE($G88, ",", REPT(" ", 100)), (COLUMNS($AJ$2:BB88)-1)*100+1, 100))</f>
        <v/>
      </c>
      <c r="BC88" t="str">
        <f>TRIM(MID(SUBSTITUTE($G88, ",", REPT(" ", 100)), (COLUMNS($AJ$2:BC88)-1)*100+1, 100))</f>
        <v/>
      </c>
      <c r="BH88">
        <f t="shared" si="3"/>
        <v>1</v>
      </c>
    </row>
    <row r="89" spans="1:60" ht="14.7" thickBot="1" x14ac:dyDescent="0.55000000000000004">
      <c r="A89" s="32" t="s">
        <v>434</v>
      </c>
      <c r="B89" s="258">
        <v>46110</v>
      </c>
      <c r="C89" s="2">
        <v>5.5</v>
      </c>
      <c r="D89" s="272"/>
      <c r="E89" s="271"/>
      <c r="F89" s="260">
        <v>0</v>
      </c>
      <c r="G89" s="38" t="s">
        <v>462</v>
      </c>
      <c r="I89" s="38">
        <v>0</v>
      </c>
      <c r="AL89" t="str">
        <f>TRIM(MID(SUBSTITUTE($G89, ",", REPT(" ", 100)), (COLUMNS($AJ$2:AL89)-1)*100+1, 100))</f>
        <v/>
      </c>
      <c r="AM89" s="1">
        <v>45745</v>
      </c>
      <c r="AN89" s="2">
        <v>4</v>
      </c>
      <c r="AO89" s="2">
        <v>4</v>
      </c>
      <c r="AQ89" t="str">
        <f>TRIM(MID(SUBSTITUTE($G89, ",", REPT(" ", 100)), (COLUMNS($AJ$2:AQ89)-1)*100+1, 100))</f>
        <v/>
      </c>
      <c r="AR89" t="str">
        <f>TRIM(MID(SUBSTITUTE($G89, ",", REPT(" ", 100)), (COLUMNS($AJ$2:AR89)-1)*100+1, 100))</f>
        <v/>
      </c>
      <c r="AS89" t="str">
        <f>TRIM(MID(SUBSTITUTE($G89, ",", REPT(" ", 100)), (COLUMNS($AJ$2:AS89)-1)*100+1, 100))</f>
        <v/>
      </c>
      <c r="AT89" t="str">
        <f>TRIM(MID(SUBSTITUTE($G89, ",", REPT(" ", 100)), (COLUMNS($AJ$2:AT89)-1)*100+1, 100))</f>
        <v/>
      </c>
      <c r="AU89" t="str">
        <f>TRIM(MID(SUBSTITUTE($G89, ",", REPT(" ", 100)), (COLUMNS($AJ$2:AU89)-1)*100+1, 100))</f>
        <v/>
      </c>
      <c r="AV89" t="str">
        <f>TRIM(MID(SUBSTITUTE($G89, ",", REPT(" ", 100)), (COLUMNS($AJ$2:AV89)-1)*100+1, 100))</f>
        <v/>
      </c>
      <c r="AW89" t="str">
        <f>TRIM(MID(SUBSTITUTE($G89, ",", REPT(" ", 100)), (COLUMNS($AJ$2:AW89)-1)*100+1, 100))</f>
        <v/>
      </c>
      <c r="AX89" t="str">
        <f>TRIM(MID(SUBSTITUTE($G89, ",", REPT(" ", 100)), (COLUMNS($AJ$2:AX89)-1)*100+1, 100))</f>
        <v/>
      </c>
      <c r="AY89" t="str">
        <f>TRIM(MID(SUBSTITUTE($G89, ",", REPT(" ", 100)), (COLUMNS($AJ$2:AY89)-1)*100+1, 100))</f>
        <v/>
      </c>
      <c r="AZ89" t="str">
        <f>TRIM(MID(SUBSTITUTE($G89, ",", REPT(" ", 100)), (COLUMNS($AJ$2:AZ89)-1)*100+1, 100))</f>
        <v/>
      </c>
      <c r="BA89" t="str">
        <f>TRIM(MID(SUBSTITUTE($G89, ",", REPT(" ", 100)), (COLUMNS($AJ$2:BA89)-1)*100+1, 100))</f>
        <v/>
      </c>
      <c r="BB89" t="str">
        <f>TRIM(MID(SUBSTITUTE($G89, ",", REPT(" ", 100)), (COLUMNS($AJ$2:BB89)-1)*100+1, 100))</f>
        <v/>
      </c>
      <c r="BC89" t="str">
        <f>TRIM(MID(SUBSTITUTE($G89, ",", REPT(" ", 100)), (COLUMNS($AJ$2:BC89)-1)*100+1, 100))</f>
        <v/>
      </c>
      <c r="BH89">
        <f t="shared" si="3"/>
        <v>1</v>
      </c>
    </row>
    <row r="90" spans="1:60" x14ac:dyDescent="0.5">
      <c r="A90" s="32" t="s">
        <v>435</v>
      </c>
      <c r="B90" s="257">
        <v>46111</v>
      </c>
      <c r="C90" s="2">
        <v>8</v>
      </c>
      <c r="D90" s="272"/>
      <c r="E90" s="271"/>
      <c r="F90" s="260">
        <v>1</v>
      </c>
      <c r="G90" s="38" t="s">
        <v>462</v>
      </c>
      <c r="I90" s="38">
        <v>0</v>
      </c>
      <c r="AL90" t="str">
        <f>TRIM(MID(SUBSTITUTE($G90, ",", REPT(" ", 100)), (COLUMNS($AJ$2:AL90)-1)*100+1, 100))</f>
        <v/>
      </c>
      <c r="AM90" s="1">
        <v>45746</v>
      </c>
      <c r="AN90" s="2">
        <v>6</v>
      </c>
      <c r="AO90" s="2">
        <v>6.5</v>
      </c>
      <c r="AQ90" t="str">
        <f>TRIM(MID(SUBSTITUTE($G90, ",", REPT(" ", 100)), (COLUMNS($AJ$2:AQ90)-1)*100+1, 100))</f>
        <v/>
      </c>
      <c r="AR90" t="str">
        <f>TRIM(MID(SUBSTITUTE($G90, ",", REPT(" ", 100)), (COLUMNS($AJ$2:AR90)-1)*100+1, 100))</f>
        <v/>
      </c>
      <c r="AS90" t="str">
        <f>TRIM(MID(SUBSTITUTE($G90, ",", REPT(" ", 100)), (COLUMNS($AJ$2:AS90)-1)*100+1, 100))</f>
        <v/>
      </c>
      <c r="AT90" t="str">
        <f>TRIM(MID(SUBSTITUTE($G90, ",", REPT(" ", 100)), (COLUMNS($AJ$2:AT90)-1)*100+1, 100))</f>
        <v/>
      </c>
      <c r="AU90" t="str">
        <f>TRIM(MID(SUBSTITUTE($G90, ",", REPT(" ", 100)), (COLUMNS($AJ$2:AU90)-1)*100+1, 100))</f>
        <v/>
      </c>
      <c r="AV90" t="str">
        <f>TRIM(MID(SUBSTITUTE($G90, ",", REPT(" ", 100)), (COLUMNS($AJ$2:AV90)-1)*100+1, 100))</f>
        <v/>
      </c>
      <c r="AW90" t="str">
        <f>TRIM(MID(SUBSTITUTE($G90, ",", REPT(" ", 100)), (COLUMNS($AJ$2:AW90)-1)*100+1, 100))</f>
        <v/>
      </c>
      <c r="AX90" t="str">
        <f>TRIM(MID(SUBSTITUTE($G90, ",", REPT(" ", 100)), (COLUMNS($AJ$2:AX90)-1)*100+1, 100))</f>
        <v/>
      </c>
      <c r="AY90" t="str">
        <f>TRIM(MID(SUBSTITUTE($G90, ",", REPT(" ", 100)), (COLUMNS($AJ$2:AY90)-1)*100+1, 100))</f>
        <v/>
      </c>
      <c r="AZ90" t="str">
        <f>TRIM(MID(SUBSTITUTE($G90, ",", REPT(" ", 100)), (COLUMNS($AJ$2:AZ90)-1)*100+1, 100))</f>
        <v/>
      </c>
      <c r="BA90" t="str">
        <f>TRIM(MID(SUBSTITUTE($G90, ",", REPT(" ", 100)), (COLUMNS($AJ$2:BA90)-1)*100+1, 100))</f>
        <v/>
      </c>
      <c r="BB90" t="str">
        <f>TRIM(MID(SUBSTITUTE($G90, ",", REPT(" ", 100)), (COLUMNS($AJ$2:BB90)-1)*100+1, 100))</f>
        <v/>
      </c>
      <c r="BC90" t="str">
        <f>TRIM(MID(SUBSTITUTE($G90, ",", REPT(" ", 100)), (COLUMNS($AJ$2:BC90)-1)*100+1, 100))</f>
        <v/>
      </c>
      <c r="BH90">
        <f t="shared" si="3"/>
        <v>1</v>
      </c>
    </row>
    <row r="91" spans="1:60" ht="14.7" thickBot="1" x14ac:dyDescent="0.55000000000000004">
      <c r="A91" s="32" t="s">
        <v>436</v>
      </c>
      <c r="B91" s="258">
        <v>46112</v>
      </c>
      <c r="C91" s="2">
        <v>7</v>
      </c>
      <c r="D91" s="272"/>
      <c r="E91" s="271"/>
      <c r="F91" s="260">
        <v>0</v>
      </c>
      <c r="G91" s="38" t="s">
        <v>462</v>
      </c>
      <c r="I91" s="38">
        <v>0</v>
      </c>
      <c r="AL91" t="str">
        <f>TRIM(MID(SUBSTITUTE($G91, ",", REPT(" ", 100)), (COLUMNS($AJ$2:AL91)-1)*100+1, 100))</f>
        <v/>
      </c>
      <c r="AM91" s="1">
        <v>45747</v>
      </c>
      <c r="AN91" s="2">
        <v>6</v>
      </c>
      <c r="AO91" s="2">
        <v>5.5</v>
      </c>
      <c r="AQ91" t="str">
        <f>TRIM(MID(SUBSTITUTE($G91, ",", REPT(" ", 100)), (COLUMNS($AJ$2:AQ91)-1)*100+1, 100))</f>
        <v/>
      </c>
      <c r="AR91" t="str">
        <f>TRIM(MID(SUBSTITUTE($G91, ",", REPT(" ", 100)), (COLUMNS($AJ$2:AR91)-1)*100+1, 100))</f>
        <v/>
      </c>
      <c r="AS91" t="str">
        <f>TRIM(MID(SUBSTITUTE($G91, ",", REPT(" ", 100)), (COLUMNS($AJ$2:AS91)-1)*100+1, 100))</f>
        <v/>
      </c>
      <c r="AT91" t="str">
        <f>TRIM(MID(SUBSTITUTE($G91, ",", REPT(" ", 100)), (COLUMNS($AJ$2:AT91)-1)*100+1, 100))</f>
        <v/>
      </c>
      <c r="AU91" t="str">
        <f>TRIM(MID(SUBSTITUTE($G91, ",", REPT(" ", 100)), (COLUMNS($AJ$2:AU91)-1)*100+1, 100))</f>
        <v/>
      </c>
      <c r="AV91" t="str">
        <f>TRIM(MID(SUBSTITUTE($G91, ",", REPT(" ", 100)), (COLUMNS($AJ$2:AV91)-1)*100+1, 100))</f>
        <v/>
      </c>
      <c r="AW91" t="str">
        <f>TRIM(MID(SUBSTITUTE($G91, ",", REPT(" ", 100)), (COLUMNS($AJ$2:AW91)-1)*100+1, 100))</f>
        <v/>
      </c>
      <c r="AX91" t="str">
        <f>TRIM(MID(SUBSTITUTE($G91, ",", REPT(" ", 100)), (COLUMNS($AJ$2:AX91)-1)*100+1, 100))</f>
        <v/>
      </c>
      <c r="AY91" t="str">
        <f>TRIM(MID(SUBSTITUTE($G91, ",", REPT(" ", 100)), (COLUMNS($AJ$2:AY91)-1)*100+1, 100))</f>
        <v/>
      </c>
      <c r="AZ91" t="str">
        <f>TRIM(MID(SUBSTITUTE($G91, ",", REPT(" ", 100)), (COLUMNS($AJ$2:AZ91)-1)*100+1, 100))</f>
        <v/>
      </c>
      <c r="BA91" t="str">
        <f>TRIM(MID(SUBSTITUTE($G91, ",", REPT(" ", 100)), (COLUMNS($AJ$2:BA91)-1)*100+1, 100))</f>
        <v/>
      </c>
      <c r="BB91" t="str">
        <f>TRIM(MID(SUBSTITUTE($G91, ",", REPT(" ", 100)), (COLUMNS($AJ$2:BB91)-1)*100+1, 100))</f>
        <v/>
      </c>
      <c r="BC91" t="str">
        <f>TRIM(MID(SUBSTITUTE($G91, ",", REPT(" ", 100)), (COLUMNS($AJ$2:BC91)-1)*100+1, 100))</f>
        <v/>
      </c>
      <c r="BH91">
        <f t="shared" si="3"/>
        <v>1</v>
      </c>
    </row>
    <row r="92" spans="1:60" x14ac:dyDescent="0.5">
      <c r="A92" s="32" t="s">
        <v>437</v>
      </c>
      <c r="B92" s="257">
        <v>46113</v>
      </c>
      <c r="C92" s="2">
        <v>5.5</v>
      </c>
      <c r="D92" s="272">
        <f>AVERAGE(C92:C121)</f>
        <v>6.13</v>
      </c>
      <c r="E92" s="271"/>
      <c r="F92" s="260">
        <v>1</v>
      </c>
      <c r="G92" s="38" t="s">
        <v>462</v>
      </c>
      <c r="I92" s="38">
        <v>0</v>
      </c>
      <c r="AL92" t="str">
        <f>TRIM(MID(SUBSTITUTE($G92, ",", REPT(" ", 100)), (COLUMNS($AJ$2:AL92)-1)*100+1, 100))</f>
        <v/>
      </c>
      <c r="AM92" s="1">
        <v>45748</v>
      </c>
      <c r="AN92" s="2">
        <v>4.8</v>
      </c>
      <c r="AO92" s="2">
        <v>4</v>
      </c>
      <c r="AQ92" t="str">
        <f>TRIM(MID(SUBSTITUTE($G92, ",", REPT(" ", 100)), (COLUMNS($AJ$2:AQ92)-1)*100+1, 100))</f>
        <v/>
      </c>
      <c r="AR92" t="str">
        <f>TRIM(MID(SUBSTITUTE($G92, ",", REPT(" ", 100)), (COLUMNS($AJ$2:AR92)-1)*100+1, 100))</f>
        <v/>
      </c>
      <c r="AS92" t="str">
        <f>TRIM(MID(SUBSTITUTE($G92, ",", REPT(" ", 100)), (COLUMNS($AJ$2:AS92)-1)*100+1, 100))</f>
        <v/>
      </c>
      <c r="AT92" t="str">
        <f>TRIM(MID(SUBSTITUTE($G92, ",", REPT(" ", 100)), (COLUMNS($AJ$2:AT92)-1)*100+1, 100))</f>
        <v/>
      </c>
      <c r="AU92" t="str">
        <f>TRIM(MID(SUBSTITUTE($G92, ",", REPT(" ", 100)), (COLUMNS($AJ$2:AU92)-1)*100+1, 100))</f>
        <v/>
      </c>
      <c r="AV92" t="str">
        <f>TRIM(MID(SUBSTITUTE($G92, ",", REPT(" ", 100)), (COLUMNS($AJ$2:AV92)-1)*100+1, 100))</f>
        <v/>
      </c>
      <c r="AW92" t="str">
        <f>TRIM(MID(SUBSTITUTE($G92, ",", REPT(" ", 100)), (COLUMNS($AJ$2:AW92)-1)*100+1, 100))</f>
        <v/>
      </c>
      <c r="AX92" t="str">
        <f>TRIM(MID(SUBSTITUTE($G92, ",", REPT(" ", 100)), (COLUMNS($AJ$2:AX92)-1)*100+1, 100))</f>
        <v/>
      </c>
      <c r="AY92" t="str">
        <f>TRIM(MID(SUBSTITUTE($G92, ",", REPT(" ", 100)), (COLUMNS($AJ$2:AY92)-1)*100+1, 100))</f>
        <v/>
      </c>
      <c r="AZ92" t="str">
        <f>TRIM(MID(SUBSTITUTE($G92, ",", REPT(" ", 100)), (COLUMNS($AJ$2:AZ92)-1)*100+1, 100))</f>
        <v/>
      </c>
      <c r="BA92" t="str">
        <f>TRIM(MID(SUBSTITUTE($G92, ",", REPT(" ", 100)), (COLUMNS($AJ$2:BA92)-1)*100+1, 100))</f>
        <v/>
      </c>
      <c r="BB92" t="str">
        <f>TRIM(MID(SUBSTITUTE($G92, ",", REPT(" ", 100)), (COLUMNS($AJ$2:BB92)-1)*100+1, 100))</f>
        <v/>
      </c>
      <c r="BC92" t="str">
        <f>TRIM(MID(SUBSTITUTE($G92, ",", REPT(" ", 100)), (COLUMNS($AJ$2:BC92)-1)*100+1, 100))</f>
        <v/>
      </c>
      <c r="BH92">
        <f t="shared" si="3"/>
        <v>1</v>
      </c>
    </row>
    <row r="93" spans="1:60" ht="14.7" thickBot="1" x14ac:dyDescent="0.55000000000000004">
      <c r="A93" s="32" t="s">
        <v>431</v>
      </c>
      <c r="B93" s="258">
        <v>46114</v>
      </c>
      <c r="C93" s="2">
        <v>5</v>
      </c>
      <c r="D93" s="272"/>
      <c r="E93" s="271"/>
      <c r="F93" s="260">
        <v>1</v>
      </c>
      <c r="G93" s="38" t="s">
        <v>519</v>
      </c>
      <c r="I93" s="38">
        <v>0</v>
      </c>
      <c r="AL93" t="str">
        <f>TRIM(MID(SUBSTITUTE($G93, ",", REPT(" ", 100)), (COLUMNS($AJ$2:AL93)-1)*100+1, 100))</f>
        <v/>
      </c>
      <c r="AM93" s="1">
        <v>45749</v>
      </c>
      <c r="AN93" s="2">
        <v>4.2</v>
      </c>
      <c r="AO93" s="2">
        <v>4</v>
      </c>
      <c r="AQ93" t="str">
        <f>TRIM(MID(SUBSTITUTE($G93, ",", REPT(" ", 100)), (COLUMNS($AJ$2:AQ93)-1)*100+1, 100))</f>
        <v/>
      </c>
      <c r="AR93" t="str">
        <f>TRIM(MID(SUBSTITUTE($G93, ",", REPT(" ", 100)), (COLUMNS($AJ$2:AR93)-1)*100+1, 100))</f>
        <v/>
      </c>
      <c r="AS93" t="str">
        <f>TRIM(MID(SUBSTITUTE($G93, ",", REPT(" ", 100)), (COLUMNS($AJ$2:AS93)-1)*100+1, 100))</f>
        <v/>
      </c>
      <c r="AT93" t="str">
        <f>TRIM(MID(SUBSTITUTE($G93, ",", REPT(" ", 100)), (COLUMNS($AJ$2:AT93)-1)*100+1, 100))</f>
        <v/>
      </c>
      <c r="AU93" t="str">
        <f>TRIM(MID(SUBSTITUTE($G93, ",", REPT(" ", 100)), (COLUMNS($AJ$2:AU93)-1)*100+1, 100))</f>
        <v/>
      </c>
      <c r="AV93" t="str">
        <f>TRIM(MID(SUBSTITUTE($G93, ",", REPT(" ", 100)), (COLUMNS($AJ$2:AV93)-1)*100+1, 100))</f>
        <v/>
      </c>
      <c r="AW93" t="str">
        <f>TRIM(MID(SUBSTITUTE($G93, ",", REPT(" ", 100)), (COLUMNS($AJ$2:AW93)-1)*100+1, 100))</f>
        <v/>
      </c>
      <c r="AX93" t="str">
        <f>TRIM(MID(SUBSTITUTE($G93, ",", REPT(" ", 100)), (COLUMNS($AJ$2:AX93)-1)*100+1, 100))</f>
        <v/>
      </c>
      <c r="AY93" t="str">
        <f>TRIM(MID(SUBSTITUTE($G93, ",", REPT(" ", 100)), (COLUMNS($AJ$2:AY93)-1)*100+1, 100))</f>
        <v/>
      </c>
      <c r="AZ93" t="str">
        <f>TRIM(MID(SUBSTITUTE($G93, ",", REPT(" ", 100)), (COLUMNS($AJ$2:AZ93)-1)*100+1, 100))</f>
        <v/>
      </c>
      <c r="BA93" t="str">
        <f>TRIM(MID(SUBSTITUTE($G93, ",", REPT(" ", 100)), (COLUMNS($AJ$2:BA93)-1)*100+1, 100))</f>
        <v/>
      </c>
      <c r="BB93" t="str">
        <f>TRIM(MID(SUBSTITUTE($G93, ",", REPT(" ", 100)), (COLUMNS($AJ$2:BB93)-1)*100+1, 100))</f>
        <v/>
      </c>
      <c r="BC93" t="str">
        <f>TRIM(MID(SUBSTITUTE($G93, ",", REPT(" ", 100)), (COLUMNS($AJ$2:BC93)-1)*100+1, 100))</f>
        <v/>
      </c>
      <c r="BH93">
        <f t="shared" si="3"/>
        <v>0.5</v>
      </c>
    </row>
    <row r="94" spans="1:60" x14ac:dyDescent="0.5">
      <c r="A94" s="32" t="s">
        <v>432</v>
      </c>
      <c r="B94" s="257">
        <v>46115</v>
      </c>
      <c r="C94" s="2">
        <v>5.8</v>
      </c>
      <c r="D94" s="272"/>
      <c r="E94" s="271"/>
      <c r="F94" s="260">
        <v>1</v>
      </c>
      <c r="G94" s="38" t="s">
        <v>176</v>
      </c>
      <c r="I94" s="38">
        <v>0</v>
      </c>
      <c r="AL94" t="str">
        <f>TRIM(MID(SUBSTITUTE($G94, ",", REPT(" ", 100)), (COLUMNS($AJ$2:AL94)-1)*100+1, 100))</f>
        <v/>
      </c>
      <c r="AM94" s="1">
        <v>45750</v>
      </c>
      <c r="AN94" s="2">
        <v>4</v>
      </c>
      <c r="AO94" s="2">
        <v>4</v>
      </c>
      <c r="AQ94" t="str">
        <f>TRIM(MID(SUBSTITUTE($G94, ",", REPT(" ", 100)), (COLUMNS($AJ$2:AQ94)-1)*100+1, 100))</f>
        <v/>
      </c>
      <c r="AR94" t="str">
        <f>TRIM(MID(SUBSTITUTE($G94, ",", REPT(" ", 100)), (COLUMNS($AJ$2:AR94)-1)*100+1, 100))</f>
        <v/>
      </c>
      <c r="AS94" t="str">
        <f>TRIM(MID(SUBSTITUTE($G94, ",", REPT(" ", 100)), (COLUMNS($AJ$2:AS94)-1)*100+1, 100))</f>
        <v/>
      </c>
      <c r="AT94" t="str">
        <f>TRIM(MID(SUBSTITUTE($G94, ",", REPT(" ", 100)), (COLUMNS($AJ$2:AT94)-1)*100+1, 100))</f>
        <v/>
      </c>
      <c r="AU94" t="str">
        <f>TRIM(MID(SUBSTITUTE($G94, ",", REPT(" ", 100)), (COLUMNS($AJ$2:AU94)-1)*100+1, 100))</f>
        <v/>
      </c>
      <c r="AV94" t="str">
        <f>TRIM(MID(SUBSTITUTE($G94, ",", REPT(" ", 100)), (COLUMNS($AJ$2:AV94)-1)*100+1, 100))</f>
        <v/>
      </c>
      <c r="AW94" t="str">
        <f>TRIM(MID(SUBSTITUTE($G94, ",", REPT(" ", 100)), (COLUMNS($AJ$2:AW94)-1)*100+1, 100))</f>
        <v/>
      </c>
      <c r="AX94" t="str">
        <f>TRIM(MID(SUBSTITUTE($G94, ",", REPT(" ", 100)), (COLUMNS($AJ$2:AX94)-1)*100+1, 100))</f>
        <v/>
      </c>
      <c r="AY94" t="str">
        <f>TRIM(MID(SUBSTITUTE($G94, ",", REPT(" ", 100)), (COLUMNS($AJ$2:AY94)-1)*100+1, 100))</f>
        <v/>
      </c>
      <c r="AZ94" t="str">
        <f>TRIM(MID(SUBSTITUTE($G94, ",", REPT(" ", 100)), (COLUMNS($AJ$2:AZ94)-1)*100+1, 100))</f>
        <v/>
      </c>
      <c r="BA94" t="str">
        <f>TRIM(MID(SUBSTITUTE($G94, ",", REPT(" ", 100)), (COLUMNS($AJ$2:BA94)-1)*100+1, 100))</f>
        <v/>
      </c>
      <c r="BB94" t="str">
        <f>TRIM(MID(SUBSTITUTE($G94, ",", REPT(" ", 100)), (COLUMNS($AJ$2:BB94)-1)*100+1, 100))</f>
        <v/>
      </c>
      <c r="BC94" t="str">
        <f>TRIM(MID(SUBSTITUTE($G94, ",", REPT(" ", 100)), (COLUMNS($AJ$2:BC94)-1)*100+1, 100))</f>
        <v/>
      </c>
      <c r="BH94">
        <f t="shared" si="3"/>
        <v>1</v>
      </c>
    </row>
    <row r="95" spans="1:60" ht="14.7" thickBot="1" x14ac:dyDescent="0.55000000000000004">
      <c r="A95" s="32" t="s">
        <v>433</v>
      </c>
      <c r="B95" s="258">
        <v>46116</v>
      </c>
      <c r="C95" s="2">
        <v>5.5</v>
      </c>
      <c r="D95" s="272"/>
      <c r="E95" s="271"/>
      <c r="F95" s="260">
        <v>0</v>
      </c>
      <c r="G95" s="38" t="s">
        <v>176</v>
      </c>
      <c r="I95" s="38">
        <v>0</v>
      </c>
      <c r="AL95" t="str">
        <f>TRIM(MID(SUBSTITUTE($G95, ",", REPT(" ", 100)), (COLUMNS($AJ$2:AL95)-1)*100+1, 100))</f>
        <v/>
      </c>
      <c r="AM95" s="1">
        <v>45751</v>
      </c>
      <c r="AN95" s="2">
        <v>0</v>
      </c>
      <c r="AO95" s="2">
        <v>4</v>
      </c>
      <c r="AQ95" t="str">
        <f>TRIM(MID(SUBSTITUTE($G95, ",", REPT(" ", 100)), (COLUMNS($AJ$2:AQ95)-1)*100+1, 100))</f>
        <v/>
      </c>
      <c r="AR95" t="str">
        <f>TRIM(MID(SUBSTITUTE($G95, ",", REPT(" ", 100)), (COLUMNS($AJ$2:AR95)-1)*100+1, 100))</f>
        <v/>
      </c>
      <c r="AS95" t="str">
        <f>TRIM(MID(SUBSTITUTE($G95, ",", REPT(" ", 100)), (COLUMNS($AJ$2:AS95)-1)*100+1, 100))</f>
        <v/>
      </c>
      <c r="AT95" t="str">
        <f>TRIM(MID(SUBSTITUTE($G95, ",", REPT(" ", 100)), (COLUMNS($AJ$2:AT95)-1)*100+1, 100))</f>
        <v/>
      </c>
      <c r="AU95" t="str">
        <f>TRIM(MID(SUBSTITUTE($G95, ",", REPT(" ", 100)), (COLUMNS($AJ$2:AU95)-1)*100+1, 100))</f>
        <v/>
      </c>
      <c r="AV95" t="str">
        <f>TRIM(MID(SUBSTITUTE($G95, ",", REPT(" ", 100)), (COLUMNS($AJ$2:AV95)-1)*100+1, 100))</f>
        <v/>
      </c>
      <c r="AW95" t="str">
        <f>TRIM(MID(SUBSTITUTE($G95, ",", REPT(" ", 100)), (COLUMNS($AJ$2:AW95)-1)*100+1, 100))</f>
        <v/>
      </c>
      <c r="AX95" t="str">
        <f>TRIM(MID(SUBSTITUTE($G95, ",", REPT(" ", 100)), (COLUMNS($AJ$2:AX95)-1)*100+1, 100))</f>
        <v/>
      </c>
      <c r="AY95" t="str">
        <f>TRIM(MID(SUBSTITUTE($G95, ",", REPT(" ", 100)), (COLUMNS($AJ$2:AY95)-1)*100+1, 100))</f>
        <v/>
      </c>
      <c r="AZ95" t="str">
        <f>TRIM(MID(SUBSTITUTE($G95, ",", REPT(" ", 100)), (COLUMNS($AJ$2:AZ95)-1)*100+1, 100))</f>
        <v/>
      </c>
      <c r="BA95" t="str">
        <f>TRIM(MID(SUBSTITUTE($G95, ",", REPT(" ", 100)), (COLUMNS($AJ$2:BA95)-1)*100+1, 100))</f>
        <v/>
      </c>
      <c r="BB95" t="str">
        <f>TRIM(MID(SUBSTITUTE($G95, ",", REPT(" ", 100)), (COLUMNS($AJ$2:BB95)-1)*100+1, 100))</f>
        <v/>
      </c>
      <c r="BC95" t="str">
        <f>TRIM(MID(SUBSTITUTE($G95, ",", REPT(" ", 100)), (COLUMNS($AJ$2:BC95)-1)*100+1, 100))</f>
        <v/>
      </c>
      <c r="BH95">
        <f t="shared" si="3"/>
        <v>1</v>
      </c>
    </row>
    <row r="96" spans="1:60" x14ac:dyDescent="0.5">
      <c r="A96" s="32" t="s">
        <v>434</v>
      </c>
      <c r="B96" s="257">
        <v>46117</v>
      </c>
      <c r="C96" s="2">
        <v>6</v>
      </c>
      <c r="D96" s="272"/>
      <c r="E96" s="271"/>
      <c r="F96" s="260">
        <v>1</v>
      </c>
      <c r="G96" s="38" t="s">
        <v>176</v>
      </c>
      <c r="I96" s="38">
        <v>0</v>
      </c>
      <c r="AL96" t="str">
        <f>TRIM(MID(SUBSTITUTE($G96, ",", REPT(" ", 100)), (COLUMNS($AJ$2:AL96)-1)*100+1, 100))</f>
        <v/>
      </c>
      <c r="AM96" s="1">
        <v>45752</v>
      </c>
      <c r="AN96" s="2">
        <v>0.5</v>
      </c>
      <c r="AO96" s="2">
        <v>0</v>
      </c>
      <c r="AQ96" t="str">
        <f>TRIM(MID(SUBSTITUTE($G96, ",", REPT(" ", 100)), (COLUMNS($AJ$2:AQ96)-1)*100+1, 100))</f>
        <v/>
      </c>
      <c r="AR96" t="str">
        <f>TRIM(MID(SUBSTITUTE($G96, ",", REPT(" ", 100)), (COLUMNS($AJ$2:AR96)-1)*100+1, 100))</f>
        <v/>
      </c>
      <c r="AS96" t="str">
        <f>TRIM(MID(SUBSTITUTE($G96, ",", REPT(" ", 100)), (COLUMNS($AJ$2:AS96)-1)*100+1, 100))</f>
        <v/>
      </c>
      <c r="AT96" t="str">
        <f>TRIM(MID(SUBSTITUTE($G96, ",", REPT(" ", 100)), (COLUMNS($AJ$2:AT96)-1)*100+1, 100))</f>
        <v/>
      </c>
      <c r="AU96" t="str">
        <f>TRIM(MID(SUBSTITUTE($G96, ",", REPT(" ", 100)), (COLUMNS($AJ$2:AU96)-1)*100+1, 100))</f>
        <v/>
      </c>
      <c r="AV96" t="str">
        <f>TRIM(MID(SUBSTITUTE($G96, ",", REPT(" ", 100)), (COLUMNS($AJ$2:AV96)-1)*100+1, 100))</f>
        <v/>
      </c>
      <c r="AW96" t="str">
        <f>TRIM(MID(SUBSTITUTE($G96, ",", REPT(" ", 100)), (COLUMNS($AJ$2:AW96)-1)*100+1, 100))</f>
        <v/>
      </c>
      <c r="AX96" t="str">
        <f>TRIM(MID(SUBSTITUTE($G96, ",", REPT(" ", 100)), (COLUMNS($AJ$2:AX96)-1)*100+1, 100))</f>
        <v/>
      </c>
      <c r="AY96" t="str">
        <f>TRIM(MID(SUBSTITUTE($G96, ",", REPT(" ", 100)), (COLUMNS($AJ$2:AY96)-1)*100+1, 100))</f>
        <v/>
      </c>
      <c r="AZ96" t="str">
        <f>TRIM(MID(SUBSTITUTE($G96, ",", REPT(" ", 100)), (COLUMNS($AJ$2:AZ96)-1)*100+1, 100))</f>
        <v/>
      </c>
      <c r="BA96" t="str">
        <f>TRIM(MID(SUBSTITUTE($G96, ",", REPT(" ", 100)), (COLUMNS($AJ$2:BA96)-1)*100+1, 100))</f>
        <v/>
      </c>
      <c r="BB96" t="str">
        <f>TRIM(MID(SUBSTITUTE($G96, ",", REPT(" ", 100)), (COLUMNS($AJ$2:BB96)-1)*100+1, 100))</f>
        <v/>
      </c>
      <c r="BC96" t="str">
        <f>TRIM(MID(SUBSTITUTE($G96, ",", REPT(" ", 100)), (COLUMNS($AJ$2:BC96)-1)*100+1, 100))</f>
        <v/>
      </c>
      <c r="BH96">
        <f t="shared" si="3"/>
        <v>1</v>
      </c>
    </row>
    <row r="97" spans="1:60" ht="14.7" thickBot="1" x14ac:dyDescent="0.55000000000000004">
      <c r="A97" s="32" t="s">
        <v>435</v>
      </c>
      <c r="B97" s="258">
        <v>46118</v>
      </c>
      <c r="C97" s="2">
        <v>6.6</v>
      </c>
      <c r="D97" s="272"/>
      <c r="E97" s="271"/>
      <c r="F97" s="260">
        <v>0</v>
      </c>
      <c r="G97" s="38" t="s">
        <v>176</v>
      </c>
      <c r="I97" s="38">
        <v>0</v>
      </c>
      <c r="AL97" t="str">
        <f>TRIM(MID(SUBSTITUTE($G97, ",", REPT(" ", 100)), (COLUMNS($AJ$2:AL97)-1)*100+1, 100))</f>
        <v/>
      </c>
      <c r="AM97" s="1">
        <v>45753</v>
      </c>
      <c r="AN97" s="2">
        <v>5.2</v>
      </c>
      <c r="AO97" s="2">
        <v>2</v>
      </c>
      <c r="AQ97" t="str">
        <f>TRIM(MID(SUBSTITUTE($G97, ",", REPT(" ", 100)), (COLUMNS($AJ$2:AQ97)-1)*100+1, 100))</f>
        <v/>
      </c>
      <c r="AR97" t="str">
        <f>TRIM(MID(SUBSTITUTE($G97, ",", REPT(" ", 100)), (COLUMNS($AJ$2:AR97)-1)*100+1, 100))</f>
        <v/>
      </c>
      <c r="AS97" t="str">
        <f>TRIM(MID(SUBSTITUTE($G97, ",", REPT(" ", 100)), (COLUMNS($AJ$2:AS97)-1)*100+1, 100))</f>
        <v/>
      </c>
      <c r="AT97" t="str">
        <f>TRIM(MID(SUBSTITUTE($G97, ",", REPT(" ", 100)), (COLUMNS($AJ$2:AT97)-1)*100+1, 100))</f>
        <v/>
      </c>
      <c r="AU97" t="str">
        <f>TRIM(MID(SUBSTITUTE($G97, ",", REPT(" ", 100)), (COLUMNS($AJ$2:AU97)-1)*100+1, 100))</f>
        <v/>
      </c>
      <c r="AV97" t="str">
        <f>TRIM(MID(SUBSTITUTE($G97, ",", REPT(" ", 100)), (COLUMNS($AJ$2:AV97)-1)*100+1, 100))</f>
        <v/>
      </c>
      <c r="AW97" t="str">
        <f>TRIM(MID(SUBSTITUTE($G97, ",", REPT(" ", 100)), (COLUMNS($AJ$2:AW97)-1)*100+1, 100))</f>
        <v/>
      </c>
      <c r="AX97" t="str">
        <f>TRIM(MID(SUBSTITUTE($G97, ",", REPT(" ", 100)), (COLUMNS($AJ$2:AX97)-1)*100+1, 100))</f>
        <v/>
      </c>
      <c r="AY97" t="str">
        <f>TRIM(MID(SUBSTITUTE($G97, ",", REPT(" ", 100)), (COLUMNS($AJ$2:AY97)-1)*100+1, 100))</f>
        <v/>
      </c>
      <c r="AZ97" t="str">
        <f>TRIM(MID(SUBSTITUTE($G97, ",", REPT(" ", 100)), (COLUMNS($AJ$2:AZ97)-1)*100+1, 100))</f>
        <v/>
      </c>
      <c r="BA97" t="str">
        <f>TRIM(MID(SUBSTITUTE($G97, ",", REPT(" ", 100)), (COLUMNS($AJ$2:BA97)-1)*100+1, 100))</f>
        <v/>
      </c>
      <c r="BB97" t="str">
        <f>TRIM(MID(SUBSTITUTE($G97, ",", REPT(" ", 100)), (COLUMNS($AJ$2:BB97)-1)*100+1, 100))</f>
        <v/>
      </c>
      <c r="BC97" t="str">
        <f>TRIM(MID(SUBSTITUTE($G97, ",", REPT(" ", 100)), (COLUMNS($AJ$2:BC97)-1)*100+1, 100))</f>
        <v/>
      </c>
      <c r="BH97">
        <f t="shared" si="3"/>
        <v>1</v>
      </c>
    </row>
    <row r="98" spans="1:60" x14ac:dyDescent="0.5">
      <c r="A98" s="32" t="s">
        <v>436</v>
      </c>
      <c r="B98" s="257">
        <v>46119</v>
      </c>
      <c r="C98" s="2">
        <v>5.8</v>
      </c>
      <c r="D98" s="272"/>
      <c r="E98" s="271"/>
      <c r="F98" s="260">
        <v>1</v>
      </c>
      <c r="G98" s="38" t="s">
        <v>176</v>
      </c>
      <c r="I98" s="38">
        <v>0</v>
      </c>
      <c r="AL98" t="str">
        <f>TRIM(MID(SUBSTITUTE($G98, ",", REPT(" ", 100)), (COLUMNS($AJ$2:AL98)-1)*100+1, 100))</f>
        <v/>
      </c>
      <c r="AM98" s="1">
        <v>45754</v>
      </c>
      <c r="AN98" s="2">
        <v>6</v>
      </c>
      <c r="AO98" s="2">
        <v>4</v>
      </c>
      <c r="AQ98" t="str">
        <f>TRIM(MID(SUBSTITUTE($G98, ",", REPT(" ", 100)), (COLUMNS($AJ$2:AQ98)-1)*100+1, 100))</f>
        <v/>
      </c>
      <c r="AR98" t="str">
        <f>TRIM(MID(SUBSTITUTE($G98, ",", REPT(" ", 100)), (COLUMNS($AJ$2:AR98)-1)*100+1, 100))</f>
        <v/>
      </c>
      <c r="AS98" t="str">
        <f>TRIM(MID(SUBSTITUTE($G98, ",", REPT(" ", 100)), (COLUMNS($AJ$2:AS98)-1)*100+1, 100))</f>
        <v/>
      </c>
      <c r="AT98" t="str">
        <f>TRIM(MID(SUBSTITUTE($G98, ",", REPT(" ", 100)), (COLUMNS($AJ$2:AT98)-1)*100+1, 100))</f>
        <v/>
      </c>
      <c r="AU98" t="str">
        <f>TRIM(MID(SUBSTITUTE($G98, ",", REPT(" ", 100)), (COLUMNS($AJ$2:AU98)-1)*100+1, 100))</f>
        <v/>
      </c>
      <c r="AV98" t="str">
        <f>TRIM(MID(SUBSTITUTE($G98, ",", REPT(" ", 100)), (COLUMNS($AJ$2:AV98)-1)*100+1, 100))</f>
        <v/>
      </c>
      <c r="AW98" t="str">
        <f>TRIM(MID(SUBSTITUTE($G98, ",", REPT(" ", 100)), (COLUMNS($AJ$2:AW98)-1)*100+1, 100))</f>
        <v/>
      </c>
      <c r="AX98" t="str">
        <f>TRIM(MID(SUBSTITUTE($G98, ",", REPT(" ", 100)), (COLUMNS($AJ$2:AX98)-1)*100+1, 100))</f>
        <v/>
      </c>
      <c r="AY98" t="str">
        <f>TRIM(MID(SUBSTITUTE($G98, ",", REPT(" ", 100)), (COLUMNS($AJ$2:AY98)-1)*100+1, 100))</f>
        <v/>
      </c>
      <c r="AZ98" t="str">
        <f>TRIM(MID(SUBSTITUTE($G98, ",", REPT(" ", 100)), (COLUMNS($AJ$2:AZ98)-1)*100+1, 100))</f>
        <v/>
      </c>
      <c r="BA98" t="str">
        <f>TRIM(MID(SUBSTITUTE($G98, ",", REPT(" ", 100)), (COLUMNS($AJ$2:BA98)-1)*100+1, 100))</f>
        <v/>
      </c>
      <c r="BB98" t="str">
        <f>TRIM(MID(SUBSTITUTE($G98, ",", REPT(" ", 100)), (COLUMNS($AJ$2:BB98)-1)*100+1, 100))</f>
        <v/>
      </c>
      <c r="BC98" t="str">
        <f>TRIM(MID(SUBSTITUTE($G98, ",", REPT(" ", 100)), (COLUMNS($AJ$2:BC98)-1)*100+1, 100))</f>
        <v/>
      </c>
      <c r="BH98">
        <f t="shared" si="3"/>
        <v>1</v>
      </c>
    </row>
    <row r="99" spans="1:60" ht="14.7" thickBot="1" x14ac:dyDescent="0.55000000000000004">
      <c r="A99" s="32" t="s">
        <v>437</v>
      </c>
      <c r="B99" s="258">
        <v>46120</v>
      </c>
      <c r="C99" s="2">
        <v>5.9</v>
      </c>
      <c r="D99" s="272"/>
      <c r="E99" s="271"/>
      <c r="F99" s="260">
        <v>1</v>
      </c>
      <c r="G99" s="38" t="s">
        <v>176</v>
      </c>
      <c r="H99" s="38" t="s">
        <v>465</v>
      </c>
      <c r="I99" s="38">
        <v>0</v>
      </c>
      <c r="AL99" t="str">
        <f>TRIM(MID(SUBSTITUTE($G99, ",", REPT(" ", 100)), (COLUMNS($AJ$2:AL99)-1)*100+1, 100))</f>
        <v/>
      </c>
      <c r="AM99" s="1">
        <v>45755</v>
      </c>
      <c r="AN99" s="2">
        <v>4.8</v>
      </c>
      <c r="AO99" s="2">
        <v>4</v>
      </c>
      <c r="AQ99" t="str">
        <f>TRIM(MID(SUBSTITUTE($G99, ",", REPT(" ", 100)), (COLUMNS($AJ$2:AQ99)-1)*100+1, 100))</f>
        <v/>
      </c>
      <c r="AR99" t="str">
        <f>TRIM(MID(SUBSTITUTE($G99, ",", REPT(" ", 100)), (COLUMNS($AJ$2:AR99)-1)*100+1, 100))</f>
        <v/>
      </c>
      <c r="AS99" t="str">
        <f>TRIM(MID(SUBSTITUTE($G99, ",", REPT(" ", 100)), (COLUMNS($AJ$2:AS99)-1)*100+1, 100))</f>
        <v/>
      </c>
      <c r="AT99" t="str">
        <f>TRIM(MID(SUBSTITUTE($G99, ",", REPT(" ", 100)), (COLUMNS($AJ$2:AT99)-1)*100+1, 100))</f>
        <v/>
      </c>
      <c r="AU99" t="str">
        <f>TRIM(MID(SUBSTITUTE($G99, ",", REPT(" ", 100)), (COLUMNS($AJ$2:AU99)-1)*100+1, 100))</f>
        <v/>
      </c>
      <c r="AV99" t="str">
        <f>TRIM(MID(SUBSTITUTE($G99, ",", REPT(" ", 100)), (COLUMNS($AJ$2:AV99)-1)*100+1, 100))</f>
        <v/>
      </c>
      <c r="AW99" t="str">
        <f>TRIM(MID(SUBSTITUTE($G99, ",", REPT(" ", 100)), (COLUMNS($AJ$2:AW99)-1)*100+1, 100))</f>
        <v/>
      </c>
      <c r="AX99" t="str">
        <f>TRIM(MID(SUBSTITUTE($G99, ",", REPT(" ", 100)), (COLUMNS($AJ$2:AX99)-1)*100+1, 100))</f>
        <v/>
      </c>
      <c r="AY99" t="str">
        <f>TRIM(MID(SUBSTITUTE($G99, ",", REPT(" ", 100)), (COLUMNS($AJ$2:AY99)-1)*100+1, 100))</f>
        <v/>
      </c>
      <c r="AZ99" t="str">
        <f>TRIM(MID(SUBSTITUTE($G99, ",", REPT(" ", 100)), (COLUMNS($AJ$2:AZ99)-1)*100+1, 100))</f>
        <v/>
      </c>
      <c r="BA99" t="str">
        <f>TRIM(MID(SUBSTITUTE($G99, ",", REPT(" ", 100)), (COLUMNS($AJ$2:BA99)-1)*100+1, 100))</f>
        <v/>
      </c>
      <c r="BB99" t="str">
        <f>TRIM(MID(SUBSTITUTE($G99, ",", REPT(" ", 100)), (COLUMNS($AJ$2:BB99)-1)*100+1, 100))</f>
        <v/>
      </c>
      <c r="BC99" t="str">
        <f>TRIM(MID(SUBSTITUTE($G99, ",", REPT(" ", 100)), (COLUMNS($AJ$2:BC99)-1)*100+1, 100))</f>
        <v/>
      </c>
      <c r="BH99">
        <f t="shared" si="3"/>
        <v>1</v>
      </c>
    </row>
    <row r="100" spans="1:60" x14ac:dyDescent="0.5">
      <c r="A100" s="32" t="s">
        <v>431</v>
      </c>
      <c r="B100" s="257">
        <v>46121</v>
      </c>
      <c r="C100" s="2">
        <v>6</v>
      </c>
      <c r="D100" s="272"/>
      <c r="E100" s="271"/>
      <c r="F100" s="260">
        <v>1</v>
      </c>
      <c r="G100" s="38" t="s">
        <v>176</v>
      </c>
      <c r="I100" s="38">
        <v>0</v>
      </c>
      <c r="AL100" t="str">
        <f>TRIM(MID(SUBSTITUTE($G100, ",", REPT(" ", 100)), (COLUMNS($AJ$2:AL100)-1)*100+1, 100))</f>
        <v/>
      </c>
      <c r="AM100" s="1">
        <v>45756</v>
      </c>
      <c r="AN100" s="2">
        <v>1</v>
      </c>
      <c r="AO100" s="2">
        <v>6</v>
      </c>
      <c r="AQ100" t="str">
        <f>TRIM(MID(SUBSTITUTE($G100, ",", REPT(" ", 100)), (COLUMNS($AJ$2:AQ100)-1)*100+1, 100))</f>
        <v/>
      </c>
      <c r="AR100" t="str">
        <f>TRIM(MID(SUBSTITUTE($G100, ",", REPT(" ", 100)), (COLUMNS($AJ$2:AR100)-1)*100+1, 100))</f>
        <v/>
      </c>
      <c r="AS100" t="str">
        <f>TRIM(MID(SUBSTITUTE($G100, ",", REPT(" ", 100)), (COLUMNS($AJ$2:AS100)-1)*100+1, 100))</f>
        <v/>
      </c>
      <c r="AT100" t="str">
        <f>TRIM(MID(SUBSTITUTE($G100, ",", REPT(" ", 100)), (COLUMNS($AJ$2:AT100)-1)*100+1, 100))</f>
        <v/>
      </c>
      <c r="AU100" t="str">
        <f>TRIM(MID(SUBSTITUTE($G100, ",", REPT(" ", 100)), (COLUMNS($AJ$2:AU100)-1)*100+1, 100))</f>
        <v/>
      </c>
      <c r="AV100" t="str">
        <f>TRIM(MID(SUBSTITUTE($G100, ",", REPT(" ", 100)), (COLUMNS($AJ$2:AV100)-1)*100+1, 100))</f>
        <v/>
      </c>
      <c r="AW100" t="str">
        <f>TRIM(MID(SUBSTITUTE($G100, ",", REPT(" ", 100)), (COLUMNS($AJ$2:AW100)-1)*100+1, 100))</f>
        <v/>
      </c>
      <c r="AX100" t="str">
        <f>TRIM(MID(SUBSTITUTE($G100, ",", REPT(" ", 100)), (COLUMNS($AJ$2:AX100)-1)*100+1, 100))</f>
        <v/>
      </c>
      <c r="AY100" t="str">
        <f>TRIM(MID(SUBSTITUTE($G100, ",", REPT(" ", 100)), (COLUMNS($AJ$2:AY100)-1)*100+1, 100))</f>
        <v/>
      </c>
      <c r="AZ100" t="str">
        <f>TRIM(MID(SUBSTITUTE($G100, ",", REPT(" ", 100)), (COLUMNS($AJ$2:AZ100)-1)*100+1, 100))</f>
        <v/>
      </c>
      <c r="BA100" t="str">
        <f>TRIM(MID(SUBSTITUTE($G100, ",", REPT(" ", 100)), (COLUMNS($AJ$2:BA100)-1)*100+1, 100))</f>
        <v/>
      </c>
      <c r="BB100" t="str">
        <f>TRIM(MID(SUBSTITUTE($G100, ",", REPT(" ", 100)), (COLUMNS($AJ$2:BB100)-1)*100+1, 100))</f>
        <v/>
      </c>
      <c r="BC100" t="str">
        <f>TRIM(MID(SUBSTITUTE($G100, ",", REPT(" ", 100)), (COLUMNS($AJ$2:BC100)-1)*100+1, 100))</f>
        <v/>
      </c>
      <c r="BH100">
        <f t="shared" si="3"/>
        <v>1</v>
      </c>
    </row>
    <row r="101" spans="1:60" ht="14.7" thickBot="1" x14ac:dyDescent="0.55000000000000004">
      <c r="A101" s="32" t="s">
        <v>432</v>
      </c>
      <c r="B101" s="258">
        <v>46122</v>
      </c>
      <c r="C101" s="2">
        <v>6.2</v>
      </c>
      <c r="D101" s="272"/>
      <c r="E101" s="271"/>
      <c r="F101" s="260">
        <v>0</v>
      </c>
      <c r="G101" s="38" t="s">
        <v>176</v>
      </c>
      <c r="H101" s="38" t="s">
        <v>394</v>
      </c>
      <c r="I101" s="38">
        <v>0</v>
      </c>
      <c r="AL101" t="str">
        <f>TRIM(MID(SUBSTITUTE($G101, ",", REPT(" ", 100)), (COLUMNS($AJ$2:AL101)-1)*100+1, 100))</f>
        <v/>
      </c>
      <c r="AM101" s="1">
        <v>45757</v>
      </c>
      <c r="AN101" s="2">
        <v>4</v>
      </c>
      <c r="AO101" s="2">
        <v>2</v>
      </c>
      <c r="AQ101" t="str">
        <f>TRIM(MID(SUBSTITUTE($G101, ",", REPT(" ", 100)), (COLUMNS($AJ$2:AQ101)-1)*100+1, 100))</f>
        <v/>
      </c>
      <c r="AR101" t="str">
        <f>TRIM(MID(SUBSTITUTE($G101, ",", REPT(" ", 100)), (COLUMNS($AJ$2:AR101)-1)*100+1, 100))</f>
        <v/>
      </c>
      <c r="AS101" t="str">
        <f>TRIM(MID(SUBSTITUTE($G101, ",", REPT(" ", 100)), (COLUMNS($AJ$2:AS101)-1)*100+1, 100))</f>
        <v/>
      </c>
      <c r="AT101" t="str">
        <f>TRIM(MID(SUBSTITUTE($G101, ",", REPT(" ", 100)), (COLUMNS($AJ$2:AT101)-1)*100+1, 100))</f>
        <v/>
      </c>
      <c r="AU101" t="str">
        <f>TRIM(MID(SUBSTITUTE($G101, ",", REPT(" ", 100)), (COLUMNS($AJ$2:AU101)-1)*100+1, 100))</f>
        <v/>
      </c>
      <c r="AV101" t="str">
        <f>TRIM(MID(SUBSTITUTE($G101, ",", REPT(" ", 100)), (COLUMNS($AJ$2:AV101)-1)*100+1, 100))</f>
        <v/>
      </c>
      <c r="AW101" t="str">
        <f>TRIM(MID(SUBSTITUTE($G101, ",", REPT(" ", 100)), (COLUMNS($AJ$2:AW101)-1)*100+1, 100))</f>
        <v/>
      </c>
      <c r="AX101" t="str">
        <f>TRIM(MID(SUBSTITUTE($G101, ",", REPT(" ", 100)), (COLUMNS($AJ$2:AX101)-1)*100+1, 100))</f>
        <v/>
      </c>
      <c r="AY101" t="str">
        <f>TRIM(MID(SUBSTITUTE($G101, ",", REPT(" ", 100)), (COLUMNS($AJ$2:AY101)-1)*100+1, 100))</f>
        <v/>
      </c>
      <c r="AZ101" t="str">
        <f>TRIM(MID(SUBSTITUTE($G101, ",", REPT(" ", 100)), (COLUMNS($AJ$2:AZ101)-1)*100+1, 100))</f>
        <v/>
      </c>
      <c r="BA101" t="str">
        <f>TRIM(MID(SUBSTITUTE($G101, ",", REPT(" ", 100)), (COLUMNS($AJ$2:BA101)-1)*100+1, 100))</f>
        <v/>
      </c>
      <c r="BB101" t="str">
        <f>TRIM(MID(SUBSTITUTE($G101, ",", REPT(" ", 100)), (COLUMNS($AJ$2:BB101)-1)*100+1, 100))</f>
        <v/>
      </c>
      <c r="BC101" t="str">
        <f>TRIM(MID(SUBSTITUTE($G101, ",", REPT(" ", 100)), (COLUMNS($AJ$2:BC101)-1)*100+1, 100))</f>
        <v/>
      </c>
      <c r="BH101">
        <f t="shared" si="3"/>
        <v>1</v>
      </c>
    </row>
    <row r="102" spans="1:60" x14ac:dyDescent="0.5">
      <c r="A102" s="32" t="s">
        <v>433</v>
      </c>
      <c r="B102" s="257">
        <v>46123</v>
      </c>
      <c r="C102" s="2">
        <v>7.5</v>
      </c>
      <c r="D102" s="272"/>
      <c r="E102" s="271"/>
      <c r="F102" s="260">
        <v>1</v>
      </c>
      <c r="G102" s="38" t="s">
        <v>176</v>
      </c>
      <c r="H102" s="38" t="s">
        <v>529</v>
      </c>
      <c r="I102" s="38">
        <v>0</v>
      </c>
      <c r="AL102" t="str">
        <f>TRIM(MID(SUBSTITUTE($G102, ",", REPT(" ", 100)), (COLUMNS($AJ$2:AL102)-1)*100+1, 100))</f>
        <v/>
      </c>
      <c r="AM102" s="1">
        <v>45758</v>
      </c>
      <c r="AN102" s="2">
        <v>5</v>
      </c>
      <c r="AO102" s="2">
        <v>0</v>
      </c>
      <c r="AQ102" t="str">
        <f>TRIM(MID(SUBSTITUTE($G102, ",", REPT(" ", 100)), (COLUMNS($AJ$2:AQ102)-1)*100+1, 100))</f>
        <v/>
      </c>
      <c r="AR102" t="str">
        <f>TRIM(MID(SUBSTITUTE($G102, ",", REPT(" ", 100)), (COLUMNS($AJ$2:AR102)-1)*100+1, 100))</f>
        <v/>
      </c>
      <c r="AS102" t="str">
        <f>TRIM(MID(SUBSTITUTE($G102, ",", REPT(" ", 100)), (COLUMNS($AJ$2:AS102)-1)*100+1, 100))</f>
        <v/>
      </c>
      <c r="AT102" t="str">
        <f>TRIM(MID(SUBSTITUTE($G102, ",", REPT(" ", 100)), (COLUMNS($AJ$2:AT102)-1)*100+1, 100))</f>
        <v/>
      </c>
      <c r="AU102" t="str">
        <f>TRIM(MID(SUBSTITUTE($G102, ",", REPT(" ", 100)), (COLUMNS($AJ$2:AU102)-1)*100+1, 100))</f>
        <v/>
      </c>
      <c r="AV102" t="str">
        <f>TRIM(MID(SUBSTITUTE($G102, ",", REPT(" ", 100)), (COLUMNS($AJ$2:AV102)-1)*100+1, 100))</f>
        <v/>
      </c>
      <c r="AW102" t="str">
        <f>TRIM(MID(SUBSTITUTE($G102, ",", REPT(" ", 100)), (COLUMNS($AJ$2:AW102)-1)*100+1, 100))</f>
        <v/>
      </c>
      <c r="AX102" t="str">
        <f>TRIM(MID(SUBSTITUTE($G102, ",", REPT(" ", 100)), (COLUMNS($AJ$2:AX102)-1)*100+1, 100))</f>
        <v/>
      </c>
      <c r="AY102" t="str">
        <f>TRIM(MID(SUBSTITUTE($G102, ",", REPT(" ", 100)), (COLUMNS($AJ$2:AY102)-1)*100+1, 100))</f>
        <v/>
      </c>
      <c r="AZ102" t="str">
        <f>TRIM(MID(SUBSTITUTE($G102, ",", REPT(" ", 100)), (COLUMNS($AJ$2:AZ102)-1)*100+1, 100))</f>
        <v/>
      </c>
      <c r="BA102" t="str">
        <f>TRIM(MID(SUBSTITUTE($G102, ",", REPT(" ", 100)), (COLUMNS($AJ$2:BA102)-1)*100+1, 100))</f>
        <v/>
      </c>
      <c r="BB102" t="str">
        <f>TRIM(MID(SUBSTITUTE($G102, ",", REPT(" ", 100)), (COLUMNS($AJ$2:BB102)-1)*100+1, 100))</f>
        <v/>
      </c>
      <c r="BC102" t="str">
        <f>TRIM(MID(SUBSTITUTE($G102, ",", REPT(" ", 100)), (COLUMNS($AJ$2:BC102)-1)*100+1, 100))</f>
        <v/>
      </c>
      <c r="BH102">
        <f t="shared" si="3"/>
        <v>1</v>
      </c>
    </row>
    <row r="103" spans="1:60" ht="14.7" thickBot="1" x14ac:dyDescent="0.55000000000000004">
      <c r="A103" s="32" t="s">
        <v>434</v>
      </c>
      <c r="B103" s="258">
        <v>46124</v>
      </c>
      <c r="C103" s="2">
        <v>6.3</v>
      </c>
      <c r="D103" s="272"/>
      <c r="E103" s="271"/>
      <c r="F103" s="260">
        <v>1</v>
      </c>
      <c r="G103" s="38" t="s">
        <v>176</v>
      </c>
      <c r="I103" s="38">
        <v>0</v>
      </c>
      <c r="AL103" t="str">
        <f>TRIM(MID(SUBSTITUTE($G103, ",", REPT(" ", 100)), (COLUMNS($AJ$2:AL103)-1)*100+1, 100))</f>
        <v/>
      </c>
      <c r="AM103" s="1">
        <v>45759</v>
      </c>
      <c r="AN103" s="2">
        <v>6</v>
      </c>
      <c r="AO103" s="2">
        <v>6</v>
      </c>
      <c r="AQ103" t="str">
        <f>TRIM(MID(SUBSTITUTE($G103, ",", REPT(" ", 100)), (COLUMNS($AJ$2:AQ103)-1)*100+1, 100))</f>
        <v/>
      </c>
      <c r="AR103" t="str">
        <f>TRIM(MID(SUBSTITUTE($G103, ",", REPT(" ", 100)), (COLUMNS($AJ$2:AR103)-1)*100+1, 100))</f>
        <v/>
      </c>
      <c r="AS103" t="str">
        <f>TRIM(MID(SUBSTITUTE($G103, ",", REPT(" ", 100)), (COLUMNS($AJ$2:AS103)-1)*100+1, 100))</f>
        <v/>
      </c>
      <c r="AT103" t="str">
        <f>TRIM(MID(SUBSTITUTE($G103, ",", REPT(" ", 100)), (COLUMNS($AJ$2:AT103)-1)*100+1, 100))</f>
        <v/>
      </c>
      <c r="AU103" t="str">
        <f>TRIM(MID(SUBSTITUTE($G103, ",", REPT(" ", 100)), (COLUMNS($AJ$2:AU103)-1)*100+1, 100))</f>
        <v/>
      </c>
      <c r="AV103" t="str">
        <f>TRIM(MID(SUBSTITUTE($G103, ",", REPT(" ", 100)), (COLUMNS($AJ$2:AV103)-1)*100+1, 100))</f>
        <v/>
      </c>
      <c r="AW103" t="str">
        <f>TRIM(MID(SUBSTITUTE($G103, ",", REPT(" ", 100)), (COLUMNS($AJ$2:AW103)-1)*100+1, 100))</f>
        <v/>
      </c>
      <c r="AX103" t="str">
        <f>TRIM(MID(SUBSTITUTE($G103, ",", REPT(" ", 100)), (COLUMNS($AJ$2:AX103)-1)*100+1, 100))</f>
        <v/>
      </c>
      <c r="AY103" t="str">
        <f>TRIM(MID(SUBSTITUTE($G103, ",", REPT(" ", 100)), (COLUMNS($AJ$2:AY103)-1)*100+1, 100))</f>
        <v/>
      </c>
      <c r="AZ103" t="str">
        <f>TRIM(MID(SUBSTITUTE($G103, ",", REPT(" ", 100)), (COLUMNS($AJ$2:AZ103)-1)*100+1, 100))</f>
        <v/>
      </c>
      <c r="BA103" t="str">
        <f>TRIM(MID(SUBSTITUTE($G103, ",", REPT(" ", 100)), (COLUMNS($AJ$2:BA103)-1)*100+1, 100))</f>
        <v/>
      </c>
      <c r="BB103" t="str">
        <f>TRIM(MID(SUBSTITUTE($G103, ",", REPT(" ", 100)), (COLUMNS($AJ$2:BB103)-1)*100+1, 100))</f>
        <v/>
      </c>
      <c r="BC103" t="str">
        <f>TRIM(MID(SUBSTITUTE($G103, ",", REPT(" ", 100)), (COLUMNS($AJ$2:BC103)-1)*100+1, 100))</f>
        <v/>
      </c>
      <c r="BH103">
        <f t="shared" si="3"/>
        <v>1</v>
      </c>
    </row>
    <row r="104" spans="1:60" x14ac:dyDescent="0.5">
      <c r="A104" s="32" t="s">
        <v>435</v>
      </c>
      <c r="B104" s="257">
        <v>46125</v>
      </c>
      <c r="C104" s="2">
        <v>6.5</v>
      </c>
      <c r="D104" s="272"/>
      <c r="E104" s="271"/>
      <c r="F104" s="260">
        <v>1</v>
      </c>
      <c r="G104" s="38" t="s">
        <v>176</v>
      </c>
      <c r="I104" s="38">
        <v>0</v>
      </c>
      <c r="AL104" t="str">
        <f>TRIM(MID(SUBSTITUTE($G104, ",", REPT(" ", 100)), (COLUMNS($AJ$2:AL104)-1)*100+1, 100))</f>
        <v/>
      </c>
      <c r="AM104" s="1">
        <v>45760</v>
      </c>
      <c r="AN104" s="2">
        <v>6.5</v>
      </c>
      <c r="AO104" s="2">
        <v>6</v>
      </c>
      <c r="AQ104" t="str">
        <f>TRIM(MID(SUBSTITUTE($G104, ",", REPT(" ", 100)), (COLUMNS($AJ$2:AQ104)-1)*100+1, 100))</f>
        <v/>
      </c>
      <c r="AR104" t="str">
        <f>TRIM(MID(SUBSTITUTE($G104, ",", REPT(" ", 100)), (COLUMNS($AJ$2:AR104)-1)*100+1, 100))</f>
        <v/>
      </c>
      <c r="AS104" t="str">
        <f>TRIM(MID(SUBSTITUTE($G104, ",", REPT(" ", 100)), (COLUMNS($AJ$2:AS104)-1)*100+1, 100))</f>
        <v/>
      </c>
      <c r="AT104" t="str">
        <f>TRIM(MID(SUBSTITUTE($G104, ",", REPT(" ", 100)), (COLUMNS($AJ$2:AT104)-1)*100+1, 100))</f>
        <v/>
      </c>
      <c r="AU104" t="str">
        <f>TRIM(MID(SUBSTITUTE($G104, ",", REPT(" ", 100)), (COLUMNS($AJ$2:AU104)-1)*100+1, 100))</f>
        <v/>
      </c>
      <c r="AV104" t="str">
        <f>TRIM(MID(SUBSTITUTE($G104, ",", REPT(" ", 100)), (COLUMNS($AJ$2:AV104)-1)*100+1, 100))</f>
        <v/>
      </c>
      <c r="AW104" t="str">
        <f>TRIM(MID(SUBSTITUTE($G104, ",", REPT(" ", 100)), (COLUMNS($AJ$2:AW104)-1)*100+1, 100))</f>
        <v/>
      </c>
      <c r="AX104" t="str">
        <f>TRIM(MID(SUBSTITUTE($G104, ",", REPT(" ", 100)), (COLUMNS($AJ$2:AX104)-1)*100+1, 100))</f>
        <v/>
      </c>
      <c r="AY104" t="str">
        <f>TRIM(MID(SUBSTITUTE($G104, ",", REPT(" ", 100)), (COLUMNS($AJ$2:AY104)-1)*100+1, 100))</f>
        <v/>
      </c>
      <c r="AZ104" t="str">
        <f>TRIM(MID(SUBSTITUTE($G104, ",", REPT(" ", 100)), (COLUMNS($AJ$2:AZ104)-1)*100+1, 100))</f>
        <v/>
      </c>
      <c r="BA104" t="str">
        <f>TRIM(MID(SUBSTITUTE($G104, ",", REPT(" ", 100)), (COLUMNS($AJ$2:BA104)-1)*100+1, 100))</f>
        <v/>
      </c>
      <c r="BB104" t="str">
        <f>TRIM(MID(SUBSTITUTE($G104, ",", REPT(" ", 100)), (COLUMNS($AJ$2:BB104)-1)*100+1, 100))</f>
        <v/>
      </c>
      <c r="BC104" t="str">
        <f>TRIM(MID(SUBSTITUTE($G104, ",", REPT(" ", 100)), (COLUMNS($AJ$2:BC104)-1)*100+1, 100))</f>
        <v/>
      </c>
      <c r="BH104">
        <f t="shared" si="3"/>
        <v>1</v>
      </c>
    </row>
    <row r="105" spans="1:60" ht="14.7" thickBot="1" x14ac:dyDescent="0.55000000000000004">
      <c r="A105" s="32" t="s">
        <v>436</v>
      </c>
      <c r="B105" s="258">
        <v>46126</v>
      </c>
      <c r="C105" s="2">
        <v>5</v>
      </c>
      <c r="D105" s="272"/>
      <c r="E105" s="271"/>
      <c r="F105" s="260">
        <v>1</v>
      </c>
      <c r="G105" s="38" t="s">
        <v>176</v>
      </c>
      <c r="H105" s="38" t="s">
        <v>530</v>
      </c>
      <c r="I105" s="38">
        <v>0</v>
      </c>
      <c r="AL105" t="str">
        <f>TRIM(MID(SUBSTITUTE($G105, ",", REPT(" ", 100)), (COLUMNS($AJ$2:AL105)-1)*100+1, 100))</f>
        <v/>
      </c>
      <c r="AM105" s="1">
        <v>45761</v>
      </c>
      <c r="AN105" s="2">
        <v>7</v>
      </c>
      <c r="AO105" s="2">
        <v>4</v>
      </c>
      <c r="AQ105" t="str">
        <f>TRIM(MID(SUBSTITUTE($G105, ",", REPT(" ", 100)), (COLUMNS($AJ$2:AQ105)-1)*100+1, 100))</f>
        <v/>
      </c>
      <c r="AR105" t="str">
        <f>TRIM(MID(SUBSTITUTE($G105, ",", REPT(" ", 100)), (COLUMNS($AJ$2:AR105)-1)*100+1, 100))</f>
        <v/>
      </c>
      <c r="AS105" t="str">
        <f>TRIM(MID(SUBSTITUTE($G105, ",", REPT(" ", 100)), (COLUMNS($AJ$2:AS105)-1)*100+1, 100))</f>
        <v/>
      </c>
      <c r="AT105" t="str">
        <f>TRIM(MID(SUBSTITUTE($G105, ",", REPT(" ", 100)), (COLUMNS($AJ$2:AT105)-1)*100+1, 100))</f>
        <v/>
      </c>
      <c r="AU105" t="str">
        <f>TRIM(MID(SUBSTITUTE($G105, ",", REPT(" ", 100)), (COLUMNS($AJ$2:AU105)-1)*100+1, 100))</f>
        <v/>
      </c>
      <c r="AV105" t="str">
        <f>TRIM(MID(SUBSTITUTE($G105, ",", REPT(" ", 100)), (COLUMNS($AJ$2:AV105)-1)*100+1, 100))</f>
        <v/>
      </c>
      <c r="AW105" t="str">
        <f>TRIM(MID(SUBSTITUTE($G105, ",", REPT(" ", 100)), (COLUMNS($AJ$2:AW105)-1)*100+1, 100))</f>
        <v/>
      </c>
      <c r="AX105" t="str">
        <f>TRIM(MID(SUBSTITUTE($G105, ",", REPT(" ", 100)), (COLUMNS($AJ$2:AX105)-1)*100+1, 100))</f>
        <v/>
      </c>
      <c r="AY105" t="str">
        <f>TRIM(MID(SUBSTITUTE($G105, ",", REPT(" ", 100)), (COLUMNS($AJ$2:AY105)-1)*100+1, 100))</f>
        <v/>
      </c>
      <c r="AZ105" t="str">
        <f>TRIM(MID(SUBSTITUTE($G105, ",", REPT(" ", 100)), (COLUMNS($AJ$2:AZ105)-1)*100+1, 100))</f>
        <v/>
      </c>
      <c r="BA105" t="str">
        <f>TRIM(MID(SUBSTITUTE($G105, ",", REPT(" ", 100)), (COLUMNS($AJ$2:BA105)-1)*100+1, 100))</f>
        <v/>
      </c>
      <c r="BB105" t="str">
        <f>TRIM(MID(SUBSTITUTE($G105, ",", REPT(" ", 100)), (COLUMNS($AJ$2:BB105)-1)*100+1, 100))</f>
        <v/>
      </c>
      <c r="BC105" t="str">
        <f>TRIM(MID(SUBSTITUTE($G105, ",", REPT(" ", 100)), (COLUMNS($AJ$2:BC105)-1)*100+1, 100))</f>
        <v/>
      </c>
      <c r="BH105">
        <f t="shared" si="3"/>
        <v>1</v>
      </c>
    </row>
    <row r="106" spans="1:60" x14ac:dyDescent="0.5">
      <c r="A106" s="32" t="s">
        <v>437</v>
      </c>
      <c r="B106" s="257">
        <v>46127</v>
      </c>
      <c r="C106" s="2">
        <v>5.7</v>
      </c>
      <c r="D106" s="272"/>
      <c r="E106" s="271"/>
      <c r="F106" s="260">
        <v>0</v>
      </c>
      <c r="G106" s="38" t="s">
        <v>176</v>
      </c>
      <c r="I106" s="38">
        <v>0</v>
      </c>
      <c r="M106" t="s">
        <v>7</v>
      </c>
      <c r="N106" t="s">
        <v>24</v>
      </c>
      <c r="AL106" t="str">
        <f>TRIM(MID(SUBSTITUTE($G106, ",", REPT(" ", 100)), (COLUMNS($AJ$2:AL106)-1)*100+1, 100))</f>
        <v/>
      </c>
      <c r="AM106" s="1">
        <v>45762</v>
      </c>
      <c r="AN106" s="2">
        <v>6</v>
      </c>
      <c r="AO106" s="2">
        <v>6</v>
      </c>
      <c r="AQ106" t="str">
        <f>TRIM(MID(SUBSTITUTE($G106, ",", REPT(" ", 100)), (COLUMNS($AJ$2:AQ106)-1)*100+1, 100))</f>
        <v/>
      </c>
      <c r="AR106" t="str">
        <f>TRIM(MID(SUBSTITUTE($G106, ",", REPT(" ", 100)), (COLUMNS($AJ$2:AR106)-1)*100+1, 100))</f>
        <v/>
      </c>
      <c r="AS106" t="str">
        <f>TRIM(MID(SUBSTITUTE($G106, ",", REPT(" ", 100)), (COLUMNS($AJ$2:AS106)-1)*100+1, 100))</f>
        <v/>
      </c>
      <c r="AT106" t="str">
        <f>TRIM(MID(SUBSTITUTE($G106, ",", REPT(" ", 100)), (COLUMNS($AJ$2:AT106)-1)*100+1, 100))</f>
        <v/>
      </c>
      <c r="AU106" t="str">
        <f>TRIM(MID(SUBSTITUTE($G106, ",", REPT(" ", 100)), (COLUMNS($AJ$2:AU106)-1)*100+1, 100))</f>
        <v/>
      </c>
      <c r="AV106" t="str">
        <f>TRIM(MID(SUBSTITUTE($G106, ",", REPT(" ", 100)), (COLUMNS($AJ$2:AV106)-1)*100+1, 100))</f>
        <v/>
      </c>
      <c r="AW106" t="str">
        <f>TRIM(MID(SUBSTITUTE($G106, ",", REPT(" ", 100)), (COLUMNS($AJ$2:AW106)-1)*100+1, 100))</f>
        <v/>
      </c>
      <c r="AX106" t="str">
        <f>TRIM(MID(SUBSTITUTE($G106, ",", REPT(" ", 100)), (COLUMNS($AJ$2:AX106)-1)*100+1, 100))</f>
        <v/>
      </c>
      <c r="AY106" t="str">
        <f>TRIM(MID(SUBSTITUTE($G106, ",", REPT(" ", 100)), (COLUMNS($AJ$2:AY106)-1)*100+1, 100))</f>
        <v/>
      </c>
      <c r="AZ106" t="str">
        <f>TRIM(MID(SUBSTITUTE($G106, ",", REPT(" ", 100)), (COLUMNS($AJ$2:AZ106)-1)*100+1, 100))</f>
        <v/>
      </c>
      <c r="BA106" t="str">
        <f>TRIM(MID(SUBSTITUTE($G106, ",", REPT(" ", 100)), (COLUMNS($AJ$2:BA106)-1)*100+1, 100))</f>
        <v/>
      </c>
      <c r="BB106" t="str">
        <f>TRIM(MID(SUBSTITUTE($G106, ",", REPT(" ", 100)), (COLUMNS($AJ$2:BB106)-1)*100+1, 100))</f>
        <v/>
      </c>
      <c r="BC106" t="str">
        <f>TRIM(MID(SUBSTITUTE($G106, ",", REPT(" ", 100)), (COLUMNS($AJ$2:BC106)-1)*100+1, 100))</f>
        <v/>
      </c>
      <c r="BH106">
        <f t="shared" si="3"/>
        <v>1</v>
      </c>
    </row>
    <row r="107" spans="1:60" ht="14.7" thickBot="1" x14ac:dyDescent="0.55000000000000004">
      <c r="A107" s="32" t="s">
        <v>431</v>
      </c>
      <c r="B107" s="258">
        <v>46128</v>
      </c>
      <c r="C107" s="2">
        <v>6</v>
      </c>
      <c r="D107" s="272"/>
      <c r="E107" s="271"/>
      <c r="F107" s="260">
        <v>1</v>
      </c>
      <c r="G107" s="38" t="s">
        <v>176</v>
      </c>
      <c r="I107" s="38">
        <v>0</v>
      </c>
      <c r="M107" t="s">
        <v>8</v>
      </c>
      <c r="N107" s="29">
        <v>5.290322580645161</v>
      </c>
      <c r="AL107" t="str">
        <f>TRIM(MID(SUBSTITUTE($G107, ",", REPT(" ", 100)), (COLUMNS($AJ$2:AL107)-1)*100+1, 100))</f>
        <v/>
      </c>
      <c r="AM107" s="1">
        <v>45763</v>
      </c>
      <c r="AN107" s="2">
        <v>5</v>
      </c>
      <c r="AO107" s="2">
        <v>4</v>
      </c>
      <c r="AQ107" t="str">
        <f>TRIM(MID(SUBSTITUTE($G107, ",", REPT(" ", 100)), (COLUMNS($AJ$2:AQ107)-1)*100+1, 100))</f>
        <v/>
      </c>
      <c r="AR107" t="str">
        <f>TRIM(MID(SUBSTITUTE($G107, ",", REPT(" ", 100)), (COLUMNS($AJ$2:AR107)-1)*100+1, 100))</f>
        <v/>
      </c>
      <c r="AS107" t="str">
        <f>TRIM(MID(SUBSTITUTE($G107, ",", REPT(" ", 100)), (COLUMNS($AJ$2:AS107)-1)*100+1, 100))</f>
        <v/>
      </c>
      <c r="AT107" t="str">
        <f>TRIM(MID(SUBSTITUTE($G107, ",", REPT(" ", 100)), (COLUMNS($AJ$2:AT107)-1)*100+1, 100))</f>
        <v/>
      </c>
      <c r="AU107" t="str">
        <f>TRIM(MID(SUBSTITUTE($G107, ",", REPT(" ", 100)), (COLUMNS($AJ$2:AU107)-1)*100+1, 100))</f>
        <v/>
      </c>
      <c r="AV107" t="str">
        <f>TRIM(MID(SUBSTITUTE($G107, ",", REPT(" ", 100)), (COLUMNS($AJ$2:AV107)-1)*100+1, 100))</f>
        <v/>
      </c>
      <c r="AW107" t="str">
        <f>TRIM(MID(SUBSTITUTE($G107, ",", REPT(" ", 100)), (COLUMNS($AJ$2:AW107)-1)*100+1, 100))</f>
        <v/>
      </c>
      <c r="AX107" t="str">
        <f>TRIM(MID(SUBSTITUTE($G107, ",", REPT(" ", 100)), (COLUMNS($AJ$2:AX107)-1)*100+1, 100))</f>
        <v/>
      </c>
      <c r="AY107" t="str">
        <f>TRIM(MID(SUBSTITUTE($G107, ",", REPT(" ", 100)), (COLUMNS($AJ$2:AY107)-1)*100+1, 100))</f>
        <v/>
      </c>
      <c r="AZ107" t="str">
        <f>TRIM(MID(SUBSTITUTE($G107, ",", REPT(" ", 100)), (COLUMNS($AJ$2:AZ107)-1)*100+1, 100))</f>
        <v/>
      </c>
      <c r="BA107" t="str">
        <f>TRIM(MID(SUBSTITUTE($G107, ",", REPT(" ", 100)), (COLUMNS($AJ$2:BA107)-1)*100+1, 100))</f>
        <v/>
      </c>
      <c r="BB107" t="str">
        <f>TRIM(MID(SUBSTITUTE($G107, ",", REPT(" ", 100)), (COLUMNS($AJ$2:BB107)-1)*100+1, 100))</f>
        <v/>
      </c>
      <c r="BC107" t="str">
        <f>TRIM(MID(SUBSTITUTE($G107, ",", REPT(" ", 100)), (COLUMNS($AJ$2:BC107)-1)*100+1, 100))</f>
        <v/>
      </c>
      <c r="BH107">
        <f t="shared" si="3"/>
        <v>1</v>
      </c>
    </row>
    <row r="108" spans="1:60" x14ac:dyDescent="0.5">
      <c r="A108" s="32" t="s">
        <v>432</v>
      </c>
      <c r="B108" s="257">
        <v>46129</v>
      </c>
      <c r="C108" s="2">
        <v>5.9</v>
      </c>
      <c r="D108" s="272"/>
      <c r="E108" s="271"/>
      <c r="F108" s="260">
        <v>1</v>
      </c>
      <c r="G108" s="38" t="s">
        <v>176</v>
      </c>
      <c r="H108" s="38" t="s">
        <v>531</v>
      </c>
      <c r="I108" s="38">
        <v>0</v>
      </c>
      <c r="M108" t="s">
        <v>9</v>
      </c>
      <c r="N108" s="29">
        <v>4.4137931034482758</v>
      </c>
      <c r="AL108" t="str">
        <f>TRIM(MID(SUBSTITUTE($G108, ",", REPT(" ", 100)), (COLUMNS($AJ$2:AL108)-1)*100+1, 100))</f>
        <v/>
      </c>
      <c r="AM108" s="1">
        <v>45764</v>
      </c>
      <c r="AN108" s="2">
        <v>7</v>
      </c>
      <c r="AO108" s="2">
        <v>8</v>
      </c>
      <c r="AQ108" t="str">
        <f>TRIM(MID(SUBSTITUTE($G108, ",", REPT(" ", 100)), (COLUMNS($AJ$2:AQ108)-1)*100+1, 100))</f>
        <v/>
      </c>
      <c r="AR108" t="str">
        <f>TRIM(MID(SUBSTITUTE($G108, ",", REPT(" ", 100)), (COLUMNS($AJ$2:AR108)-1)*100+1, 100))</f>
        <v/>
      </c>
      <c r="AS108" t="str">
        <f>TRIM(MID(SUBSTITUTE($G108, ",", REPT(" ", 100)), (COLUMNS($AJ$2:AS108)-1)*100+1, 100))</f>
        <v/>
      </c>
      <c r="AT108" t="str">
        <f>TRIM(MID(SUBSTITUTE($G108, ",", REPT(" ", 100)), (COLUMNS($AJ$2:AT108)-1)*100+1, 100))</f>
        <v/>
      </c>
      <c r="AU108" t="str">
        <f>TRIM(MID(SUBSTITUTE($G108, ",", REPT(" ", 100)), (COLUMNS($AJ$2:AU108)-1)*100+1, 100))</f>
        <v/>
      </c>
      <c r="AV108" t="str">
        <f>TRIM(MID(SUBSTITUTE($G108, ",", REPT(" ", 100)), (COLUMNS($AJ$2:AV108)-1)*100+1, 100))</f>
        <v/>
      </c>
      <c r="AW108" t="str">
        <f>TRIM(MID(SUBSTITUTE($G108, ",", REPT(" ", 100)), (COLUMNS($AJ$2:AW108)-1)*100+1, 100))</f>
        <v/>
      </c>
      <c r="AX108" t="str">
        <f>TRIM(MID(SUBSTITUTE($G108, ",", REPT(" ", 100)), (COLUMNS($AJ$2:AX108)-1)*100+1, 100))</f>
        <v/>
      </c>
      <c r="AY108" t="str">
        <f>TRIM(MID(SUBSTITUTE($G108, ",", REPT(" ", 100)), (COLUMNS($AJ$2:AY108)-1)*100+1, 100))</f>
        <v/>
      </c>
      <c r="AZ108" t="str">
        <f>TRIM(MID(SUBSTITUTE($G108, ",", REPT(" ", 100)), (COLUMNS($AJ$2:AZ108)-1)*100+1, 100))</f>
        <v/>
      </c>
      <c r="BA108" t="str">
        <f>TRIM(MID(SUBSTITUTE($G108, ",", REPT(" ", 100)), (COLUMNS($AJ$2:BA108)-1)*100+1, 100))</f>
        <v/>
      </c>
      <c r="BB108" t="str">
        <f>TRIM(MID(SUBSTITUTE($G108, ",", REPT(" ", 100)), (COLUMNS($AJ$2:BB108)-1)*100+1, 100))</f>
        <v/>
      </c>
      <c r="BC108" t="str">
        <f>TRIM(MID(SUBSTITUTE($G108, ",", REPT(" ", 100)), (COLUMNS($AJ$2:BC108)-1)*100+1, 100))</f>
        <v/>
      </c>
      <c r="BH108">
        <f t="shared" si="3"/>
        <v>1</v>
      </c>
    </row>
    <row r="109" spans="1:60" ht="14.7" thickBot="1" x14ac:dyDescent="0.55000000000000004">
      <c r="A109" s="32" t="s">
        <v>433</v>
      </c>
      <c r="B109" s="258">
        <v>46130</v>
      </c>
      <c r="C109" s="2">
        <v>5.8</v>
      </c>
      <c r="D109" s="272"/>
      <c r="E109" s="271"/>
      <c r="F109" s="260">
        <v>0</v>
      </c>
      <c r="G109" s="38" t="s">
        <v>176</v>
      </c>
      <c r="I109" s="38">
        <v>0</v>
      </c>
      <c r="M109" t="s">
        <v>10</v>
      </c>
      <c r="N109" s="29">
        <v>5.5483870967741939</v>
      </c>
      <c r="AL109" t="str">
        <f>TRIM(MID(SUBSTITUTE($G109, ",", REPT(" ", 100)), (COLUMNS($AJ$2:AL109)-1)*100+1, 100))</f>
        <v/>
      </c>
      <c r="AM109" s="1">
        <v>45765</v>
      </c>
      <c r="AN109" s="2">
        <v>5</v>
      </c>
      <c r="AO109" s="2">
        <v>6</v>
      </c>
      <c r="AQ109" t="str">
        <f>TRIM(MID(SUBSTITUTE($G109, ",", REPT(" ", 100)), (COLUMNS($AJ$2:AQ109)-1)*100+1, 100))</f>
        <v/>
      </c>
      <c r="AR109" t="str">
        <f>TRIM(MID(SUBSTITUTE($G109, ",", REPT(" ", 100)), (COLUMNS($AJ$2:AR109)-1)*100+1, 100))</f>
        <v/>
      </c>
      <c r="AS109" t="str">
        <f>TRIM(MID(SUBSTITUTE($G109, ",", REPT(" ", 100)), (COLUMNS($AJ$2:AS109)-1)*100+1, 100))</f>
        <v/>
      </c>
      <c r="AT109" t="str">
        <f>TRIM(MID(SUBSTITUTE($G109, ",", REPT(" ", 100)), (COLUMNS($AJ$2:AT109)-1)*100+1, 100))</f>
        <v/>
      </c>
      <c r="AU109" t="str">
        <f>TRIM(MID(SUBSTITUTE($G109, ",", REPT(" ", 100)), (COLUMNS($AJ$2:AU109)-1)*100+1, 100))</f>
        <v/>
      </c>
      <c r="AV109" t="str">
        <f>TRIM(MID(SUBSTITUTE($G109, ",", REPT(" ", 100)), (COLUMNS($AJ$2:AV109)-1)*100+1, 100))</f>
        <v/>
      </c>
      <c r="AW109" t="str">
        <f>TRIM(MID(SUBSTITUTE($G109, ",", REPT(" ", 100)), (COLUMNS($AJ$2:AW109)-1)*100+1, 100))</f>
        <v/>
      </c>
      <c r="AX109" t="str">
        <f>TRIM(MID(SUBSTITUTE($G109, ",", REPT(" ", 100)), (COLUMNS($AJ$2:AX109)-1)*100+1, 100))</f>
        <v/>
      </c>
      <c r="AY109" t="str">
        <f>TRIM(MID(SUBSTITUTE($G109, ",", REPT(" ", 100)), (COLUMNS($AJ$2:AY109)-1)*100+1, 100))</f>
        <v/>
      </c>
      <c r="AZ109" t="str">
        <f>TRIM(MID(SUBSTITUTE($G109, ",", REPT(" ", 100)), (COLUMNS($AJ$2:AZ109)-1)*100+1, 100))</f>
        <v/>
      </c>
      <c r="BA109" t="str">
        <f>TRIM(MID(SUBSTITUTE($G109, ",", REPT(" ", 100)), (COLUMNS($AJ$2:BA109)-1)*100+1, 100))</f>
        <v/>
      </c>
      <c r="BB109" t="str">
        <f>TRIM(MID(SUBSTITUTE($G109, ",", REPT(" ", 100)), (COLUMNS($AJ$2:BB109)-1)*100+1, 100))</f>
        <v/>
      </c>
      <c r="BC109" t="str">
        <f>TRIM(MID(SUBSTITUTE($G109, ",", REPT(" ", 100)), (COLUMNS($AJ$2:BC109)-1)*100+1, 100))</f>
        <v/>
      </c>
      <c r="BH109">
        <f t="shared" si="3"/>
        <v>1</v>
      </c>
    </row>
    <row r="110" spans="1:60" x14ac:dyDescent="0.5">
      <c r="A110" s="32" t="s">
        <v>434</v>
      </c>
      <c r="B110" s="257">
        <v>46131</v>
      </c>
      <c r="C110" s="2">
        <v>7.2</v>
      </c>
      <c r="D110" s="272"/>
      <c r="E110" s="271"/>
      <c r="F110" s="260">
        <v>1</v>
      </c>
      <c r="G110" s="38" t="s">
        <v>176</v>
      </c>
      <c r="I110" s="38">
        <v>0</v>
      </c>
      <c r="M110" t="s">
        <v>11</v>
      </c>
      <c r="N110" s="29">
        <v>4.4666666666666668</v>
      </c>
      <c r="AL110" t="str">
        <f>TRIM(MID(SUBSTITUTE($G110, ",", REPT(" ", 100)), (COLUMNS($AJ$2:AL110)-1)*100+1, 100))</f>
        <v/>
      </c>
      <c r="AM110" s="1">
        <v>45766</v>
      </c>
      <c r="AN110" s="2">
        <v>5</v>
      </c>
      <c r="AO110" s="2">
        <v>6</v>
      </c>
      <c r="AQ110" t="str">
        <f>TRIM(MID(SUBSTITUTE($G110, ",", REPT(" ", 100)), (COLUMNS($AJ$2:AQ110)-1)*100+1, 100))</f>
        <v/>
      </c>
      <c r="AR110" t="str">
        <f>TRIM(MID(SUBSTITUTE($G110, ",", REPT(" ", 100)), (COLUMNS($AJ$2:AR110)-1)*100+1, 100))</f>
        <v/>
      </c>
      <c r="AS110" t="str">
        <f>TRIM(MID(SUBSTITUTE($G110, ",", REPT(" ", 100)), (COLUMNS($AJ$2:AS110)-1)*100+1, 100))</f>
        <v/>
      </c>
      <c r="AT110" t="str">
        <f>TRIM(MID(SUBSTITUTE($G110, ",", REPT(" ", 100)), (COLUMNS($AJ$2:AT110)-1)*100+1, 100))</f>
        <v/>
      </c>
      <c r="AU110" t="str">
        <f>TRIM(MID(SUBSTITUTE($G110, ",", REPT(" ", 100)), (COLUMNS($AJ$2:AU110)-1)*100+1, 100))</f>
        <v/>
      </c>
      <c r="AV110" t="str">
        <f>TRIM(MID(SUBSTITUTE($G110, ",", REPT(" ", 100)), (COLUMNS($AJ$2:AV110)-1)*100+1, 100))</f>
        <v/>
      </c>
      <c r="AW110" t="str">
        <f>TRIM(MID(SUBSTITUTE($G110, ",", REPT(" ", 100)), (COLUMNS($AJ$2:AW110)-1)*100+1, 100))</f>
        <v/>
      </c>
      <c r="AX110" t="str">
        <f>TRIM(MID(SUBSTITUTE($G110, ",", REPT(" ", 100)), (COLUMNS($AJ$2:AX110)-1)*100+1, 100))</f>
        <v/>
      </c>
      <c r="AY110" t="str">
        <f>TRIM(MID(SUBSTITUTE($G110, ",", REPT(" ", 100)), (COLUMNS($AJ$2:AY110)-1)*100+1, 100))</f>
        <v/>
      </c>
      <c r="AZ110" t="str">
        <f>TRIM(MID(SUBSTITUTE($G110, ",", REPT(" ", 100)), (COLUMNS($AJ$2:AZ110)-1)*100+1, 100))</f>
        <v/>
      </c>
      <c r="BA110" t="str">
        <f>TRIM(MID(SUBSTITUTE($G110, ",", REPT(" ", 100)), (COLUMNS($AJ$2:BA110)-1)*100+1, 100))</f>
        <v/>
      </c>
      <c r="BB110" t="str">
        <f>TRIM(MID(SUBSTITUTE($G110, ",", REPT(" ", 100)), (COLUMNS($AJ$2:BB110)-1)*100+1, 100))</f>
        <v/>
      </c>
      <c r="BC110" t="str">
        <f>TRIM(MID(SUBSTITUTE($G110, ",", REPT(" ", 100)), (COLUMNS($AJ$2:BC110)-1)*100+1, 100))</f>
        <v/>
      </c>
      <c r="BH110">
        <f t="shared" si="3"/>
        <v>1</v>
      </c>
    </row>
    <row r="111" spans="1:60" ht="14.7" thickBot="1" x14ac:dyDescent="0.55000000000000004">
      <c r="A111" s="32" t="s">
        <v>435</v>
      </c>
      <c r="B111" s="258">
        <v>46132</v>
      </c>
      <c r="C111" s="2">
        <v>5.5</v>
      </c>
      <c r="D111" s="272"/>
      <c r="E111" s="271"/>
      <c r="F111" s="260">
        <v>0</v>
      </c>
      <c r="G111" s="38" t="s">
        <v>176</v>
      </c>
      <c r="I111" s="38">
        <v>0</v>
      </c>
      <c r="M111" t="s">
        <v>12</v>
      </c>
      <c r="N111" s="29">
        <v>6.129032258064516</v>
      </c>
      <c r="AL111" t="str">
        <f>TRIM(MID(SUBSTITUTE($G111, ",", REPT(" ", 100)), (COLUMNS($AJ$2:AL111)-1)*100+1, 100))</f>
        <v/>
      </c>
      <c r="AM111" s="1">
        <v>45767</v>
      </c>
      <c r="AN111" s="2">
        <v>3</v>
      </c>
      <c r="AO111" s="2">
        <v>4</v>
      </c>
      <c r="AQ111" t="str">
        <f>TRIM(MID(SUBSTITUTE($G111, ",", REPT(" ", 100)), (COLUMNS($AJ$2:AQ111)-1)*100+1, 100))</f>
        <v/>
      </c>
      <c r="AR111" t="str">
        <f>TRIM(MID(SUBSTITUTE($G111, ",", REPT(" ", 100)), (COLUMNS($AJ$2:AR111)-1)*100+1, 100))</f>
        <v/>
      </c>
      <c r="AS111" t="str">
        <f>TRIM(MID(SUBSTITUTE($G111, ",", REPT(" ", 100)), (COLUMNS($AJ$2:AS111)-1)*100+1, 100))</f>
        <v/>
      </c>
      <c r="AT111" t="str">
        <f>TRIM(MID(SUBSTITUTE($G111, ",", REPT(" ", 100)), (COLUMNS($AJ$2:AT111)-1)*100+1, 100))</f>
        <v/>
      </c>
      <c r="AU111" t="str">
        <f>TRIM(MID(SUBSTITUTE($G111, ",", REPT(" ", 100)), (COLUMNS($AJ$2:AU111)-1)*100+1, 100))</f>
        <v/>
      </c>
      <c r="AV111" t="str">
        <f>TRIM(MID(SUBSTITUTE($G111, ",", REPT(" ", 100)), (COLUMNS($AJ$2:AV111)-1)*100+1, 100))</f>
        <v/>
      </c>
      <c r="AW111" t="str">
        <f>TRIM(MID(SUBSTITUTE($G111, ",", REPT(" ", 100)), (COLUMNS($AJ$2:AW111)-1)*100+1, 100))</f>
        <v/>
      </c>
      <c r="AX111" t="str">
        <f>TRIM(MID(SUBSTITUTE($G111, ",", REPT(" ", 100)), (COLUMNS($AJ$2:AX111)-1)*100+1, 100))</f>
        <v/>
      </c>
      <c r="AY111" t="str">
        <f>TRIM(MID(SUBSTITUTE($G111, ",", REPT(" ", 100)), (COLUMNS($AJ$2:AY111)-1)*100+1, 100))</f>
        <v/>
      </c>
      <c r="AZ111" t="str">
        <f>TRIM(MID(SUBSTITUTE($G111, ",", REPT(" ", 100)), (COLUMNS($AJ$2:AZ111)-1)*100+1, 100))</f>
        <v/>
      </c>
      <c r="BA111" t="str">
        <f>TRIM(MID(SUBSTITUTE($G111, ",", REPT(" ", 100)), (COLUMNS($AJ$2:BA111)-1)*100+1, 100))</f>
        <v/>
      </c>
      <c r="BB111" t="str">
        <f>TRIM(MID(SUBSTITUTE($G111, ",", REPT(" ", 100)), (COLUMNS($AJ$2:BB111)-1)*100+1, 100))</f>
        <v/>
      </c>
      <c r="BC111" t="str">
        <f>TRIM(MID(SUBSTITUTE($G111, ",", REPT(" ", 100)), (COLUMNS($AJ$2:BC111)-1)*100+1, 100))</f>
        <v/>
      </c>
      <c r="BH111">
        <f t="shared" si="3"/>
        <v>1</v>
      </c>
    </row>
    <row r="112" spans="1:60" x14ac:dyDescent="0.5">
      <c r="A112" s="32" t="s">
        <v>436</v>
      </c>
      <c r="B112" s="257">
        <v>46133</v>
      </c>
      <c r="C112" s="2">
        <v>6.3</v>
      </c>
      <c r="D112" s="272"/>
      <c r="E112" s="271"/>
      <c r="F112" s="260">
        <v>0</v>
      </c>
      <c r="G112" s="38" t="s">
        <v>176</v>
      </c>
      <c r="I112" s="38">
        <v>0</v>
      </c>
      <c r="M112" t="s">
        <v>13</v>
      </c>
      <c r="N112" s="29">
        <v>5.333333333333333</v>
      </c>
      <c r="AL112" t="str">
        <f>TRIM(MID(SUBSTITUTE($G112, ",", REPT(" ", 100)), (COLUMNS($AJ$2:AL112)-1)*100+1, 100))</f>
        <v/>
      </c>
      <c r="AM112" s="1">
        <v>45768</v>
      </c>
      <c r="AN112" s="2">
        <v>5</v>
      </c>
      <c r="AO112" s="2">
        <v>6</v>
      </c>
      <c r="AQ112" t="str">
        <f>TRIM(MID(SUBSTITUTE($G112, ",", REPT(" ", 100)), (COLUMNS($AJ$2:AQ112)-1)*100+1, 100))</f>
        <v/>
      </c>
      <c r="AR112" t="str">
        <f>TRIM(MID(SUBSTITUTE($G112, ",", REPT(" ", 100)), (COLUMNS($AJ$2:AR112)-1)*100+1, 100))</f>
        <v/>
      </c>
      <c r="AS112" t="str">
        <f>TRIM(MID(SUBSTITUTE($G112, ",", REPT(" ", 100)), (COLUMNS($AJ$2:AS112)-1)*100+1, 100))</f>
        <v/>
      </c>
      <c r="AT112" t="str">
        <f>TRIM(MID(SUBSTITUTE($G112, ",", REPT(" ", 100)), (COLUMNS($AJ$2:AT112)-1)*100+1, 100))</f>
        <v/>
      </c>
      <c r="AU112" t="str">
        <f>TRIM(MID(SUBSTITUTE($G112, ",", REPT(" ", 100)), (COLUMNS($AJ$2:AU112)-1)*100+1, 100))</f>
        <v/>
      </c>
      <c r="AV112" t="str">
        <f>TRIM(MID(SUBSTITUTE($G112, ",", REPT(" ", 100)), (COLUMNS($AJ$2:AV112)-1)*100+1, 100))</f>
        <v/>
      </c>
      <c r="AW112" t="str">
        <f>TRIM(MID(SUBSTITUTE($G112, ",", REPT(" ", 100)), (COLUMNS($AJ$2:AW112)-1)*100+1, 100))</f>
        <v/>
      </c>
      <c r="AX112" t="str">
        <f>TRIM(MID(SUBSTITUTE($G112, ",", REPT(" ", 100)), (COLUMNS($AJ$2:AX112)-1)*100+1, 100))</f>
        <v/>
      </c>
      <c r="AY112" t="str">
        <f>TRIM(MID(SUBSTITUTE($G112, ",", REPT(" ", 100)), (COLUMNS($AJ$2:AY112)-1)*100+1, 100))</f>
        <v/>
      </c>
      <c r="AZ112" t="str">
        <f>TRIM(MID(SUBSTITUTE($G112, ",", REPT(" ", 100)), (COLUMNS($AJ$2:AZ112)-1)*100+1, 100))</f>
        <v/>
      </c>
      <c r="BA112" t="str">
        <f>TRIM(MID(SUBSTITUTE($G112, ",", REPT(" ", 100)), (COLUMNS($AJ$2:BA112)-1)*100+1, 100))</f>
        <v/>
      </c>
      <c r="BB112" t="str">
        <f>TRIM(MID(SUBSTITUTE($G112, ",", REPT(" ", 100)), (COLUMNS($AJ$2:BB112)-1)*100+1, 100))</f>
        <v/>
      </c>
      <c r="BC112" t="str">
        <f>TRIM(MID(SUBSTITUTE($G112, ",", REPT(" ", 100)), (COLUMNS($AJ$2:BC112)-1)*100+1, 100))</f>
        <v/>
      </c>
      <c r="BH112">
        <f t="shared" si="3"/>
        <v>1</v>
      </c>
    </row>
    <row r="113" spans="1:60" ht="14.7" thickBot="1" x14ac:dyDescent="0.55000000000000004">
      <c r="A113" s="32" t="s">
        <v>437</v>
      </c>
      <c r="B113" s="258">
        <v>46134</v>
      </c>
      <c r="C113" s="2">
        <v>1.9</v>
      </c>
      <c r="D113" s="272"/>
      <c r="E113" s="271"/>
      <c r="F113" s="260">
        <v>1</v>
      </c>
      <c r="G113" s="38" t="s">
        <v>176</v>
      </c>
      <c r="H113" s="38" t="s">
        <v>537</v>
      </c>
      <c r="I113" s="38">
        <v>0</v>
      </c>
      <c r="M113" t="s">
        <v>14</v>
      </c>
      <c r="N113" s="29">
        <v>5.032258064516129</v>
      </c>
      <c r="AL113" t="str">
        <f>TRIM(MID(SUBSTITUTE($G113, ",", REPT(" ", 100)), (COLUMNS($AJ$2:AL113)-1)*100+1, 100))</f>
        <v/>
      </c>
      <c r="AM113" s="1">
        <v>45769</v>
      </c>
      <c r="AN113" s="2">
        <v>3.5</v>
      </c>
      <c r="AO113" s="2">
        <v>6</v>
      </c>
      <c r="AQ113" t="str">
        <f>TRIM(MID(SUBSTITUTE($G113, ",", REPT(" ", 100)), (COLUMNS($AJ$2:AQ113)-1)*100+1, 100))</f>
        <v/>
      </c>
      <c r="AR113" t="str">
        <f>TRIM(MID(SUBSTITUTE($G113, ",", REPT(" ", 100)), (COLUMNS($AJ$2:AR113)-1)*100+1, 100))</f>
        <v/>
      </c>
      <c r="AS113" t="str">
        <f>TRIM(MID(SUBSTITUTE($G113, ",", REPT(" ", 100)), (COLUMNS($AJ$2:AS113)-1)*100+1, 100))</f>
        <v/>
      </c>
      <c r="AT113" t="str">
        <f>TRIM(MID(SUBSTITUTE($G113, ",", REPT(" ", 100)), (COLUMNS($AJ$2:AT113)-1)*100+1, 100))</f>
        <v/>
      </c>
      <c r="AU113" t="str">
        <f>TRIM(MID(SUBSTITUTE($G113, ",", REPT(" ", 100)), (COLUMNS($AJ$2:AU113)-1)*100+1, 100))</f>
        <v/>
      </c>
      <c r="AV113" t="str">
        <f>TRIM(MID(SUBSTITUTE($G113, ",", REPT(" ", 100)), (COLUMNS($AJ$2:AV113)-1)*100+1, 100))</f>
        <v/>
      </c>
      <c r="AW113" t="str">
        <f>TRIM(MID(SUBSTITUTE($G113, ",", REPT(" ", 100)), (COLUMNS($AJ$2:AW113)-1)*100+1, 100))</f>
        <v/>
      </c>
      <c r="AX113" t="str">
        <f>TRIM(MID(SUBSTITUTE($G113, ",", REPT(" ", 100)), (COLUMNS($AJ$2:AX113)-1)*100+1, 100))</f>
        <v/>
      </c>
      <c r="AY113" t="str">
        <f>TRIM(MID(SUBSTITUTE($G113, ",", REPT(" ", 100)), (COLUMNS($AJ$2:AY113)-1)*100+1, 100))</f>
        <v/>
      </c>
      <c r="AZ113" t="str">
        <f>TRIM(MID(SUBSTITUTE($G113, ",", REPT(" ", 100)), (COLUMNS($AJ$2:AZ113)-1)*100+1, 100))</f>
        <v/>
      </c>
      <c r="BA113" t="str">
        <f>TRIM(MID(SUBSTITUTE($G113, ",", REPT(" ", 100)), (COLUMNS($AJ$2:BA113)-1)*100+1, 100))</f>
        <v/>
      </c>
      <c r="BB113" t="str">
        <f>TRIM(MID(SUBSTITUTE($G113, ",", REPT(" ", 100)), (COLUMNS($AJ$2:BB113)-1)*100+1, 100))</f>
        <v/>
      </c>
      <c r="BC113" t="str">
        <f>TRIM(MID(SUBSTITUTE($G113, ",", REPT(" ", 100)), (COLUMNS($AJ$2:BC113)-1)*100+1, 100))</f>
        <v/>
      </c>
      <c r="BH113">
        <f t="shared" si="3"/>
        <v>1</v>
      </c>
    </row>
    <row r="114" spans="1:60" x14ac:dyDescent="0.5">
      <c r="A114" s="32" t="s">
        <v>431</v>
      </c>
      <c r="B114" s="257">
        <v>46135</v>
      </c>
      <c r="C114" s="2">
        <v>7</v>
      </c>
      <c r="D114" s="272"/>
      <c r="E114" s="271"/>
      <c r="F114" s="260">
        <v>1</v>
      </c>
      <c r="G114" s="38" t="s">
        <v>532</v>
      </c>
      <c r="I114" s="38">
        <v>0</v>
      </c>
      <c r="M114" t="s">
        <v>15</v>
      </c>
      <c r="N114" s="29">
        <v>4.967741935483871</v>
      </c>
      <c r="AL114" t="str">
        <f>TRIM(MID(SUBSTITUTE($G114, ",", REPT(" ", 100)), (COLUMNS($AJ$2:AL114)-1)*100+1, 100))</f>
        <v/>
      </c>
      <c r="AM114" s="1">
        <v>45770</v>
      </c>
      <c r="AN114" s="2">
        <v>2</v>
      </c>
      <c r="AO114" s="2">
        <v>4</v>
      </c>
      <c r="AQ114" t="str">
        <f>TRIM(MID(SUBSTITUTE($G114, ",", REPT(" ", 100)), (COLUMNS($AJ$2:AQ114)-1)*100+1, 100))</f>
        <v/>
      </c>
      <c r="AR114" t="str">
        <f>TRIM(MID(SUBSTITUTE($G114, ",", REPT(" ", 100)), (COLUMNS($AJ$2:AR114)-1)*100+1, 100))</f>
        <v/>
      </c>
      <c r="AS114" t="str">
        <f>TRIM(MID(SUBSTITUTE($G114, ",", REPT(" ", 100)), (COLUMNS($AJ$2:AS114)-1)*100+1, 100))</f>
        <v/>
      </c>
      <c r="AT114" t="str">
        <f>TRIM(MID(SUBSTITUTE($G114, ",", REPT(" ", 100)), (COLUMNS($AJ$2:AT114)-1)*100+1, 100))</f>
        <v/>
      </c>
      <c r="AU114" t="str">
        <f>TRIM(MID(SUBSTITUTE($G114, ",", REPT(" ", 100)), (COLUMNS($AJ$2:AU114)-1)*100+1, 100))</f>
        <v/>
      </c>
      <c r="AV114" t="str">
        <f>TRIM(MID(SUBSTITUTE($G114, ",", REPT(" ", 100)), (COLUMNS($AJ$2:AV114)-1)*100+1, 100))</f>
        <v/>
      </c>
      <c r="AW114" t="str">
        <f>TRIM(MID(SUBSTITUTE($G114, ",", REPT(" ", 100)), (COLUMNS($AJ$2:AW114)-1)*100+1, 100))</f>
        <v/>
      </c>
      <c r="AX114" t="str">
        <f>TRIM(MID(SUBSTITUTE($G114, ",", REPT(" ", 100)), (COLUMNS($AJ$2:AX114)-1)*100+1, 100))</f>
        <v/>
      </c>
      <c r="AY114" t="str">
        <f>TRIM(MID(SUBSTITUTE($G114, ",", REPT(" ", 100)), (COLUMNS($AJ$2:AY114)-1)*100+1, 100))</f>
        <v/>
      </c>
      <c r="AZ114" t="str">
        <f>TRIM(MID(SUBSTITUTE($G114, ",", REPT(" ", 100)), (COLUMNS($AJ$2:AZ114)-1)*100+1, 100))</f>
        <v/>
      </c>
      <c r="BA114" t="str">
        <f>TRIM(MID(SUBSTITUTE($G114, ",", REPT(" ", 100)), (COLUMNS($AJ$2:BA114)-1)*100+1, 100))</f>
        <v/>
      </c>
      <c r="BB114" t="str">
        <f>TRIM(MID(SUBSTITUTE($G114, ",", REPT(" ", 100)), (COLUMNS($AJ$2:BB114)-1)*100+1, 100))</f>
        <v/>
      </c>
      <c r="BC114" t="str">
        <f>TRIM(MID(SUBSTITUTE($G114, ",", REPT(" ", 100)), (COLUMNS($AJ$2:BC114)-1)*100+1, 100))</f>
        <v/>
      </c>
      <c r="BH114">
        <f t="shared" si="3"/>
        <v>0.5</v>
      </c>
    </row>
    <row r="115" spans="1:60" ht="14.7" thickBot="1" x14ac:dyDescent="0.55000000000000004">
      <c r="A115" s="32" t="s">
        <v>432</v>
      </c>
      <c r="B115" s="258">
        <v>46136</v>
      </c>
      <c r="C115" s="2">
        <v>10</v>
      </c>
      <c r="D115" s="272"/>
      <c r="E115" s="271"/>
      <c r="F115" s="260">
        <v>1</v>
      </c>
      <c r="G115" s="38" t="s">
        <v>533</v>
      </c>
      <c r="I115" s="38">
        <v>0</v>
      </c>
      <c r="M115" t="s">
        <v>16</v>
      </c>
      <c r="N115" s="29">
        <v>5.2666666666666666</v>
      </c>
      <c r="AL115" t="str">
        <f>TRIM(MID(SUBSTITUTE($G115, ",", REPT(" ", 100)), (COLUMNS($AJ$2:AL115)-1)*100+1, 100))</f>
        <v/>
      </c>
      <c r="AM115" s="1">
        <v>45771</v>
      </c>
      <c r="AN115" s="2">
        <v>5</v>
      </c>
      <c r="AO115" s="2">
        <v>6</v>
      </c>
      <c r="AQ115" t="str">
        <f>TRIM(MID(SUBSTITUTE($G115, ",", REPT(" ", 100)), (COLUMNS($AJ$2:AQ115)-1)*100+1, 100))</f>
        <v/>
      </c>
      <c r="AR115" t="str">
        <f>TRIM(MID(SUBSTITUTE($G115, ",", REPT(" ", 100)), (COLUMNS($AJ$2:AR115)-1)*100+1, 100))</f>
        <v/>
      </c>
      <c r="AS115" t="str">
        <f>TRIM(MID(SUBSTITUTE($G115, ",", REPT(" ", 100)), (COLUMNS($AJ$2:AS115)-1)*100+1, 100))</f>
        <v/>
      </c>
      <c r="AT115" t="str">
        <f>TRIM(MID(SUBSTITUTE($G115, ",", REPT(" ", 100)), (COLUMNS($AJ$2:AT115)-1)*100+1, 100))</f>
        <v/>
      </c>
      <c r="AU115" t="str">
        <f>TRIM(MID(SUBSTITUTE($G115, ",", REPT(" ", 100)), (COLUMNS($AJ$2:AU115)-1)*100+1, 100))</f>
        <v/>
      </c>
      <c r="AV115" t="str">
        <f>TRIM(MID(SUBSTITUTE($G115, ",", REPT(" ", 100)), (COLUMNS($AJ$2:AV115)-1)*100+1, 100))</f>
        <v/>
      </c>
      <c r="AW115" t="str">
        <f>TRIM(MID(SUBSTITUTE($G115, ",", REPT(" ", 100)), (COLUMNS($AJ$2:AW115)-1)*100+1, 100))</f>
        <v/>
      </c>
      <c r="AX115" t="str">
        <f>TRIM(MID(SUBSTITUTE($G115, ",", REPT(" ", 100)), (COLUMNS($AJ$2:AX115)-1)*100+1, 100))</f>
        <v/>
      </c>
      <c r="AY115" t="str">
        <f>TRIM(MID(SUBSTITUTE($G115, ",", REPT(" ", 100)), (COLUMNS($AJ$2:AY115)-1)*100+1, 100))</f>
        <v/>
      </c>
      <c r="AZ115" t="str">
        <f>TRIM(MID(SUBSTITUTE($G115, ",", REPT(" ", 100)), (COLUMNS($AJ$2:AZ115)-1)*100+1, 100))</f>
        <v/>
      </c>
      <c r="BA115" t="str">
        <f>TRIM(MID(SUBSTITUTE($G115, ",", REPT(" ", 100)), (COLUMNS($AJ$2:BA115)-1)*100+1, 100))</f>
        <v/>
      </c>
      <c r="BB115" t="str">
        <f>TRIM(MID(SUBSTITUTE($G115, ",", REPT(" ", 100)), (COLUMNS($AJ$2:BB115)-1)*100+1, 100))</f>
        <v/>
      </c>
      <c r="BC115" t="str">
        <f>TRIM(MID(SUBSTITUTE($G115, ",", REPT(" ", 100)), (COLUMNS($AJ$2:BC115)-1)*100+1, 100))</f>
        <v/>
      </c>
      <c r="BH115">
        <f t="shared" si="3"/>
        <v>1</v>
      </c>
    </row>
    <row r="116" spans="1:60" x14ac:dyDescent="0.5">
      <c r="A116" s="32" t="s">
        <v>433</v>
      </c>
      <c r="B116" s="257">
        <v>46137</v>
      </c>
      <c r="C116" s="2">
        <v>9</v>
      </c>
      <c r="D116" s="272"/>
      <c r="E116" s="271"/>
      <c r="F116" s="260">
        <v>0</v>
      </c>
      <c r="G116" s="38" t="s">
        <v>533</v>
      </c>
      <c r="I116" s="38">
        <v>0</v>
      </c>
      <c r="M116" t="s">
        <v>17</v>
      </c>
      <c r="N116" s="29">
        <v>5.612903225806452</v>
      </c>
      <c r="AL116" t="str">
        <f>TRIM(MID(SUBSTITUTE($G116, ",", REPT(" ", 100)), (COLUMNS($AJ$2:AL116)-1)*100+1, 100))</f>
        <v/>
      </c>
      <c r="AM116" s="1">
        <v>45772</v>
      </c>
      <c r="AN116" s="2">
        <v>7</v>
      </c>
      <c r="AO116" s="2">
        <v>4</v>
      </c>
      <c r="AQ116" t="str">
        <f>TRIM(MID(SUBSTITUTE($G116, ",", REPT(" ", 100)), (COLUMNS($AJ$2:AQ116)-1)*100+1, 100))</f>
        <v/>
      </c>
      <c r="AR116" t="str">
        <f>TRIM(MID(SUBSTITUTE($G116, ",", REPT(" ", 100)), (COLUMNS($AJ$2:AR116)-1)*100+1, 100))</f>
        <v/>
      </c>
      <c r="AS116" t="str">
        <f>TRIM(MID(SUBSTITUTE($G116, ",", REPT(" ", 100)), (COLUMNS($AJ$2:AS116)-1)*100+1, 100))</f>
        <v/>
      </c>
      <c r="AT116" t="str">
        <f>TRIM(MID(SUBSTITUTE($G116, ",", REPT(" ", 100)), (COLUMNS($AJ$2:AT116)-1)*100+1, 100))</f>
        <v/>
      </c>
      <c r="AU116" t="str">
        <f>TRIM(MID(SUBSTITUTE($G116, ",", REPT(" ", 100)), (COLUMNS($AJ$2:AU116)-1)*100+1, 100))</f>
        <v/>
      </c>
      <c r="AV116" t="str">
        <f>TRIM(MID(SUBSTITUTE($G116, ",", REPT(" ", 100)), (COLUMNS($AJ$2:AV116)-1)*100+1, 100))</f>
        <v/>
      </c>
      <c r="AW116" t="str">
        <f>TRIM(MID(SUBSTITUTE($G116, ",", REPT(" ", 100)), (COLUMNS($AJ$2:AW116)-1)*100+1, 100))</f>
        <v/>
      </c>
      <c r="AX116" t="str">
        <f>TRIM(MID(SUBSTITUTE($G116, ",", REPT(" ", 100)), (COLUMNS($AJ$2:AX116)-1)*100+1, 100))</f>
        <v/>
      </c>
      <c r="AY116" t="str">
        <f>TRIM(MID(SUBSTITUTE($G116, ",", REPT(" ", 100)), (COLUMNS($AJ$2:AY116)-1)*100+1, 100))</f>
        <v/>
      </c>
      <c r="AZ116" t="str">
        <f>TRIM(MID(SUBSTITUTE($G116, ",", REPT(" ", 100)), (COLUMNS($AJ$2:AZ116)-1)*100+1, 100))</f>
        <v/>
      </c>
      <c r="BA116" t="str">
        <f>TRIM(MID(SUBSTITUTE($G116, ",", REPT(" ", 100)), (COLUMNS($AJ$2:BA116)-1)*100+1, 100))</f>
        <v/>
      </c>
      <c r="BB116" t="str">
        <f>TRIM(MID(SUBSTITUTE($G116, ",", REPT(" ", 100)), (COLUMNS($AJ$2:BB116)-1)*100+1, 100))</f>
        <v/>
      </c>
      <c r="BC116" t="str">
        <f>TRIM(MID(SUBSTITUTE($G116, ",", REPT(" ", 100)), (COLUMNS($AJ$2:BC116)-1)*100+1, 100))</f>
        <v/>
      </c>
      <c r="BH116">
        <f t="shared" si="3"/>
        <v>1</v>
      </c>
    </row>
    <row r="117" spans="1:60" ht="14.7" thickBot="1" x14ac:dyDescent="0.55000000000000004">
      <c r="A117" s="32" t="s">
        <v>434</v>
      </c>
      <c r="B117" s="258">
        <v>46138</v>
      </c>
      <c r="C117" s="2">
        <v>6.3</v>
      </c>
      <c r="D117" s="272"/>
      <c r="E117" s="271"/>
      <c r="F117" s="260">
        <v>1</v>
      </c>
      <c r="G117" s="38" t="s">
        <v>534</v>
      </c>
      <c r="I117" s="38">
        <v>0</v>
      </c>
      <c r="M117" t="s">
        <v>18</v>
      </c>
      <c r="N117" s="29">
        <v>5.5333333333333332</v>
      </c>
      <c r="AL117" t="str">
        <f>TRIM(MID(SUBSTITUTE($G117, ",", REPT(" ", 100)), (COLUMNS($AJ$2:AL117)-1)*100+1, 100))</f>
        <v/>
      </c>
      <c r="AM117" s="1">
        <v>45773</v>
      </c>
      <c r="AN117" s="2">
        <v>4.8</v>
      </c>
      <c r="AO117" s="2">
        <v>4</v>
      </c>
      <c r="AQ117" t="str">
        <f>TRIM(MID(SUBSTITUTE($G117, ",", REPT(" ", 100)), (COLUMNS($AJ$2:AQ117)-1)*100+1, 100))</f>
        <v/>
      </c>
      <c r="AR117" t="str">
        <f>TRIM(MID(SUBSTITUTE($G117, ",", REPT(" ", 100)), (COLUMNS($AJ$2:AR117)-1)*100+1, 100))</f>
        <v/>
      </c>
      <c r="AS117" t="str">
        <f>TRIM(MID(SUBSTITUTE($G117, ",", REPT(" ", 100)), (COLUMNS($AJ$2:AS117)-1)*100+1, 100))</f>
        <v/>
      </c>
      <c r="AT117" t="str">
        <f>TRIM(MID(SUBSTITUTE($G117, ",", REPT(" ", 100)), (COLUMNS($AJ$2:AT117)-1)*100+1, 100))</f>
        <v/>
      </c>
      <c r="AU117" t="str">
        <f>TRIM(MID(SUBSTITUTE($G117, ",", REPT(" ", 100)), (COLUMNS($AJ$2:AU117)-1)*100+1, 100))</f>
        <v/>
      </c>
      <c r="AV117" t="str">
        <f>TRIM(MID(SUBSTITUTE($G117, ",", REPT(" ", 100)), (COLUMNS($AJ$2:AV117)-1)*100+1, 100))</f>
        <v/>
      </c>
      <c r="AW117" t="str">
        <f>TRIM(MID(SUBSTITUTE($G117, ",", REPT(" ", 100)), (COLUMNS($AJ$2:AW117)-1)*100+1, 100))</f>
        <v/>
      </c>
      <c r="AX117" t="str">
        <f>TRIM(MID(SUBSTITUTE($G117, ",", REPT(" ", 100)), (COLUMNS($AJ$2:AX117)-1)*100+1, 100))</f>
        <v/>
      </c>
      <c r="AY117" t="str">
        <f>TRIM(MID(SUBSTITUTE($G117, ",", REPT(" ", 100)), (COLUMNS($AJ$2:AY117)-1)*100+1, 100))</f>
        <v/>
      </c>
      <c r="AZ117" t="str">
        <f>TRIM(MID(SUBSTITUTE($G117, ",", REPT(" ", 100)), (COLUMNS($AJ$2:AZ117)-1)*100+1, 100))</f>
        <v/>
      </c>
      <c r="BA117" t="str">
        <f>TRIM(MID(SUBSTITUTE($G117, ",", REPT(" ", 100)), (COLUMNS($AJ$2:BA117)-1)*100+1, 100))</f>
        <v/>
      </c>
      <c r="BB117" t="str">
        <f>TRIM(MID(SUBSTITUTE($G117, ",", REPT(" ", 100)), (COLUMNS($AJ$2:BB117)-1)*100+1, 100))</f>
        <v/>
      </c>
      <c r="BC117" t="str">
        <f>TRIM(MID(SUBSTITUTE($G117, ",", REPT(" ", 100)), (COLUMNS($AJ$2:BC117)-1)*100+1, 100))</f>
        <v/>
      </c>
      <c r="BH117">
        <f t="shared" si="3"/>
        <v>0.5</v>
      </c>
    </row>
    <row r="118" spans="1:60" ht="14.7" thickBot="1" x14ac:dyDescent="0.55000000000000004">
      <c r="A118" s="32" t="s">
        <v>435</v>
      </c>
      <c r="B118" s="257">
        <v>46139</v>
      </c>
      <c r="C118" s="2">
        <v>6.2</v>
      </c>
      <c r="D118" s="272"/>
      <c r="E118" s="271"/>
      <c r="F118" s="260">
        <v>1</v>
      </c>
      <c r="G118" s="38" t="s">
        <v>176</v>
      </c>
      <c r="H118" s="38" t="s">
        <v>535</v>
      </c>
      <c r="I118" s="38">
        <v>0</v>
      </c>
      <c r="M118" t="s">
        <v>19</v>
      </c>
      <c r="N118" s="30">
        <v>4.709677419354839</v>
      </c>
      <c r="AL118" t="str">
        <f>TRIM(MID(SUBSTITUTE($G118, ",", REPT(" ", 100)), (COLUMNS($AJ$2:AL118)-1)*100+1, 100))</f>
        <v/>
      </c>
      <c r="AM118" s="1">
        <v>45774</v>
      </c>
      <c r="AN118" s="2">
        <v>5</v>
      </c>
      <c r="AO118" s="2">
        <v>4</v>
      </c>
      <c r="AQ118" t="str">
        <f>TRIM(MID(SUBSTITUTE($G118, ",", REPT(" ", 100)), (COLUMNS($AJ$2:AQ118)-1)*100+1, 100))</f>
        <v/>
      </c>
      <c r="AR118" t="str">
        <f>TRIM(MID(SUBSTITUTE($G118, ",", REPT(" ", 100)), (COLUMNS($AJ$2:AR118)-1)*100+1, 100))</f>
        <v/>
      </c>
      <c r="AS118" t="str">
        <f>TRIM(MID(SUBSTITUTE($G118, ",", REPT(" ", 100)), (COLUMNS($AJ$2:AS118)-1)*100+1, 100))</f>
        <v/>
      </c>
      <c r="AT118" t="str">
        <f>TRIM(MID(SUBSTITUTE($G118, ",", REPT(" ", 100)), (COLUMNS($AJ$2:AT118)-1)*100+1, 100))</f>
        <v/>
      </c>
      <c r="AU118" t="str">
        <f>TRIM(MID(SUBSTITUTE($G118, ",", REPT(" ", 100)), (COLUMNS($AJ$2:AU118)-1)*100+1, 100))</f>
        <v/>
      </c>
      <c r="AV118" t="str">
        <f>TRIM(MID(SUBSTITUTE($G118, ",", REPT(" ", 100)), (COLUMNS($AJ$2:AV118)-1)*100+1, 100))</f>
        <v/>
      </c>
      <c r="AW118" t="str">
        <f>TRIM(MID(SUBSTITUTE($G118, ",", REPT(" ", 100)), (COLUMNS($AJ$2:AW118)-1)*100+1, 100))</f>
        <v/>
      </c>
      <c r="AX118" t="str">
        <f>TRIM(MID(SUBSTITUTE($G118, ",", REPT(" ", 100)), (COLUMNS($AJ$2:AX118)-1)*100+1, 100))</f>
        <v/>
      </c>
      <c r="AY118" t="str">
        <f>TRIM(MID(SUBSTITUTE($G118, ",", REPT(" ", 100)), (COLUMNS($AJ$2:AY118)-1)*100+1, 100))</f>
        <v/>
      </c>
      <c r="AZ118" t="str">
        <f>TRIM(MID(SUBSTITUTE($G118, ",", REPT(" ", 100)), (COLUMNS($AJ$2:AZ118)-1)*100+1, 100))</f>
        <v/>
      </c>
      <c r="BA118" t="str">
        <f>TRIM(MID(SUBSTITUTE($G118, ",", REPT(" ", 100)), (COLUMNS($AJ$2:BA118)-1)*100+1, 100))</f>
        <v/>
      </c>
      <c r="BB118" t="str">
        <f>TRIM(MID(SUBSTITUTE($G118, ",", REPT(" ", 100)), (COLUMNS($AJ$2:BB118)-1)*100+1, 100))</f>
        <v/>
      </c>
      <c r="BC118" t="str">
        <f>TRIM(MID(SUBSTITUTE($G118, ",", REPT(" ", 100)), (COLUMNS($AJ$2:BC118)-1)*100+1, 100))</f>
        <v/>
      </c>
      <c r="BH118">
        <f t="shared" si="3"/>
        <v>1</v>
      </c>
    </row>
    <row r="119" spans="1:60" ht="14.7" thickBot="1" x14ac:dyDescent="0.55000000000000004">
      <c r="A119" s="32" t="s">
        <v>436</v>
      </c>
      <c r="B119" s="258">
        <v>46140</v>
      </c>
      <c r="C119" s="2">
        <v>5.7</v>
      </c>
      <c r="D119" s="272"/>
      <c r="E119" s="271"/>
      <c r="F119" s="260">
        <v>1</v>
      </c>
      <c r="G119" s="38" t="s">
        <v>520</v>
      </c>
      <c r="I119" s="38">
        <v>0</v>
      </c>
      <c r="M119" t="s">
        <v>8</v>
      </c>
      <c r="N119" s="101">
        <v>5</v>
      </c>
      <c r="AL119" t="str">
        <f>TRIM(MID(SUBSTITUTE($G119, ",", REPT(" ", 100)), (COLUMNS($AJ$2:AL119)-1)*100+1, 100))</f>
        <v/>
      </c>
      <c r="AM119" s="1">
        <v>45775</v>
      </c>
      <c r="AN119" s="2">
        <v>7</v>
      </c>
      <c r="AO119" s="2">
        <v>4</v>
      </c>
      <c r="AQ119" t="str">
        <f>TRIM(MID(SUBSTITUTE($G119, ",", REPT(" ", 100)), (COLUMNS($AJ$2:AQ119)-1)*100+1, 100))</f>
        <v/>
      </c>
      <c r="AR119" t="str">
        <f>TRIM(MID(SUBSTITUTE($G119, ",", REPT(" ", 100)), (COLUMNS($AJ$2:AR119)-1)*100+1, 100))</f>
        <v/>
      </c>
      <c r="AS119" t="str">
        <f>TRIM(MID(SUBSTITUTE($G119, ",", REPT(" ", 100)), (COLUMNS($AJ$2:AS119)-1)*100+1, 100))</f>
        <v/>
      </c>
      <c r="AT119" t="str">
        <f>TRIM(MID(SUBSTITUTE($G119, ",", REPT(" ", 100)), (COLUMNS($AJ$2:AT119)-1)*100+1, 100))</f>
        <v/>
      </c>
      <c r="AU119" t="str">
        <f>TRIM(MID(SUBSTITUTE($G119, ",", REPT(" ", 100)), (COLUMNS($AJ$2:AU119)-1)*100+1, 100))</f>
        <v/>
      </c>
      <c r="AV119" t="str">
        <f>TRIM(MID(SUBSTITUTE($G119, ",", REPT(" ", 100)), (COLUMNS($AJ$2:AV119)-1)*100+1, 100))</f>
        <v/>
      </c>
      <c r="AW119" t="str">
        <f>TRIM(MID(SUBSTITUTE($G119, ",", REPT(" ", 100)), (COLUMNS($AJ$2:AW119)-1)*100+1, 100))</f>
        <v/>
      </c>
      <c r="AX119" t="str">
        <f>TRIM(MID(SUBSTITUTE($G119, ",", REPT(" ", 100)), (COLUMNS($AJ$2:AX119)-1)*100+1, 100))</f>
        <v/>
      </c>
      <c r="AY119" t="str">
        <f>TRIM(MID(SUBSTITUTE($G119, ",", REPT(" ", 100)), (COLUMNS($AJ$2:AY119)-1)*100+1, 100))</f>
        <v/>
      </c>
      <c r="AZ119" t="str">
        <f>TRIM(MID(SUBSTITUTE($G119, ",", REPT(" ", 100)), (COLUMNS($AJ$2:AZ119)-1)*100+1, 100))</f>
        <v/>
      </c>
      <c r="BA119" t="str">
        <f>TRIM(MID(SUBSTITUTE($G119, ",", REPT(" ", 100)), (COLUMNS($AJ$2:BA119)-1)*100+1, 100))</f>
        <v/>
      </c>
      <c r="BB119" t="str">
        <f>TRIM(MID(SUBSTITUTE($G119, ",", REPT(" ", 100)), (COLUMNS($AJ$2:BB119)-1)*100+1, 100))</f>
        <v/>
      </c>
      <c r="BC119" t="str">
        <f>TRIM(MID(SUBSTITUTE($G119, ",", REPT(" ", 100)), (COLUMNS($AJ$2:BC119)-1)*100+1, 100))</f>
        <v/>
      </c>
      <c r="BH119">
        <f t="shared" si="3"/>
        <v>0.5</v>
      </c>
    </row>
    <row r="120" spans="1:60" x14ac:dyDescent="0.5">
      <c r="A120" s="32" t="s">
        <v>437</v>
      </c>
      <c r="B120" s="257">
        <v>46141</v>
      </c>
      <c r="C120" s="2">
        <v>4.8</v>
      </c>
      <c r="D120" s="272"/>
      <c r="E120" s="271"/>
      <c r="F120" s="260">
        <v>0</v>
      </c>
      <c r="G120" s="38" t="s">
        <v>462</v>
      </c>
      <c r="H120" s="38" t="s">
        <v>536</v>
      </c>
      <c r="I120" s="38">
        <v>0</v>
      </c>
      <c r="M120" t="s">
        <v>9</v>
      </c>
      <c r="N120" s="101">
        <v>4.7571428571428571</v>
      </c>
      <c r="AL120" t="str">
        <f>TRIM(MID(SUBSTITUTE($G120, ",", REPT(" ", 100)), (COLUMNS($AJ$2:AL120)-1)*100+1, 100))</f>
        <v/>
      </c>
      <c r="AM120" s="1">
        <v>45776</v>
      </c>
      <c r="AN120" s="2">
        <v>9</v>
      </c>
      <c r="AO120" s="2">
        <v>6</v>
      </c>
      <c r="AQ120" t="str">
        <f>TRIM(MID(SUBSTITUTE($G120, ",", REPT(" ", 100)), (COLUMNS($AJ$2:AQ120)-1)*100+1, 100))</f>
        <v/>
      </c>
      <c r="AR120" t="str">
        <f>TRIM(MID(SUBSTITUTE($G120, ",", REPT(" ", 100)), (COLUMNS($AJ$2:AR120)-1)*100+1, 100))</f>
        <v/>
      </c>
      <c r="AS120" t="str">
        <f>TRIM(MID(SUBSTITUTE($G120, ",", REPT(" ", 100)), (COLUMNS($AJ$2:AS120)-1)*100+1, 100))</f>
        <v/>
      </c>
      <c r="AT120" t="str">
        <f>TRIM(MID(SUBSTITUTE($G120, ",", REPT(" ", 100)), (COLUMNS($AJ$2:AT120)-1)*100+1, 100))</f>
        <v/>
      </c>
      <c r="AU120" t="str">
        <f>TRIM(MID(SUBSTITUTE($G120, ",", REPT(" ", 100)), (COLUMNS($AJ$2:AU120)-1)*100+1, 100))</f>
        <v/>
      </c>
      <c r="AV120" t="str">
        <f>TRIM(MID(SUBSTITUTE($G120, ",", REPT(" ", 100)), (COLUMNS($AJ$2:AV120)-1)*100+1, 100))</f>
        <v/>
      </c>
      <c r="AW120" t="str">
        <f>TRIM(MID(SUBSTITUTE($G120, ",", REPT(" ", 100)), (COLUMNS($AJ$2:AW120)-1)*100+1, 100))</f>
        <v/>
      </c>
      <c r="AX120" t="str">
        <f>TRIM(MID(SUBSTITUTE($G120, ",", REPT(" ", 100)), (COLUMNS($AJ$2:AX120)-1)*100+1, 100))</f>
        <v/>
      </c>
      <c r="AY120" t="str">
        <f>TRIM(MID(SUBSTITUTE($G120, ",", REPT(" ", 100)), (COLUMNS($AJ$2:AY120)-1)*100+1, 100))</f>
        <v/>
      </c>
      <c r="AZ120" t="str">
        <f>TRIM(MID(SUBSTITUTE($G120, ",", REPT(" ", 100)), (COLUMNS($AJ$2:AZ120)-1)*100+1, 100))</f>
        <v/>
      </c>
      <c r="BA120" t="str">
        <f>TRIM(MID(SUBSTITUTE($G120, ",", REPT(" ", 100)), (COLUMNS($AJ$2:BA120)-1)*100+1, 100))</f>
        <v/>
      </c>
      <c r="BB120" t="str">
        <f>TRIM(MID(SUBSTITUTE($G120, ",", REPT(" ", 100)), (COLUMNS($AJ$2:BB120)-1)*100+1, 100))</f>
        <v/>
      </c>
      <c r="BC120" t="str">
        <f>TRIM(MID(SUBSTITUTE($G120, ",", REPT(" ", 100)), (COLUMNS($AJ$2:BC120)-1)*100+1, 100))</f>
        <v/>
      </c>
      <c r="BH120">
        <f t="shared" si="3"/>
        <v>1</v>
      </c>
    </row>
    <row r="121" spans="1:60" ht="14.7" thickBot="1" x14ac:dyDescent="0.55000000000000004">
      <c r="A121" s="32" t="s">
        <v>431</v>
      </c>
      <c r="B121" s="258">
        <v>46142</v>
      </c>
      <c r="C121" s="2">
        <v>7</v>
      </c>
      <c r="D121" s="272"/>
      <c r="E121" s="271"/>
      <c r="F121" s="260">
        <v>1</v>
      </c>
      <c r="G121" s="38" t="s">
        <v>462</v>
      </c>
      <c r="I121" s="38">
        <v>0</v>
      </c>
      <c r="M121" t="s">
        <v>10</v>
      </c>
      <c r="N121" s="101">
        <v>5.1967741935483867</v>
      </c>
      <c r="AL121" t="str">
        <f>TRIM(MID(SUBSTITUTE($G121, ",", REPT(" ", 100)), (COLUMNS($AJ$2:AL121)-1)*100+1, 100))</f>
        <v/>
      </c>
      <c r="AM121" s="1">
        <v>45777</v>
      </c>
      <c r="AN121" s="2">
        <v>8.3000000000000007</v>
      </c>
      <c r="AO121" s="2">
        <v>6</v>
      </c>
      <c r="AQ121" t="str">
        <f>TRIM(MID(SUBSTITUTE($G121, ",", REPT(" ", 100)), (COLUMNS($AJ$2:AQ121)-1)*100+1, 100))</f>
        <v/>
      </c>
      <c r="AR121" t="str">
        <f>TRIM(MID(SUBSTITUTE($G121, ",", REPT(" ", 100)), (COLUMNS($AJ$2:AR121)-1)*100+1, 100))</f>
        <v/>
      </c>
      <c r="AS121" t="str">
        <f>TRIM(MID(SUBSTITUTE($G121, ",", REPT(" ", 100)), (COLUMNS($AJ$2:AS121)-1)*100+1, 100))</f>
        <v/>
      </c>
      <c r="AT121" t="str">
        <f>TRIM(MID(SUBSTITUTE($G121, ",", REPT(" ", 100)), (COLUMNS($AJ$2:AT121)-1)*100+1, 100))</f>
        <v/>
      </c>
      <c r="AU121" t="str">
        <f>TRIM(MID(SUBSTITUTE($G121, ",", REPT(" ", 100)), (COLUMNS($AJ$2:AU121)-1)*100+1, 100))</f>
        <v/>
      </c>
      <c r="AV121" t="str">
        <f>TRIM(MID(SUBSTITUTE($G121, ",", REPT(" ", 100)), (COLUMNS($AJ$2:AV121)-1)*100+1, 100))</f>
        <v/>
      </c>
      <c r="AW121" t="str">
        <f>TRIM(MID(SUBSTITUTE($G121, ",", REPT(" ", 100)), (COLUMNS($AJ$2:AW121)-1)*100+1, 100))</f>
        <v/>
      </c>
      <c r="AX121" t="str">
        <f>TRIM(MID(SUBSTITUTE($G121, ",", REPT(" ", 100)), (COLUMNS($AJ$2:AX121)-1)*100+1, 100))</f>
        <v/>
      </c>
      <c r="AY121" t="str">
        <f>TRIM(MID(SUBSTITUTE($G121, ",", REPT(" ", 100)), (COLUMNS($AJ$2:AY121)-1)*100+1, 100))</f>
        <v/>
      </c>
      <c r="AZ121" t="str">
        <f>TRIM(MID(SUBSTITUTE($G121, ",", REPT(" ", 100)), (COLUMNS($AJ$2:AZ121)-1)*100+1, 100))</f>
        <v/>
      </c>
      <c r="BA121" t="str">
        <f>TRIM(MID(SUBSTITUTE($G121, ",", REPT(" ", 100)), (COLUMNS($AJ$2:BA121)-1)*100+1, 100))</f>
        <v/>
      </c>
      <c r="BB121" t="str">
        <f>TRIM(MID(SUBSTITUTE($G121, ",", REPT(" ", 100)), (COLUMNS($AJ$2:BB121)-1)*100+1, 100))</f>
        <v/>
      </c>
      <c r="BC121" t="str">
        <f>TRIM(MID(SUBSTITUTE($G121, ",", REPT(" ", 100)), (COLUMNS($AJ$2:BC121)-1)*100+1, 100))</f>
        <v/>
      </c>
      <c r="BH121">
        <f t="shared" si="3"/>
        <v>1</v>
      </c>
    </row>
    <row r="122" spans="1:60" x14ac:dyDescent="0.5">
      <c r="A122" s="32" t="s">
        <v>432</v>
      </c>
      <c r="B122" s="257">
        <v>46143</v>
      </c>
      <c r="C122" s="2">
        <v>6.2</v>
      </c>
      <c r="D122" s="272">
        <f>AVERAGE(C122:C151)</f>
        <v>5.616666666666668</v>
      </c>
      <c r="E122" s="271"/>
      <c r="F122" s="260">
        <v>0</v>
      </c>
      <c r="G122" s="38" t="s">
        <v>462</v>
      </c>
      <c r="I122" s="38">
        <v>0</v>
      </c>
      <c r="M122" t="s">
        <v>11</v>
      </c>
      <c r="N122" s="101">
        <v>4.8866666666666676</v>
      </c>
      <c r="AL122" t="str">
        <f>TRIM(MID(SUBSTITUTE($G122, ",", REPT(" ", 100)), (COLUMNS($AJ$2:AL122)-1)*100+1, 100))</f>
        <v/>
      </c>
      <c r="AM122" s="1">
        <v>45778</v>
      </c>
      <c r="AN122" s="2">
        <v>6.2</v>
      </c>
      <c r="AO122" s="2">
        <v>8</v>
      </c>
      <c r="AQ122" t="str">
        <f>TRIM(MID(SUBSTITUTE($G122, ",", REPT(" ", 100)), (COLUMNS($AJ$2:AQ122)-1)*100+1, 100))</f>
        <v/>
      </c>
      <c r="AR122" t="str">
        <f>TRIM(MID(SUBSTITUTE($G122, ",", REPT(" ", 100)), (COLUMNS($AJ$2:AR122)-1)*100+1, 100))</f>
        <v/>
      </c>
      <c r="AS122" t="str">
        <f>TRIM(MID(SUBSTITUTE($G122, ",", REPT(" ", 100)), (COLUMNS($AJ$2:AS122)-1)*100+1, 100))</f>
        <v/>
      </c>
      <c r="AT122" t="str">
        <f>TRIM(MID(SUBSTITUTE($G122, ",", REPT(" ", 100)), (COLUMNS($AJ$2:AT122)-1)*100+1, 100))</f>
        <v/>
      </c>
      <c r="AU122" t="str">
        <f>TRIM(MID(SUBSTITUTE($G122, ",", REPT(" ", 100)), (COLUMNS($AJ$2:AU122)-1)*100+1, 100))</f>
        <v/>
      </c>
      <c r="AV122" t="str">
        <f>TRIM(MID(SUBSTITUTE($G122, ",", REPT(" ", 100)), (COLUMNS($AJ$2:AV122)-1)*100+1, 100))</f>
        <v/>
      </c>
      <c r="AW122" t="str">
        <f>TRIM(MID(SUBSTITUTE($G122, ",", REPT(" ", 100)), (COLUMNS($AJ$2:AW122)-1)*100+1, 100))</f>
        <v/>
      </c>
      <c r="AX122" t="str">
        <f>TRIM(MID(SUBSTITUTE($G122, ",", REPT(" ", 100)), (COLUMNS($AJ$2:AX122)-1)*100+1, 100))</f>
        <v/>
      </c>
      <c r="AY122" t="str">
        <f>TRIM(MID(SUBSTITUTE($G122, ",", REPT(" ", 100)), (COLUMNS($AJ$2:AY122)-1)*100+1, 100))</f>
        <v/>
      </c>
      <c r="AZ122" t="str">
        <f>TRIM(MID(SUBSTITUTE($G122, ",", REPT(" ", 100)), (COLUMNS($AJ$2:AZ122)-1)*100+1, 100))</f>
        <v/>
      </c>
      <c r="BA122" t="str">
        <f>TRIM(MID(SUBSTITUTE($G122, ",", REPT(" ", 100)), (COLUMNS($AJ$2:BA122)-1)*100+1, 100))</f>
        <v/>
      </c>
      <c r="BB122" t="str">
        <f>TRIM(MID(SUBSTITUTE($G122, ",", REPT(" ", 100)), (COLUMNS($AJ$2:BB122)-1)*100+1, 100))</f>
        <v/>
      </c>
      <c r="BC122" t="str">
        <f>TRIM(MID(SUBSTITUTE($G122, ",", REPT(" ", 100)), (COLUMNS($AJ$2:BC122)-1)*100+1, 100))</f>
        <v/>
      </c>
      <c r="BH122">
        <f t="shared" si="3"/>
        <v>1</v>
      </c>
    </row>
    <row r="123" spans="1:60" ht="14.7" thickBot="1" x14ac:dyDescent="0.55000000000000004">
      <c r="A123" s="32" t="s">
        <v>433</v>
      </c>
      <c r="B123" s="258">
        <v>46144</v>
      </c>
      <c r="C123" s="2">
        <v>5.6</v>
      </c>
      <c r="D123" s="272"/>
      <c r="E123" s="271"/>
      <c r="F123" s="260">
        <v>1</v>
      </c>
      <c r="G123" s="38" t="s">
        <v>462</v>
      </c>
      <c r="I123" s="38">
        <v>0</v>
      </c>
      <c r="M123" t="s">
        <v>12</v>
      </c>
      <c r="N123" s="101">
        <v>5.8967741935483877</v>
      </c>
      <c r="AL123" t="str">
        <f>TRIM(MID(SUBSTITUTE($G123, ",", REPT(" ", 100)), (COLUMNS($AJ$2:AL123)-1)*100+1, 100))</f>
        <v/>
      </c>
      <c r="AM123" s="1">
        <v>45779</v>
      </c>
      <c r="AN123" s="2">
        <v>7.3</v>
      </c>
      <c r="AO123" s="2">
        <v>6</v>
      </c>
      <c r="AQ123" t="str">
        <f>TRIM(MID(SUBSTITUTE($G123, ",", REPT(" ", 100)), (COLUMNS($AJ$2:AQ123)-1)*100+1, 100))</f>
        <v/>
      </c>
      <c r="AR123" t="str">
        <f>TRIM(MID(SUBSTITUTE($G123, ",", REPT(" ", 100)), (COLUMNS($AJ$2:AR123)-1)*100+1, 100))</f>
        <v/>
      </c>
      <c r="AS123" t="str">
        <f>TRIM(MID(SUBSTITUTE($G123, ",", REPT(" ", 100)), (COLUMNS($AJ$2:AS123)-1)*100+1, 100))</f>
        <v/>
      </c>
      <c r="AT123" t="str">
        <f>TRIM(MID(SUBSTITUTE($G123, ",", REPT(" ", 100)), (COLUMNS($AJ$2:AT123)-1)*100+1, 100))</f>
        <v/>
      </c>
      <c r="AU123" t="str">
        <f>TRIM(MID(SUBSTITUTE($G123, ",", REPT(" ", 100)), (COLUMNS($AJ$2:AU123)-1)*100+1, 100))</f>
        <v/>
      </c>
      <c r="AV123" t="str">
        <f>TRIM(MID(SUBSTITUTE($G123, ",", REPT(" ", 100)), (COLUMNS($AJ$2:AV123)-1)*100+1, 100))</f>
        <v/>
      </c>
      <c r="AW123" t="str">
        <f>TRIM(MID(SUBSTITUTE($G123, ",", REPT(" ", 100)), (COLUMNS($AJ$2:AW123)-1)*100+1, 100))</f>
        <v/>
      </c>
      <c r="AX123" t="str">
        <f>TRIM(MID(SUBSTITUTE($G123, ",", REPT(" ", 100)), (COLUMNS($AJ$2:AX123)-1)*100+1, 100))</f>
        <v/>
      </c>
      <c r="AY123" t="str">
        <f>TRIM(MID(SUBSTITUTE($G123, ",", REPT(" ", 100)), (COLUMNS($AJ$2:AY123)-1)*100+1, 100))</f>
        <v/>
      </c>
      <c r="AZ123" t="str">
        <f>TRIM(MID(SUBSTITUTE($G123, ",", REPT(" ", 100)), (COLUMNS($AJ$2:AZ123)-1)*100+1, 100))</f>
        <v/>
      </c>
      <c r="BA123" t="str">
        <f>TRIM(MID(SUBSTITUTE($G123, ",", REPT(" ", 100)), (COLUMNS($AJ$2:BA123)-1)*100+1, 100))</f>
        <v/>
      </c>
      <c r="BB123" t="str">
        <f>TRIM(MID(SUBSTITUTE($G123, ",", REPT(" ", 100)), (COLUMNS($AJ$2:BB123)-1)*100+1, 100))</f>
        <v/>
      </c>
      <c r="BC123" t="str">
        <f>TRIM(MID(SUBSTITUTE($G123, ",", REPT(" ", 100)), (COLUMNS($AJ$2:BC123)-1)*100+1, 100))</f>
        <v/>
      </c>
      <c r="BH123">
        <f t="shared" si="3"/>
        <v>1</v>
      </c>
    </row>
    <row r="124" spans="1:60" x14ac:dyDescent="0.5">
      <c r="A124" s="32" t="s">
        <v>434</v>
      </c>
      <c r="B124" s="257">
        <v>46145</v>
      </c>
      <c r="C124" s="2">
        <v>5.4</v>
      </c>
      <c r="D124" s="272"/>
      <c r="E124" s="271"/>
      <c r="F124" s="260">
        <v>1</v>
      </c>
      <c r="G124" s="38" t="s">
        <v>462</v>
      </c>
      <c r="I124" s="38">
        <v>0</v>
      </c>
      <c r="M124" t="s">
        <v>13</v>
      </c>
      <c r="N124" s="101">
        <v>4.8600000000000003</v>
      </c>
      <c r="AL124" t="str">
        <f>TRIM(MID(SUBSTITUTE($G124, ",", REPT(" ", 100)), (COLUMNS($AJ$2:AL124)-1)*100+1, 100))</f>
        <v/>
      </c>
      <c r="AM124" s="1">
        <v>45780</v>
      </c>
      <c r="AN124" s="2">
        <v>8</v>
      </c>
      <c r="AO124" s="2">
        <v>6</v>
      </c>
      <c r="AQ124" t="str">
        <f>TRIM(MID(SUBSTITUTE($G124, ",", REPT(" ", 100)), (COLUMNS($AJ$2:AQ124)-1)*100+1, 100))</f>
        <v/>
      </c>
      <c r="AR124" t="str">
        <f>TRIM(MID(SUBSTITUTE($G124, ",", REPT(" ", 100)), (COLUMNS($AJ$2:AR124)-1)*100+1, 100))</f>
        <v/>
      </c>
      <c r="AS124" t="str">
        <f>TRIM(MID(SUBSTITUTE($G124, ",", REPT(" ", 100)), (COLUMNS($AJ$2:AS124)-1)*100+1, 100))</f>
        <v/>
      </c>
      <c r="AT124" t="str">
        <f>TRIM(MID(SUBSTITUTE($G124, ",", REPT(" ", 100)), (COLUMNS($AJ$2:AT124)-1)*100+1, 100))</f>
        <v/>
      </c>
      <c r="AU124" t="str">
        <f>TRIM(MID(SUBSTITUTE($G124, ",", REPT(" ", 100)), (COLUMNS($AJ$2:AU124)-1)*100+1, 100))</f>
        <v/>
      </c>
      <c r="AV124" t="str">
        <f>TRIM(MID(SUBSTITUTE($G124, ",", REPT(" ", 100)), (COLUMNS($AJ$2:AV124)-1)*100+1, 100))</f>
        <v/>
      </c>
      <c r="AW124" t="str">
        <f>TRIM(MID(SUBSTITUTE($G124, ",", REPT(" ", 100)), (COLUMNS($AJ$2:AW124)-1)*100+1, 100))</f>
        <v/>
      </c>
      <c r="AX124" t="str">
        <f>TRIM(MID(SUBSTITUTE($G124, ",", REPT(" ", 100)), (COLUMNS($AJ$2:AX124)-1)*100+1, 100))</f>
        <v/>
      </c>
      <c r="AY124" t="str">
        <f>TRIM(MID(SUBSTITUTE($G124, ",", REPT(" ", 100)), (COLUMNS($AJ$2:AY124)-1)*100+1, 100))</f>
        <v/>
      </c>
      <c r="AZ124" t="str">
        <f>TRIM(MID(SUBSTITUTE($G124, ",", REPT(" ", 100)), (COLUMNS($AJ$2:AZ124)-1)*100+1, 100))</f>
        <v/>
      </c>
      <c r="BA124" t="str">
        <f>TRIM(MID(SUBSTITUTE($G124, ",", REPT(" ", 100)), (COLUMNS($AJ$2:BA124)-1)*100+1, 100))</f>
        <v/>
      </c>
      <c r="BB124" t="str">
        <f>TRIM(MID(SUBSTITUTE($G124, ",", REPT(" ", 100)), (COLUMNS($AJ$2:BB124)-1)*100+1, 100))</f>
        <v/>
      </c>
      <c r="BC124" t="str">
        <f>TRIM(MID(SUBSTITUTE($G124, ",", REPT(" ", 100)), (COLUMNS($AJ$2:BC124)-1)*100+1, 100))</f>
        <v/>
      </c>
      <c r="BH124">
        <f t="shared" si="3"/>
        <v>1</v>
      </c>
    </row>
    <row r="125" spans="1:60" ht="14.7" thickBot="1" x14ac:dyDescent="0.55000000000000004">
      <c r="A125" s="32" t="s">
        <v>435</v>
      </c>
      <c r="B125" s="258">
        <v>46146</v>
      </c>
      <c r="C125" s="2">
        <v>4.8</v>
      </c>
      <c r="D125" s="272"/>
      <c r="E125" s="271"/>
      <c r="F125" s="260">
        <v>1</v>
      </c>
      <c r="G125" s="38" t="s">
        <v>462</v>
      </c>
      <c r="I125" s="38">
        <v>0</v>
      </c>
      <c r="M125" t="s">
        <v>14</v>
      </c>
      <c r="N125" s="101">
        <v>5.3903225806451607</v>
      </c>
      <c r="AL125" t="str">
        <f>TRIM(MID(SUBSTITUTE($G125, ",", REPT(" ", 100)), (COLUMNS($AJ$2:AL125)-1)*100+1, 100))</f>
        <v/>
      </c>
      <c r="AM125" s="1">
        <v>45781</v>
      </c>
      <c r="AN125" s="2">
        <v>5.5</v>
      </c>
      <c r="AO125" s="2">
        <v>10</v>
      </c>
      <c r="AQ125" t="str">
        <f>TRIM(MID(SUBSTITUTE($G125, ",", REPT(" ", 100)), (COLUMNS($AJ$2:AQ125)-1)*100+1, 100))</f>
        <v/>
      </c>
      <c r="AR125" t="str">
        <f>TRIM(MID(SUBSTITUTE($G125, ",", REPT(" ", 100)), (COLUMNS($AJ$2:AR125)-1)*100+1, 100))</f>
        <v/>
      </c>
      <c r="AS125" t="str">
        <f>TRIM(MID(SUBSTITUTE($G125, ",", REPT(" ", 100)), (COLUMNS($AJ$2:AS125)-1)*100+1, 100))</f>
        <v/>
      </c>
      <c r="AT125" t="str">
        <f>TRIM(MID(SUBSTITUTE($G125, ",", REPT(" ", 100)), (COLUMNS($AJ$2:AT125)-1)*100+1, 100))</f>
        <v/>
      </c>
      <c r="AU125" t="str">
        <f>TRIM(MID(SUBSTITUTE($G125, ",", REPT(" ", 100)), (COLUMNS($AJ$2:AU125)-1)*100+1, 100))</f>
        <v/>
      </c>
      <c r="AV125" t="str">
        <f>TRIM(MID(SUBSTITUTE($G125, ",", REPT(" ", 100)), (COLUMNS($AJ$2:AV125)-1)*100+1, 100))</f>
        <v/>
      </c>
      <c r="AW125" t="str">
        <f>TRIM(MID(SUBSTITUTE($G125, ",", REPT(" ", 100)), (COLUMNS($AJ$2:AW125)-1)*100+1, 100))</f>
        <v/>
      </c>
      <c r="AX125" t="str">
        <f>TRIM(MID(SUBSTITUTE($G125, ",", REPT(" ", 100)), (COLUMNS($AJ$2:AX125)-1)*100+1, 100))</f>
        <v/>
      </c>
      <c r="AY125" t="str">
        <f>TRIM(MID(SUBSTITUTE($G125, ",", REPT(" ", 100)), (COLUMNS($AJ$2:AY125)-1)*100+1, 100))</f>
        <v/>
      </c>
      <c r="AZ125" t="str">
        <f>TRIM(MID(SUBSTITUTE($G125, ",", REPT(" ", 100)), (COLUMNS($AJ$2:AZ125)-1)*100+1, 100))</f>
        <v/>
      </c>
      <c r="BA125" t="str">
        <f>TRIM(MID(SUBSTITUTE($G125, ",", REPT(" ", 100)), (COLUMNS($AJ$2:BA125)-1)*100+1, 100))</f>
        <v/>
      </c>
      <c r="BB125" t="str">
        <f>TRIM(MID(SUBSTITUTE($G125, ",", REPT(" ", 100)), (COLUMNS($AJ$2:BB125)-1)*100+1, 100))</f>
        <v/>
      </c>
      <c r="BC125" t="str">
        <f>TRIM(MID(SUBSTITUTE($G125, ",", REPT(" ", 100)), (COLUMNS($AJ$2:BC125)-1)*100+1, 100))</f>
        <v/>
      </c>
      <c r="BH125">
        <f t="shared" si="3"/>
        <v>1</v>
      </c>
    </row>
    <row r="126" spans="1:60" x14ac:dyDescent="0.5">
      <c r="A126" s="32" t="s">
        <v>436</v>
      </c>
      <c r="B126" s="257">
        <v>46147</v>
      </c>
      <c r="C126" s="2">
        <v>4.5</v>
      </c>
      <c r="D126" s="272"/>
      <c r="E126" s="271"/>
      <c r="F126" s="260">
        <v>0</v>
      </c>
      <c r="G126" s="38" t="s">
        <v>462</v>
      </c>
      <c r="I126" s="38">
        <v>0</v>
      </c>
      <c r="M126" t="s">
        <v>15</v>
      </c>
      <c r="N126" s="101">
        <v>4.6545454545454543</v>
      </c>
      <c r="AL126" t="str">
        <f>TRIM(MID(SUBSTITUTE($G126, ",", REPT(" ", 100)), (COLUMNS($AJ$2:AL126)-1)*100+1, 100))</f>
        <v/>
      </c>
      <c r="AM126" s="1">
        <v>45782</v>
      </c>
      <c r="AN126" s="2">
        <v>5.8</v>
      </c>
      <c r="AO126" s="2">
        <v>6</v>
      </c>
      <c r="AQ126" t="str">
        <f>TRIM(MID(SUBSTITUTE($G126, ",", REPT(" ", 100)), (COLUMNS($AJ$2:AQ126)-1)*100+1, 100))</f>
        <v/>
      </c>
      <c r="AR126" t="str">
        <f>TRIM(MID(SUBSTITUTE($G126, ",", REPT(" ", 100)), (COLUMNS($AJ$2:AR126)-1)*100+1, 100))</f>
        <v/>
      </c>
      <c r="AS126" t="str">
        <f>TRIM(MID(SUBSTITUTE($G126, ",", REPT(" ", 100)), (COLUMNS($AJ$2:AS126)-1)*100+1, 100))</f>
        <v/>
      </c>
      <c r="AT126" t="str">
        <f>TRIM(MID(SUBSTITUTE($G126, ",", REPT(" ", 100)), (COLUMNS($AJ$2:AT126)-1)*100+1, 100))</f>
        <v/>
      </c>
      <c r="AU126" t="str">
        <f>TRIM(MID(SUBSTITUTE($G126, ",", REPT(" ", 100)), (COLUMNS($AJ$2:AU126)-1)*100+1, 100))</f>
        <v/>
      </c>
      <c r="AV126" t="str">
        <f>TRIM(MID(SUBSTITUTE($G126, ",", REPT(" ", 100)), (COLUMNS($AJ$2:AV126)-1)*100+1, 100))</f>
        <v/>
      </c>
      <c r="AW126" t="str">
        <f>TRIM(MID(SUBSTITUTE($G126, ",", REPT(" ", 100)), (COLUMNS($AJ$2:AW126)-1)*100+1, 100))</f>
        <v/>
      </c>
      <c r="AX126" t="str">
        <f>TRIM(MID(SUBSTITUTE($G126, ",", REPT(" ", 100)), (COLUMNS($AJ$2:AX126)-1)*100+1, 100))</f>
        <v/>
      </c>
      <c r="AY126" t="str">
        <f>TRIM(MID(SUBSTITUTE($G126, ",", REPT(" ", 100)), (COLUMNS($AJ$2:AY126)-1)*100+1, 100))</f>
        <v/>
      </c>
      <c r="AZ126" t="str">
        <f>TRIM(MID(SUBSTITUTE($G126, ",", REPT(" ", 100)), (COLUMNS($AJ$2:AZ126)-1)*100+1, 100))</f>
        <v/>
      </c>
      <c r="BA126" t="str">
        <f>TRIM(MID(SUBSTITUTE($G126, ",", REPT(" ", 100)), (COLUMNS($AJ$2:BA126)-1)*100+1, 100))</f>
        <v/>
      </c>
      <c r="BB126" t="str">
        <f>TRIM(MID(SUBSTITUTE($G126, ",", REPT(" ", 100)), (COLUMNS($AJ$2:BB126)-1)*100+1, 100))</f>
        <v/>
      </c>
      <c r="BC126" t="str">
        <f>TRIM(MID(SUBSTITUTE($G126, ",", REPT(" ", 100)), (COLUMNS($AJ$2:BC126)-1)*100+1, 100))</f>
        <v/>
      </c>
      <c r="BH126">
        <f t="shared" si="3"/>
        <v>1</v>
      </c>
    </row>
    <row r="127" spans="1:60" ht="14.7" thickBot="1" x14ac:dyDescent="0.55000000000000004">
      <c r="A127" s="32" t="s">
        <v>437</v>
      </c>
      <c r="B127" s="258">
        <v>46148</v>
      </c>
      <c r="C127" s="2">
        <v>6</v>
      </c>
      <c r="D127" s="272"/>
      <c r="E127" s="271"/>
      <c r="F127" s="260">
        <v>0</v>
      </c>
      <c r="G127" s="38" t="s">
        <v>462</v>
      </c>
      <c r="I127" s="38">
        <v>0</v>
      </c>
      <c r="M127" t="s">
        <v>16</v>
      </c>
      <c r="N127" s="101">
        <v>5.8166666666666673</v>
      </c>
      <c r="AL127" t="str">
        <f>TRIM(MID(SUBSTITUTE($G127, ",", REPT(" ", 100)), (COLUMNS($AJ$2:AL127)-1)*100+1, 100))</f>
        <v/>
      </c>
      <c r="AM127" s="1">
        <v>45783</v>
      </c>
      <c r="AN127" s="2">
        <v>5.4</v>
      </c>
      <c r="AO127" s="2">
        <v>4</v>
      </c>
      <c r="AQ127" t="str">
        <f>TRIM(MID(SUBSTITUTE($G127, ",", REPT(" ", 100)), (COLUMNS($AJ$2:AQ127)-1)*100+1, 100))</f>
        <v/>
      </c>
      <c r="AR127" t="str">
        <f>TRIM(MID(SUBSTITUTE($G127, ",", REPT(" ", 100)), (COLUMNS($AJ$2:AR127)-1)*100+1, 100))</f>
        <v/>
      </c>
      <c r="AS127" t="str">
        <f>TRIM(MID(SUBSTITUTE($G127, ",", REPT(" ", 100)), (COLUMNS($AJ$2:AS127)-1)*100+1, 100))</f>
        <v/>
      </c>
      <c r="AT127" t="str">
        <f>TRIM(MID(SUBSTITUTE($G127, ",", REPT(" ", 100)), (COLUMNS($AJ$2:AT127)-1)*100+1, 100))</f>
        <v/>
      </c>
      <c r="AU127" t="str">
        <f>TRIM(MID(SUBSTITUTE($G127, ",", REPT(" ", 100)), (COLUMNS($AJ$2:AU127)-1)*100+1, 100))</f>
        <v/>
      </c>
      <c r="AV127" t="str">
        <f>TRIM(MID(SUBSTITUTE($G127, ",", REPT(" ", 100)), (COLUMNS($AJ$2:AV127)-1)*100+1, 100))</f>
        <v/>
      </c>
      <c r="AW127" t="str">
        <f>TRIM(MID(SUBSTITUTE($G127, ",", REPT(" ", 100)), (COLUMNS($AJ$2:AW127)-1)*100+1, 100))</f>
        <v/>
      </c>
      <c r="AX127" t="str">
        <f>TRIM(MID(SUBSTITUTE($G127, ",", REPT(" ", 100)), (COLUMNS($AJ$2:AX127)-1)*100+1, 100))</f>
        <v/>
      </c>
      <c r="AY127" t="str">
        <f>TRIM(MID(SUBSTITUTE($G127, ",", REPT(" ", 100)), (COLUMNS($AJ$2:AY127)-1)*100+1, 100))</f>
        <v/>
      </c>
      <c r="AZ127" t="str">
        <f>TRIM(MID(SUBSTITUTE($G127, ",", REPT(" ", 100)), (COLUMNS($AJ$2:AZ127)-1)*100+1, 100))</f>
        <v/>
      </c>
      <c r="BA127" t="str">
        <f>TRIM(MID(SUBSTITUTE($G127, ",", REPT(" ", 100)), (COLUMNS($AJ$2:BA127)-1)*100+1, 100))</f>
        <v/>
      </c>
      <c r="BB127" t="str">
        <f>TRIM(MID(SUBSTITUTE($G127, ",", REPT(" ", 100)), (COLUMNS($AJ$2:BB127)-1)*100+1, 100))</f>
        <v/>
      </c>
      <c r="BC127" t="str">
        <f>TRIM(MID(SUBSTITUTE($G127, ",", REPT(" ", 100)), (COLUMNS($AJ$2:BC127)-1)*100+1, 100))</f>
        <v/>
      </c>
      <c r="BH127">
        <f t="shared" si="3"/>
        <v>1</v>
      </c>
    </row>
    <row r="128" spans="1:60" x14ac:dyDescent="0.5">
      <c r="A128" s="32" t="s">
        <v>431</v>
      </c>
      <c r="B128" s="257">
        <v>46149</v>
      </c>
      <c r="C128" s="2">
        <v>7</v>
      </c>
      <c r="D128" s="272"/>
      <c r="E128" s="271"/>
      <c r="F128" s="260">
        <v>0</v>
      </c>
      <c r="G128" s="38" t="s">
        <v>462</v>
      </c>
      <c r="I128" s="38">
        <v>0.3</v>
      </c>
      <c r="M128" t="s">
        <v>17</v>
      </c>
      <c r="N128" s="101">
        <v>5.629032258064516</v>
      </c>
      <c r="AL128" t="str">
        <f>TRIM(MID(SUBSTITUTE($G128, ",", REPT(" ", 100)), (COLUMNS($AJ$2:AL128)-1)*100+1, 100))</f>
        <v/>
      </c>
      <c r="AM128" s="1">
        <v>45784</v>
      </c>
      <c r="AN128" s="2">
        <v>5.2</v>
      </c>
      <c r="AO128" s="2">
        <v>6</v>
      </c>
      <c r="AQ128" t="str">
        <f>TRIM(MID(SUBSTITUTE($G128, ",", REPT(" ", 100)), (COLUMNS($AJ$2:AQ128)-1)*100+1, 100))</f>
        <v/>
      </c>
      <c r="AR128" t="str">
        <f>TRIM(MID(SUBSTITUTE($G128, ",", REPT(" ", 100)), (COLUMNS($AJ$2:AR128)-1)*100+1, 100))</f>
        <v/>
      </c>
      <c r="AS128" t="str">
        <f>TRIM(MID(SUBSTITUTE($G128, ",", REPT(" ", 100)), (COLUMNS($AJ$2:AS128)-1)*100+1, 100))</f>
        <v/>
      </c>
      <c r="AT128" t="str">
        <f>TRIM(MID(SUBSTITUTE($G128, ",", REPT(" ", 100)), (COLUMNS($AJ$2:AT128)-1)*100+1, 100))</f>
        <v/>
      </c>
      <c r="AU128" t="str">
        <f>TRIM(MID(SUBSTITUTE($G128, ",", REPT(" ", 100)), (COLUMNS($AJ$2:AU128)-1)*100+1, 100))</f>
        <v/>
      </c>
      <c r="AV128" t="str">
        <f>TRIM(MID(SUBSTITUTE($G128, ",", REPT(" ", 100)), (COLUMNS($AJ$2:AV128)-1)*100+1, 100))</f>
        <v/>
      </c>
      <c r="AW128" t="str">
        <f>TRIM(MID(SUBSTITUTE($G128, ",", REPT(" ", 100)), (COLUMNS($AJ$2:AW128)-1)*100+1, 100))</f>
        <v/>
      </c>
      <c r="AX128" t="str">
        <f>TRIM(MID(SUBSTITUTE($G128, ",", REPT(" ", 100)), (COLUMNS($AJ$2:AX128)-1)*100+1, 100))</f>
        <v/>
      </c>
      <c r="AY128" t="str">
        <f>TRIM(MID(SUBSTITUTE($G128, ",", REPT(" ", 100)), (COLUMNS($AJ$2:AY128)-1)*100+1, 100))</f>
        <v/>
      </c>
      <c r="AZ128" t="str">
        <f>TRIM(MID(SUBSTITUTE($G128, ",", REPT(" ", 100)), (COLUMNS($AJ$2:AZ128)-1)*100+1, 100))</f>
        <v/>
      </c>
      <c r="BA128" t="str">
        <f>TRIM(MID(SUBSTITUTE($G128, ",", REPT(" ", 100)), (COLUMNS($AJ$2:BA128)-1)*100+1, 100))</f>
        <v/>
      </c>
      <c r="BB128" t="str">
        <f>TRIM(MID(SUBSTITUTE($G128, ",", REPT(" ", 100)), (COLUMNS($AJ$2:BB128)-1)*100+1, 100))</f>
        <v/>
      </c>
      <c r="BC128" t="str">
        <f>TRIM(MID(SUBSTITUTE($G128, ",", REPT(" ", 100)), (COLUMNS($AJ$2:BC128)-1)*100+1, 100))</f>
        <v/>
      </c>
      <c r="BH128">
        <f t="shared" si="3"/>
        <v>1</v>
      </c>
    </row>
    <row r="129" spans="1:60" ht="14.7" thickBot="1" x14ac:dyDescent="0.55000000000000004">
      <c r="A129" s="32" t="s">
        <v>432</v>
      </c>
      <c r="B129" s="258">
        <v>46150</v>
      </c>
      <c r="C129" s="2">
        <v>4.8</v>
      </c>
      <c r="D129" s="272"/>
      <c r="E129" s="271"/>
      <c r="F129" s="260">
        <v>1</v>
      </c>
      <c r="G129" s="38" t="s">
        <v>462</v>
      </c>
      <c r="I129" s="38">
        <v>0.5</v>
      </c>
      <c r="M129" t="s">
        <v>18</v>
      </c>
      <c r="N129" s="101">
        <v>6.0733333333333333</v>
      </c>
      <c r="AL129" t="str">
        <f>TRIM(MID(SUBSTITUTE($G129, ",", REPT(" ", 100)), (COLUMNS($AJ$2:AL129)-1)*100+1, 100))</f>
        <v/>
      </c>
      <c r="AM129" s="1">
        <v>45785</v>
      </c>
      <c r="AN129" s="2">
        <v>5.2</v>
      </c>
      <c r="AO129" s="2">
        <v>6</v>
      </c>
      <c r="AQ129" t="str">
        <f>TRIM(MID(SUBSTITUTE($G129, ",", REPT(" ", 100)), (COLUMNS($AJ$2:AQ129)-1)*100+1, 100))</f>
        <v/>
      </c>
      <c r="AR129" t="str">
        <f>TRIM(MID(SUBSTITUTE($G129, ",", REPT(" ", 100)), (COLUMNS($AJ$2:AR129)-1)*100+1, 100))</f>
        <v/>
      </c>
      <c r="AS129" t="str">
        <f>TRIM(MID(SUBSTITUTE($G129, ",", REPT(" ", 100)), (COLUMNS($AJ$2:AS129)-1)*100+1, 100))</f>
        <v/>
      </c>
      <c r="AT129" t="str">
        <f>TRIM(MID(SUBSTITUTE($G129, ",", REPT(" ", 100)), (COLUMNS($AJ$2:AT129)-1)*100+1, 100))</f>
        <v/>
      </c>
      <c r="AU129" t="str">
        <f>TRIM(MID(SUBSTITUTE($G129, ",", REPT(" ", 100)), (COLUMNS($AJ$2:AU129)-1)*100+1, 100))</f>
        <v/>
      </c>
      <c r="AV129" t="str">
        <f>TRIM(MID(SUBSTITUTE($G129, ",", REPT(" ", 100)), (COLUMNS($AJ$2:AV129)-1)*100+1, 100))</f>
        <v/>
      </c>
      <c r="AW129" t="str">
        <f>TRIM(MID(SUBSTITUTE($G129, ",", REPT(" ", 100)), (COLUMNS($AJ$2:AW129)-1)*100+1, 100))</f>
        <v/>
      </c>
      <c r="AX129" t="str">
        <f>TRIM(MID(SUBSTITUTE($G129, ",", REPT(" ", 100)), (COLUMNS($AJ$2:AX129)-1)*100+1, 100))</f>
        <v/>
      </c>
      <c r="AY129" t="str">
        <f>TRIM(MID(SUBSTITUTE($G129, ",", REPT(" ", 100)), (COLUMNS($AJ$2:AY129)-1)*100+1, 100))</f>
        <v/>
      </c>
      <c r="AZ129" t="str">
        <f>TRIM(MID(SUBSTITUTE($G129, ",", REPT(" ", 100)), (COLUMNS($AJ$2:AZ129)-1)*100+1, 100))</f>
        <v/>
      </c>
      <c r="BA129" t="str">
        <f>TRIM(MID(SUBSTITUTE($G129, ",", REPT(" ", 100)), (COLUMNS($AJ$2:BA129)-1)*100+1, 100))</f>
        <v/>
      </c>
      <c r="BB129" t="str">
        <f>TRIM(MID(SUBSTITUTE($G129, ",", REPT(" ", 100)), (COLUMNS($AJ$2:BB129)-1)*100+1, 100))</f>
        <v/>
      </c>
      <c r="BC129" t="str">
        <f>TRIM(MID(SUBSTITUTE($G129, ",", REPT(" ", 100)), (COLUMNS($AJ$2:BC129)-1)*100+1, 100))</f>
        <v/>
      </c>
      <c r="BH129">
        <f t="shared" si="3"/>
        <v>1</v>
      </c>
    </row>
    <row r="130" spans="1:60" x14ac:dyDescent="0.5">
      <c r="A130" s="32" t="s">
        <v>433</v>
      </c>
      <c r="B130" s="257">
        <v>46151</v>
      </c>
      <c r="C130" s="2">
        <v>6.5</v>
      </c>
      <c r="D130" s="272"/>
      <c r="E130" s="271"/>
      <c r="F130" s="260">
        <v>1</v>
      </c>
      <c r="G130" s="38" t="s">
        <v>462</v>
      </c>
      <c r="I130" s="38">
        <v>0.2</v>
      </c>
      <c r="M130" t="s">
        <v>19</v>
      </c>
      <c r="N130" s="101">
        <v>5.8258064516129036</v>
      </c>
      <c r="AL130" t="str">
        <f>TRIM(MID(SUBSTITUTE($G130, ",", REPT(" ", 100)), (COLUMNS($AJ$2:AL130)-1)*100+1, 100))</f>
        <v/>
      </c>
      <c r="AM130" s="1">
        <v>45786</v>
      </c>
      <c r="AN130" s="2">
        <v>6</v>
      </c>
      <c r="AO130" s="2">
        <v>6</v>
      </c>
      <c r="AQ130" t="str">
        <f>TRIM(MID(SUBSTITUTE($G130, ",", REPT(" ", 100)), (COLUMNS($AJ$2:AQ130)-1)*100+1, 100))</f>
        <v/>
      </c>
      <c r="AR130" t="str">
        <f>TRIM(MID(SUBSTITUTE($G130, ",", REPT(" ", 100)), (COLUMNS($AJ$2:AR130)-1)*100+1, 100))</f>
        <v/>
      </c>
      <c r="AS130" t="str">
        <f>TRIM(MID(SUBSTITUTE($G130, ",", REPT(" ", 100)), (COLUMNS($AJ$2:AS130)-1)*100+1, 100))</f>
        <v/>
      </c>
      <c r="AT130" t="str">
        <f>TRIM(MID(SUBSTITUTE($G130, ",", REPT(" ", 100)), (COLUMNS($AJ$2:AT130)-1)*100+1, 100))</f>
        <v/>
      </c>
      <c r="AU130" t="str">
        <f>TRIM(MID(SUBSTITUTE($G130, ",", REPT(" ", 100)), (COLUMNS($AJ$2:AU130)-1)*100+1, 100))</f>
        <v/>
      </c>
      <c r="AV130" t="str">
        <f>TRIM(MID(SUBSTITUTE($G130, ",", REPT(" ", 100)), (COLUMNS($AJ$2:AV130)-1)*100+1, 100))</f>
        <v/>
      </c>
      <c r="AW130" t="str">
        <f>TRIM(MID(SUBSTITUTE($G130, ",", REPT(" ", 100)), (COLUMNS($AJ$2:AW130)-1)*100+1, 100))</f>
        <v/>
      </c>
      <c r="AX130" t="str">
        <f>TRIM(MID(SUBSTITUTE($G130, ",", REPT(" ", 100)), (COLUMNS($AJ$2:AX130)-1)*100+1, 100))</f>
        <v/>
      </c>
      <c r="AY130" t="str">
        <f>TRIM(MID(SUBSTITUTE($G130, ",", REPT(" ", 100)), (COLUMNS($AJ$2:AY130)-1)*100+1, 100))</f>
        <v/>
      </c>
      <c r="AZ130" t="str">
        <f>TRIM(MID(SUBSTITUTE($G130, ",", REPT(" ", 100)), (COLUMNS($AJ$2:AZ130)-1)*100+1, 100))</f>
        <v/>
      </c>
      <c r="BA130" t="str">
        <f>TRIM(MID(SUBSTITUTE($G130, ",", REPT(" ", 100)), (COLUMNS($AJ$2:BA130)-1)*100+1, 100))</f>
        <v/>
      </c>
      <c r="BB130" t="str">
        <f>TRIM(MID(SUBSTITUTE($G130, ",", REPT(" ", 100)), (COLUMNS($AJ$2:BB130)-1)*100+1, 100))</f>
        <v/>
      </c>
      <c r="BC130" t="str">
        <f>TRIM(MID(SUBSTITUTE($G130, ",", REPT(" ", 100)), (COLUMNS($AJ$2:BC130)-1)*100+1, 100))</f>
        <v/>
      </c>
      <c r="BH130">
        <f t="shared" si="3"/>
        <v>1</v>
      </c>
    </row>
    <row r="131" spans="1:60" ht="14.7" thickBot="1" x14ac:dyDescent="0.55000000000000004">
      <c r="A131" s="32" t="s">
        <v>434</v>
      </c>
      <c r="B131" s="258">
        <v>46152</v>
      </c>
      <c r="C131" s="2">
        <v>6.2</v>
      </c>
      <c r="D131" s="272"/>
      <c r="E131" s="271"/>
      <c r="F131" s="260">
        <v>1</v>
      </c>
      <c r="G131" s="38" t="s">
        <v>462</v>
      </c>
      <c r="I131" s="38">
        <v>0</v>
      </c>
      <c r="M131" t="s">
        <v>8</v>
      </c>
      <c r="N131" s="101">
        <v>5.9290322580645176</v>
      </c>
      <c r="AL131" t="str">
        <f>TRIM(MID(SUBSTITUTE($G131, ",", REPT(" ", 100)), (COLUMNS($AJ$2:AL131)-1)*100+1, 100))</f>
        <v/>
      </c>
      <c r="AM131" s="1">
        <v>45787</v>
      </c>
      <c r="AN131" s="2">
        <v>7</v>
      </c>
      <c r="AO131" s="2">
        <v>8</v>
      </c>
      <c r="AQ131" t="str">
        <f>TRIM(MID(SUBSTITUTE($G131, ",", REPT(" ", 100)), (COLUMNS($AJ$2:AQ131)-1)*100+1, 100))</f>
        <v/>
      </c>
      <c r="AR131" t="str">
        <f>TRIM(MID(SUBSTITUTE($G131, ",", REPT(" ", 100)), (COLUMNS($AJ$2:AR131)-1)*100+1, 100))</f>
        <v/>
      </c>
      <c r="AS131" t="str">
        <f>TRIM(MID(SUBSTITUTE($G131, ",", REPT(" ", 100)), (COLUMNS($AJ$2:AS131)-1)*100+1, 100))</f>
        <v/>
      </c>
      <c r="AT131" t="str">
        <f>TRIM(MID(SUBSTITUTE($G131, ",", REPT(" ", 100)), (COLUMNS($AJ$2:AT131)-1)*100+1, 100))</f>
        <v/>
      </c>
      <c r="AU131" t="str">
        <f>TRIM(MID(SUBSTITUTE($G131, ",", REPT(" ", 100)), (COLUMNS($AJ$2:AU131)-1)*100+1, 100))</f>
        <v/>
      </c>
      <c r="AV131" t="str">
        <f>TRIM(MID(SUBSTITUTE($G131, ",", REPT(" ", 100)), (COLUMNS($AJ$2:AV131)-1)*100+1, 100))</f>
        <v/>
      </c>
      <c r="AW131" t="str">
        <f>TRIM(MID(SUBSTITUTE($G131, ",", REPT(" ", 100)), (COLUMNS($AJ$2:AW131)-1)*100+1, 100))</f>
        <v/>
      </c>
      <c r="AX131" t="str">
        <f>TRIM(MID(SUBSTITUTE($G131, ",", REPT(" ", 100)), (COLUMNS($AJ$2:AX131)-1)*100+1, 100))</f>
        <v/>
      </c>
      <c r="AY131" t="str">
        <f>TRIM(MID(SUBSTITUTE($G131, ",", REPT(" ", 100)), (COLUMNS($AJ$2:AY131)-1)*100+1, 100))</f>
        <v/>
      </c>
      <c r="AZ131" t="str">
        <f>TRIM(MID(SUBSTITUTE($G131, ",", REPT(" ", 100)), (COLUMNS($AJ$2:AZ131)-1)*100+1, 100))</f>
        <v/>
      </c>
      <c r="BA131" t="str">
        <f>TRIM(MID(SUBSTITUTE($G131, ",", REPT(" ", 100)), (COLUMNS($AJ$2:BA131)-1)*100+1, 100))</f>
        <v/>
      </c>
      <c r="BB131" t="str">
        <f>TRIM(MID(SUBSTITUTE($G131, ",", REPT(" ", 100)), (COLUMNS($AJ$2:BB131)-1)*100+1, 100))</f>
        <v/>
      </c>
      <c r="BC131" t="str">
        <f>TRIM(MID(SUBSTITUTE($G131, ",", REPT(" ", 100)), (COLUMNS($AJ$2:BC131)-1)*100+1, 100))</f>
        <v/>
      </c>
      <c r="BH131">
        <f t="shared" ref="BH131:BH194" si="4">1/(LEN(G131)-LEN(SUBSTITUTE(G131,",",""))+1)</f>
        <v>1</v>
      </c>
    </row>
    <row r="132" spans="1:60" x14ac:dyDescent="0.5">
      <c r="A132" s="32" t="s">
        <v>435</v>
      </c>
      <c r="B132" s="257">
        <v>46153</v>
      </c>
      <c r="C132" s="2">
        <v>6.9</v>
      </c>
      <c r="D132" s="272"/>
      <c r="E132" s="271"/>
      <c r="F132" s="260">
        <v>0</v>
      </c>
      <c r="G132" s="38" t="s">
        <v>462</v>
      </c>
      <c r="H132" s="38" t="s">
        <v>542</v>
      </c>
      <c r="I132" s="38">
        <v>0.1</v>
      </c>
      <c r="M132" t="s">
        <v>9</v>
      </c>
      <c r="N132" s="101">
        <v>6.4964285714285719</v>
      </c>
      <c r="AL132" t="str">
        <f>TRIM(MID(SUBSTITUTE($G132, ",", REPT(" ", 100)), (COLUMNS($AJ$2:AL132)-1)*100+1, 100))</f>
        <v/>
      </c>
      <c r="AM132" s="1">
        <v>45788</v>
      </c>
      <c r="AN132" s="2">
        <v>6.8</v>
      </c>
      <c r="AO132" s="2">
        <v>8</v>
      </c>
      <c r="AQ132" t="str">
        <f>TRIM(MID(SUBSTITUTE($G132, ",", REPT(" ", 100)), (COLUMNS($AJ$2:AQ132)-1)*100+1, 100))</f>
        <v/>
      </c>
      <c r="AR132" t="str">
        <f>TRIM(MID(SUBSTITUTE($G132, ",", REPT(" ", 100)), (COLUMNS($AJ$2:AR132)-1)*100+1, 100))</f>
        <v/>
      </c>
      <c r="AS132" t="str">
        <f>TRIM(MID(SUBSTITUTE($G132, ",", REPT(" ", 100)), (COLUMNS($AJ$2:AS132)-1)*100+1, 100))</f>
        <v/>
      </c>
      <c r="AT132" t="str">
        <f>TRIM(MID(SUBSTITUTE($G132, ",", REPT(" ", 100)), (COLUMNS($AJ$2:AT132)-1)*100+1, 100))</f>
        <v/>
      </c>
      <c r="AU132" t="str">
        <f>TRIM(MID(SUBSTITUTE($G132, ",", REPT(" ", 100)), (COLUMNS($AJ$2:AU132)-1)*100+1, 100))</f>
        <v/>
      </c>
      <c r="AV132" t="str">
        <f>TRIM(MID(SUBSTITUTE($G132, ",", REPT(" ", 100)), (COLUMNS($AJ$2:AV132)-1)*100+1, 100))</f>
        <v/>
      </c>
      <c r="AW132" t="str">
        <f>TRIM(MID(SUBSTITUTE($G132, ",", REPT(" ", 100)), (COLUMNS($AJ$2:AW132)-1)*100+1, 100))</f>
        <v/>
      </c>
      <c r="AX132" t="str">
        <f>TRIM(MID(SUBSTITUTE($G132, ",", REPT(" ", 100)), (COLUMNS($AJ$2:AX132)-1)*100+1, 100))</f>
        <v/>
      </c>
      <c r="AY132" t="str">
        <f>TRIM(MID(SUBSTITUTE($G132, ",", REPT(" ", 100)), (COLUMNS($AJ$2:AY132)-1)*100+1, 100))</f>
        <v/>
      </c>
      <c r="AZ132" t="str">
        <f>TRIM(MID(SUBSTITUTE($G132, ",", REPT(" ", 100)), (COLUMNS($AJ$2:AZ132)-1)*100+1, 100))</f>
        <v/>
      </c>
      <c r="BA132" t="str">
        <f>TRIM(MID(SUBSTITUTE($G132, ",", REPT(" ", 100)), (COLUMNS($AJ$2:BA132)-1)*100+1, 100))</f>
        <v/>
      </c>
      <c r="BB132" t="str">
        <f>TRIM(MID(SUBSTITUTE($G132, ",", REPT(" ", 100)), (COLUMNS($AJ$2:BB132)-1)*100+1, 100))</f>
        <v/>
      </c>
      <c r="BC132" t="str">
        <f>TRIM(MID(SUBSTITUTE($G132, ",", REPT(" ", 100)), (COLUMNS($AJ$2:BC132)-1)*100+1, 100))</f>
        <v/>
      </c>
      <c r="BH132">
        <f t="shared" si="4"/>
        <v>1</v>
      </c>
    </row>
    <row r="133" spans="1:60" ht="14.7" thickBot="1" x14ac:dyDescent="0.55000000000000004">
      <c r="A133" s="32" t="s">
        <v>436</v>
      </c>
      <c r="B133" s="258">
        <v>46154</v>
      </c>
      <c r="C133" s="2">
        <v>5.2</v>
      </c>
      <c r="D133" s="272"/>
      <c r="E133" s="271"/>
      <c r="F133" s="260">
        <v>1</v>
      </c>
      <c r="G133" s="38" t="s">
        <v>462</v>
      </c>
      <c r="I133" s="38">
        <v>0.2</v>
      </c>
      <c r="M133" t="s">
        <v>10</v>
      </c>
      <c r="N133" s="101">
        <v>6.5161290322580649</v>
      </c>
      <c r="AL133" t="str">
        <f>TRIM(MID(SUBSTITUTE($G133, ",", REPT(" ", 100)), (COLUMNS($AJ$2:AL133)-1)*100+1, 100))</f>
        <v/>
      </c>
      <c r="AM133" s="1">
        <v>45789</v>
      </c>
      <c r="AN133" s="2">
        <v>9</v>
      </c>
      <c r="AO133" s="2">
        <v>6</v>
      </c>
      <c r="AQ133" t="str">
        <f>TRIM(MID(SUBSTITUTE($G133, ",", REPT(" ", 100)), (COLUMNS($AJ$2:AQ133)-1)*100+1, 100))</f>
        <v/>
      </c>
      <c r="AR133" t="str">
        <f>TRIM(MID(SUBSTITUTE($G133, ",", REPT(" ", 100)), (COLUMNS($AJ$2:AR133)-1)*100+1, 100))</f>
        <v/>
      </c>
      <c r="AS133" t="str">
        <f>TRIM(MID(SUBSTITUTE($G133, ",", REPT(" ", 100)), (COLUMNS($AJ$2:AS133)-1)*100+1, 100))</f>
        <v/>
      </c>
      <c r="AT133" t="str">
        <f>TRIM(MID(SUBSTITUTE($G133, ",", REPT(" ", 100)), (COLUMNS($AJ$2:AT133)-1)*100+1, 100))</f>
        <v/>
      </c>
      <c r="AU133" t="str">
        <f>TRIM(MID(SUBSTITUTE($G133, ",", REPT(" ", 100)), (COLUMNS($AJ$2:AU133)-1)*100+1, 100))</f>
        <v/>
      </c>
      <c r="AV133" t="str">
        <f>TRIM(MID(SUBSTITUTE($G133, ",", REPT(" ", 100)), (COLUMNS($AJ$2:AV133)-1)*100+1, 100))</f>
        <v/>
      </c>
      <c r="AW133" t="str">
        <f>TRIM(MID(SUBSTITUTE($G133, ",", REPT(" ", 100)), (COLUMNS($AJ$2:AW133)-1)*100+1, 100))</f>
        <v/>
      </c>
      <c r="AX133" t="str">
        <f>TRIM(MID(SUBSTITUTE($G133, ",", REPT(" ", 100)), (COLUMNS($AJ$2:AX133)-1)*100+1, 100))</f>
        <v/>
      </c>
      <c r="AY133" t="str">
        <f>TRIM(MID(SUBSTITUTE($G133, ",", REPT(" ", 100)), (COLUMNS($AJ$2:AY133)-1)*100+1, 100))</f>
        <v/>
      </c>
      <c r="AZ133" t="str">
        <f>TRIM(MID(SUBSTITUTE($G133, ",", REPT(" ", 100)), (COLUMNS($AJ$2:AZ133)-1)*100+1, 100))</f>
        <v/>
      </c>
      <c r="BA133" t="str">
        <f>TRIM(MID(SUBSTITUTE($G133, ",", REPT(" ", 100)), (COLUMNS($AJ$2:BA133)-1)*100+1, 100))</f>
        <v/>
      </c>
      <c r="BB133" t="str">
        <f>TRIM(MID(SUBSTITUTE($G133, ",", REPT(" ", 100)), (COLUMNS($AJ$2:BB133)-1)*100+1, 100))</f>
        <v/>
      </c>
      <c r="BC133" t="str">
        <f>TRIM(MID(SUBSTITUTE($G133, ",", REPT(" ", 100)), (COLUMNS($AJ$2:BC133)-1)*100+1, 100))</f>
        <v/>
      </c>
      <c r="BH133">
        <f t="shared" si="4"/>
        <v>1</v>
      </c>
    </row>
    <row r="134" spans="1:60" x14ac:dyDescent="0.5">
      <c r="A134" s="32" t="s">
        <v>437</v>
      </c>
      <c r="B134" s="257">
        <v>46155</v>
      </c>
      <c r="C134" s="2">
        <v>5.8</v>
      </c>
      <c r="D134" s="272"/>
      <c r="E134" s="271"/>
      <c r="F134" s="260">
        <v>1</v>
      </c>
      <c r="G134" s="38" t="s">
        <v>462</v>
      </c>
      <c r="I134" s="38">
        <v>0.2</v>
      </c>
      <c r="M134" t="s">
        <v>11</v>
      </c>
      <c r="N134" s="101">
        <v>6.13</v>
      </c>
      <c r="AL134" t="str">
        <f>TRIM(MID(SUBSTITUTE($G134, ",", REPT(" ", 100)), (COLUMNS($AJ$2:AL134)-1)*100+1, 100))</f>
        <v/>
      </c>
      <c r="AM134" s="1">
        <v>45790</v>
      </c>
      <c r="AN134" s="2">
        <v>5.5</v>
      </c>
      <c r="AO134" s="2">
        <v>6</v>
      </c>
      <c r="AQ134" t="str">
        <f>TRIM(MID(SUBSTITUTE($G134, ",", REPT(" ", 100)), (COLUMNS($AJ$2:AQ134)-1)*100+1, 100))</f>
        <v/>
      </c>
      <c r="AR134" t="str">
        <f>TRIM(MID(SUBSTITUTE($G134, ",", REPT(" ", 100)), (COLUMNS($AJ$2:AR134)-1)*100+1, 100))</f>
        <v/>
      </c>
      <c r="AS134" t="str">
        <f>TRIM(MID(SUBSTITUTE($G134, ",", REPT(" ", 100)), (COLUMNS($AJ$2:AS134)-1)*100+1, 100))</f>
        <v/>
      </c>
      <c r="AT134" t="str">
        <f>TRIM(MID(SUBSTITUTE($G134, ",", REPT(" ", 100)), (COLUMNS($AJ$2:AT134)-1)*100+1, 100))</f>
        <v/>
      </c>
      <c r="AU134" t="str">
        <f>TRIM(MID(SUBSTITUTE($G134, ",", REPT(" ", 100)), (COLUMNS($AJ$2:AU134)-1)*100+1, 100))</f>
        <v/>
      </c>
      <c r="AV134" t="str">
        <f>TRIM(MID(SUBSTITUTE($G134, ",", REPT(" ", 100)), (COLUMNS($AJ$2:AV134)-1)*100+1, 100))</f>
        <v/>
      </c>
      <c r="AW134" t="str">
        <f>TRIM(MID(SUBSTITUTE($G134, ",", REPT(" ", 100)), (COLUMNS($AJ$2:AW134)-1)*100+1, 100))</f>
        <v/>
      </c>
      <c r="AX134" t="str">
        <f>TRIM(MID(SUBSTITUTE($G134, ",", REPT(" ", 100)), (COLUMNS($AJ$2:AX134)-1)*100+1, 100))</f>
        <v/>
      </c>
      <c r="AY134" t="str">
        <f>TRIM(MID(SUBSTITUTE($G134, ",", REPT(" ", 100)), (COLUMNS($AJ$2:AY134)-1)*100+1, 100))</f>
        <v/>
      </c>
      <c r="AZ134" t="str">
        <f>TRIM(MID(SUBSTITUTE($G134, ",", REPT(" ", 100)), (COLUMNS($AJ$2:AZ134)-1)*100+1, 100))</f>
        <v/>
      </c>
      <c r="BA134" t="str">
        <f>TRIM(MID(SUBSTITUTE($G134, ",", REPT(" ", 100)), (COLUMNS($AJ$2:BA134)-1)*100+1, 100))</f>
        <v/>
      </c>
      <c r="BB134" t="str">
        <f>TRIM(MID(SUBSTITUTE($G134, ",", REPT(" ", 100)), (COLUMNS($AJ$2:BB134)-1)*100+1, 100))</f>
        <v/>
      </c>
      <c r="BC134" t="str">
        <f>TRIM(MID(SUBSTITUTE($G134, ",", REPT(" ", 100)), (COLUMNS($AJ$2:BC134)-1)*100+1, 100))</f>
        <v/>
      </c>
      <c r="BH134">
        <f t="shared" si="4"/>
        <v>1</v>
      </c>
    </row>
    <row r="135" spans="1:60" ht="14.7" thickBot="1" x14ac:dyDescent="0.55000000000000004">
      <c r="A135" s="32" t="s">
        <v>431</v>
      </c>
      <c r="B135" s="258">
        <v>46156</v>
      </c>
      <c r="C135" s="2">
        <v>5.5</v>
      </c>
      <c r="D135" s="272"/>
      <c r="E135" s="271"/>
      <c r="F135" s="260">
        <v>1</v>
      </c>
      <c r="G135" s="38" t="s">
        <v>462</v>
      </c>
      <c r="I135" s="38">
        <v>0.2</v>
      </c>
      <c r="M135" t="s">
        <v>12</v>
      </c>
      <c r="N135" s="101">
        <v>5.616666666666668</v>
      </c>
      <c r="AL135" t="str">
        <f>TRIM(MID(SUBSTITUTE($G135, ",", REPT(" ", 100)), (COLUMNS($AJ$2:AL135)-1)*100+1, 100))</f>
        <v/>
      </c>
      <c r="AM135" s="1">
        <v>45791</v>
      </c>
      <c r="AN135" s="2">
        <v>5.4</v>
      </c>
      <c r="AO135" s="2">
        <v>6</v>
      </c>
      <c r="AQ135" t="str">
        <f>TRIM(MID(SUBSTITUTE($G135, ",", REPT(" ", 100)), (COLUMNS($AJ$2:AQ135)-1)*100+1, 100))</f>
        <v/>
      </c>
      <c r="AR135" t="str">
        <f>TRIM(MID(SUBSTITUTE($G135, ",", REPT(" ", 100)), (COLUMNS($AJ$2:AR135)-1)*100+1, 100))</f>
        <v/>
      </c>
      <c r="AS135" t="str">
        <f>TRIM(MID(SUBSTITUTE($G135, ",", REPT(" ", 100)), (COLUMNS($AJ$2:AS135)-1)*100+1, 100))</f>
        <v/>
      </c>
      <c r="AT135" t="str">
        <f>TRIM(MID(SUBSTITUTE($G135, ",", REPT(" ", 100)), (COLUMNS($AJ$2:AT135)-1)*100+1, 100))</f>
        <v/>
      </c>
      <c r="AU135" t="str">
        <f>TRIM(MID(SUBSTITUTE($G135, ",", REPT(" ", 100)), (COLUMNS($AJ$2:AU135)-1)*100+1, 100))</f>
        <v/>
      </c>
      <c r="AV135" t="str">
        <f>TRIM(MID(SUBSTITUTE($G135, ",", REPT(" ", 100)), (COLUMNS($AJ$2:AV135)-1)*100+1, 100))</f>
        <v/>
      </c>
      <c r="AW135" t="str">
        <f>TRIM(MID(SUBSTITUTE($G135, ",", REPT(" ", 100)), (COLUMNS($AJ$2:AW135)-1)*100+1, 100))</f>
        <v/>
      </c>
      <c r="AX135" t="str">
        <f>TRIM(MID(SUBSTITUTE($G135, ",", REPT(" ", 100)), (COLUMNS($AJ$2:AX135)-1)*100+1, 100))</f>
        <v/>
      </c>
      <c r="AY135" t="str">
        <f>TRIM(MID(SUBSTITUTE($G135, ",", REPT(" ", 100)), (COLUMNS($AJ$2:AY135)-1)*100+1, 100))</f>
        <v/>
      </c>
      <c r="AZ135" t="str">
        <f>TRIM(MID(SUBSTITUTE($G135, ",", REPT(" ", 100)), (COLUMNS($AJ$2:AZ135)-1)*100+1, 100))</f>
        <v/>
      </c>
      <c r="BA135" t="str">
        <f>TRIM(MID(SUBSTITUTE($G135, ",", REPT(" ", 100)), (COLUMNS($AJ$2:BA135)-1)*100+1, 100))</f>
        <v/>
      </c>
      <c r="BB135" t="str">
        <f>TRIM(MID(SUBSTITUTE($G135, ",", REPT(" ", 100)), (COLUMNS($AJ$2:BB135)-1)*100+1, 100))</f>
        <v/>
      </c>
      <c r="BC135" t="str">
        <f>TRIM(MID(SUBSTITUTE($G135, ",", REPT(" ", 100)), (COLUMNS($AJ$2:BC135)-1)*100+1, 100))</f>
        <v/>
      </c>
      <c r="BH135">
        <f t="shared" si="4"/>
        <v>1</v>
      </c>
    </row>
    <row r="136" spans="1:60" x14ac:dyDescent="0.5">
      <c r="A136" s="32" t="s">
        <v>432</v>
      </c>
      <c r="B136" s="257">
        <v>46157</v>
      </c>
      <c r="C136" s="2">
        <v>5.2</v>
      </c>
      <c r="D136" s="272"/>
      <c r="E136" s="271"/>
      <c r="F136" s="260">
        <v>0</v>
      </c>
      <c r="G136" s="38" t="s">
        <v>462</v>
      </c>
      <c r="I136" s="38">
        <v>0.1</v>
      </c>
      <c r="M136" t="s">
        <v>13</v>
      </c>
      <c r="N136" s="101">
        <v>5.6033333333333335</v>
      </c>
      <c r="AL136" t="str">
        <f>TRIM(MID(SUBSTITUTE($G136, ",", REPT(" ", 100)), (COLUMNS($AJ$2:AL136)-1)*100+1, 100))</f>
        <v/>
      </c>
      <c r="AM136" s="1">
        <v>45792</v>
      </c>
      <c r="AN136" s="2">
        <v>5.3</v>
      </c>
      <c r="AO136" s="2">
        <v>6</v>
      </c>
      <c r="AQ136" t="str">
        <f>TRIM(MID(SUBSTITUTE($G136, ",", REPT(" ", 100)), (COLUMNS($AJ$2:AQ136)-1)*100+1, 100))</f>
        <v/>
      </c>
      <c r="AR136" t="str">
        <f>TRIM(MID(SUBSTITUTE($G136, ",", REPT(" ", 100)), (COLUMNS($AJ$2:AR136)-1)*100+1, 100))</f>
        <v/>
      </c>
      <c r="AS136" t="str">
        <f>TRIM(MID(SUBSTITUTE($G136, ",", REPT(" ", 100)), (COLUMNS($AJ$2:AS136)-1)*100+1, 100))</f>
        <v/>
      </c>
      <c r="AT136" t="str">
        <f>TRIM(MID(SUBSTITUTE($G136, ",", REPT(" ", 100)), (COLUMNS($AJ$2:AT136)-1)*100+1, 100))</f>
        <v/>
      </c>
      <c r="AU136" t="str">
        <f>TRIM(MID(SUBSTITUTE($G136, ",", REPT(" ", 100)), (COLUMNS($AJ$2:AU136)-1)*100+1, 100))</f>
        <v/>
      </c>
      <c r="AV136" t="str">
        <f>TRIM(MID(SUBSTITUTE($G136, ",", REPT(" ", 100)), (COLUMNS($AJ$2:AV136)-1)*100+1, 100))</f>
        <v/>
      </c>
      <c r="AW136" t="str">
        <f>TRIM(MID(SUBSTITUTE($G136, ",", REPT(" ", 100)), (COLUMNS($AJ$2:AW136)-1)*100+1, 100))</f>
        <v/>
      </c>
      <c r="AX136" t="str">
        <f>TRIM(MID(SUBSTITUTE($G136, ",", REPT(" ", 100)), (COLUMNS($AJ$2:AX136)-1)*100+1, 100))</f>
        <v/>
      </c>
      <c r="AY136" t="str">
        <f>TRIM(MID(SUBSTITUTE($G136, ",", REPT(" ", 100)), (COLUMNS($AJ$2:AY136)-1)*100+1, 100))</f>
        <v/>
      </c>
      <c r="AZ136" t="str">
        <f>TRIM(MID(SUBSTITUTE($G136, ",", REPT(" ", 100)), (COLUMNS($AJ$2:AZ136)-1)*100+1, 100))</f>
        <v/>
      </c>
      <c r="BA136" t="str">
        <f>TRIM(MID(SUBSTITUTE($G136, ",", REPT(" ", 100)), (COLUMNS($AJ$2:BA136)-1)*100+1, 100))</f>
        <v/>
      </c>
      <c r="BB136" t="str">
        <f>TRIM(MID(SUBSTITUTE($G136, ",", REPT(" ", 100)), (COLUMNS($AJ$2:BB136)-1)*100+1, 100))</f>
        <v/>
      </c>
      <c r="BC136" t="str">
        <f>TRIM(MID(SUBSTITUTE($G136, ",", REPT(" ", 100)), (COLUMNS($AJ$2:BC136)-1)*100+1, 100))</f>
        <v/>
      </c>
      <c r="BH136">
        <f t="shared" si="4"/>
        <v>1</v>
      </c>
    </row>
    <row r="137" spans="1:60" ht="14.7" thickBot="1" x14ac:dyDescent="0.55000000000000004">
      <c r="A137" s="32" t="s">
        <v>433</v>
      </c>
      <c r="B137" s="258">
        <v>46158</v>
      </c>
      <c r="C137" s="2">
        <v>5.4</v>
      </c>
      <c r="D137" s="272"/>
      <c r="E137" s="271"/>
      <c r="F137" s="260">
        <v>0</v>
      </c>
      <c r="G137" s="38" t="s">
        <v>462</v>
      </c>
      <c r="I137" s="38">
        <v>0</v>
      </c>
      <c r="M137" t="s">
        <v>14</v>
      </c>
      <c r="N137" s="101">
        <v>6.1032258064516114</v>
      </c>
      <c r="AL137" t="str">
        <f>TRIM(MID(SUBSTITUTE($G137, ",", REPT(" ", 100)), (COLUMNS($AJ$2:AL137)-1)*100+1, 100))</f>
        <v/>
      </c>
      <c r="AM137" s="1">
        <v>45793</v>
      </c>
      <c r="AN137" s="2">
        <v>5.2</v>
      </c>
      <c r="AO137" s="2">
        <v>4</v>
      </c>
      <c r="AQ137" t="str">
        <f>TRIM(MID(SUBSTITUTE($G137, ",", REPT(" ", 100)), (COLUMNS($AJ$2:AQ137)-1)*100+1, 100))</f>
        <v/>
      </c>
      <c r="AR137" t="str">
        <f>TRIM(MID(SUBSTITUTE($G137, ",", REPT(" ", 100)), (COLUMNS($AJ$2:AR137)-1)*100+1, 100))</f>
        <v/>
      </c>
      <c r="AS137" t="str">
        <f>TRIM(MID(SUBSTITUTE($G137, ",", REPT(" ", 100)), (COLUMNS($AJ$2:AS137)-1)*100+1, 100))</f>
        <v/>
      </c>
      <c r="AT137" t="str">
        <f>TRIM(MID(SUBSTITUTE($G137, ",", REPT(" ", 100)), (COLUMNS($AJ$2:AT137)-1)*100+1, 100))</f>
        <v/>
      </c>
      <c r="AU137" t="str">
        <f>TRIM(MID(SUBSTITUTE($G137, ",", REPT(" ", 100)), (COLUMNS($AJ$2:AU137)-1)*100+1, 100))</f>
        <v/>
      </c>
      <c r="AV137" t="str">
        <f>TRIM(MID(SUBSTITUTE($G137, ",", REPT(" ", 100)), (COLUMNS($AJ$2:AV137)-1)*100+1, 100))</f>
        <v/>
      </c>
      <c r="AW137" t="str">
        <f>TRIM(MID(SUBSTITUTE($G137, ",", REPT(" ", 100)), (COLUMNS($AJ$2:AW137)-1)*100+1, 100))</f>
        <v/>
      </c>
      <c r="AX137" t="str">
        <f>TRIM(MID(SUBSTITUTE($G137, ",", REPT(" ", 100)), (COLUMNS($AJ$2:AX137)-1)*100+1, 100))</f>
        <v/>
      </c>
      <c r="AY137" t="str">
        <f>TRIM(MID(SUBSTITUTE($G137, ",", REPT(" ", 100)), (COLUMNS($AJ$2:AY137)-1)*100+1, 100))</f>
        <v/>
      </c>
      <c r="AZ137" t="str">
        <f>TRIM(MID(SUBSTITUTE($G137, ",", REPT(" ", 100)), (COLUMNS($AJ$2:AZ137)-1)*100+1, 100))</f>
        <v/>
      </c>
      <c r="BA137" t="str">
        <f>TRIM(MID(SUBSTITUTE($G137, ",", REPT(" ", 100)), (COLUMNS($AJ$2:BA137)-1)*100+1, 100))</f>
        <v/>
      </c>
      <c r="BB137" t="str">
        <f>TRIM(MID(SUBSTITUTE($G137, ",", REPT(" ", 100)), (COLUMNS($AJ$2:BB137)-1)*100+1, 100))</f>
        <v/>
      </c>
      <c r="BC137" t="str">
        <f>TRIM(MID(SUBSTITUTE($G137, ",", REPT(" ", 100)), (COLUMNS($AJ$2:BC137)-1)*100+1, 100))</f>
        <v/>
      </c>
      <c r="BH137">
        <f t="shared" si="4"/>
        <v>1</v>
      </c>
    </row>
    <row r="138" spans="1:60" x14ac:dyDescent="0.5">
      <c r="A138" s="32" t="s">
        <v>434</v>
      </c>
      <c r="B138" s="257">
        <v>46159</v>
      </c>
      <c r="C138" s="2">
        <v>5.6</v>
      </c>
      <c r="D138" s="272"/>
      <c r="E138" s="271"/>
      <c r="F138" s="260">
        <v>1</v>
      </c>
      <c r="G138" s="38" t="s">
        <v>462</v>
      </c>
      <c r="I138" s="38">
        <v>0</v>
      </c>
      <c r="M138" t="s">
        <v>15</v>
      </c>
      <c r="N138" s="101">
        <v>6.3258064516129027</v>
      </c>
      <c r="AL138" t="str">
        <f>TRIM(MID(SUBSTITUTE($G138, ",", REPT(" ", 100)), (COLUMNS($AJ$2:AL138)-1)*100+1, 100))</f>
        <v/>
      </c>
      <c r="AM138" s="1">
        <v>45794</v>
      </c>
      <c r="AN138" s="2">
        <v>6.5</v>
      </c>
      <c r="AO138" s="2">
        <v>4</v>
      </c>
      <c r="AQ138" t="str">
        <f>TRIM(MID(SUBSTITUTE($G138, ",", REPT(" ", 100)), (COLUMNS($AJ$2:AQ138)-1)*100+1, 100))</f>
        <v/>
      </c>
      <c r="AR138" t="str">
        <f>TRIM(MID(SUBSTITUTE($G138, ",", REPT(" ", 100)), (COLUMNS($AJ$2:AR138)-1)*100+1, 100))</f>
        <v/>
      </c>
      <c r="AS138" t="str">
        <f>TRIM(MID(SUBSTITUTE($G138, ",", REPT(" ", 100)), (COLUMNS($AJ$2:AS138)-1)*100+1, 100))</f>
        <v/>
      </c>
      <c r="AT138" t="str">
        <f>TRIM(MID(SUBSTITUTE($G138, ",", REPT(" ", 100)), (COLUMNS($AJ$2:AT138)-1)*100+1, 100))</f>
        <v/>
      </c>
      <c r="AU138" t="str">
        <f>TRIM(MID(SUBSTITUTE($G138, ",", REPT(" ", 100)), (COLUMNS($AJ$2:AU138)-1)*100+1, 100))</f>
        <v/>
      </c>
      <c r="AV138" t="str">
        <f>TRIM(MID(SUBSTITUTE($G138, ",", REPT(" ", 100)), (COLUMNS($AJ$2:AV138)-1)*100+1, 100))</f>
        <v/>
      </c>
      <c r="AW138" t="str">
        <f>TRIM(MID(SUBSTITUTE($G138, ",", REPT(" ", 100)), (COLUMNS($AJ$2:AW138)-1)*100+1, 100))</f>
        <v/>
      </c>
      <c r="AX138" t="str">
        <f>TRIM(MID(SUBSTITUTE($G138, ",", REPT(" ", 100)), (COLUMNS($AJ$2:AX138)-1)*100+1, 100))</f>
        <v/>
      </c>
      <c r="AY138" t="str">
        <f>TRIM(MID(SUBSTITUTE($G138, ",", REPT(" ", 100)), (COLUMNS($AJ$2:AY138)-1)*100+1, 100))</f>
        <v/>
      </c>
      <c r="AZ138" s="253" t="str">
        <f>TRIM(MID(SUBSTITUTE($G138, ",", REPT(" ", 100)), (COLUMNS($AJ$2:AZ138)-1)*100+1, 100))</f>
        <v/>
      </c>
      <c r="BA138" s="253" t="str">
        <f>TRIM(MID(SUBSTITUTE($G138, ",", REPT(" ", 100)), (COLUMNS($AJ$2:BA138)-1)*100+1, 100))</f>
        <v/>
      </c>
      <c r="BB138" s="253" t="str">
        <f>TRIM(MID(SUBSTITUTE($G138, ",", REPT(" ", 100)), (COLUMNS($AJ$2:BB138)-1)*100+1, 100))</f>
        <v/>
      </c>
      <c r="BC138" t="str">
        <f>TRIM(MID(SUBSTITUTE($G138, ",", REPT(" ", 100)), (COLUMNS($AJ$2:BC138)-1)*100+1, 100))</f>
        <v/>
      </c>
      <c r="BH138">
        <f t="shared" si="4"/>
        <v>1</v>
      </c>
    </row>
    <row r="139" spans="1:60" ht="14.7" thickBot="1" x14ac:dyDescent="0.55000000000000004">
      <c r="A139" s="32" t="s">
        <v>435</v>
      </c>
      <c r="B139" s="258">
        <v>46160</v>
      </c>
      <c r="C139" s="2">
        <v>5.2</v>
      </c>
      <c r="D139" s="272"/>
      <c r="E139" s="271"/>
      <c r="F139" s="260">
        <v>1</v>
      </c>
      <c r="G139" s="38" t="s">
        <v>462</v>
      </c>
      <c r="I139" s="38">
        <v>0</v>
      </c>
      <c r="M139" t="s">
        <v>16</v>
      </c>
      <c r="N139" s="101">
        <v>5.6814814814814802</v>
      </c>
      <c r="AL139" t="str">
        <f>TRIM(MID(SUBSTITUTE($G139, ",", REPT(" ", 100)), (COLUMNS($AJ$2:AL139)-1)*100+1, 100))</f>
        <v/>
      </c>
      <c r="AM139" s="1">
        <v>45795</v>
      </c>
      <c r="AN139" s="2">
        <v>7</v>
      </c>
      <c r="AO139" s="2">
        <v>6</v>
      </c>
      <c r="AQ139" t="str">
        <f>TRIM(MID(SUBSTITUTE($G139, ",", REPT(" ", 100)), (COLUMNS($AJ$2:AQ139)-1)*100+1, 100))</f>
        <v/>
      </c>
      <c r="AR139" t="str">
        <f>TRIM(MID(SUBSTITUTE($G139, ",", REPT(" ", 100)), (COLUMNS($AJ$2:AR139)-1)*100+1, 100))</f>
        <v/>
      </c>
      <c r="AS139" t="str">
        <f>TRIM(MID(SUBSTITUTE($G139, ",", REPT(" ", 100)), (COLUMNS($AJ$2:AS139)-1)*100+1, 100))</f>
        <v/>
      </c>
      <c r="AT139" t="str">
        <f>TRIM(MID(SUBSTITUTE($G139, ",", REPT(" ", 100)), (COLUMNS($AJ$2:AT139)-1)*100+1, 100))</f>
        <v/>
      </c>
      <c r="AU139" t="str">
        <f>TRIM(MID(SUBSTITUTE($G139, ",", REPT(" ", 100)), (COLUMNS($AJ$2:AU139)-1)*100+1, 100))</f>
        <v/>
      </c>
      <c r="AV139" t="str">
        <f>TRIM(MID(SUBSTITUTE($G139, ",", REPT(" ", 100)), (COLUMNS($AJ$2:AV139)-1)*100+1, 100))</f>
        <v/>
      </c>
      <c r="AW139" t="str">
        <f>TRIM(MID(SUBSTITUTE($G139, ",", REPT(" ", 100)), (COLUMNS($AJ$2:AW139)-1)*100+1, 100))</f>
        <v/>
      </c>
      <c r="AX139" t="str">
        <f>TRIM(MID(SUBSTITUTE($G139, ",", REPT(" ", 100)), (COLUMNS($AJ$2:AX139)-1)*100+1, 100))</f>
        <v/>
      </c>
      <c r="AY139" t="str">
        <f>TRIM(MID(SUBSTITUTE($G139, ",", REPT(" ", 100)), (COLUMNS($AJ$2:AY139)-1)*100+1, 100))</f>
        <v/>
      </c>
      <c r="AZ139" s="253" t="str">
        <f>TRIM(MID(SUBSTITUTE($G139, ",", REPT(" ", 100)), (COLUMNS($AJ$2:AZ139)-1)*100+1, 100))</f>
        <v/>
      </c>
      <c r="BA139" s="253" t="str">
        <f>TRIM(MID(SUBSTITUTE($G139, ",", REPT(" ", 100)), (COLUMNS($AJ$2:BA139)-1)*100+1, 100))</f>
        <v/>
      </c>
      <c r="BB139" s="253" t="str">
        <f>TRIM(MID(SUBSTITUTE($G139, ",", REPT(" ", 100)), (COLUMNS($AJ$2:BB139)-1)*100+1, 100))</f>
        <v/>
      </c>
      <c r="BC139" t="str">
        <f>TRIM(MID(SUBSTITUTE($G139, ",", REPT(" ", 100)), (COLUMNS($AJ$2:BC139)-1)*100+1, 100))</f>
        <v/>
      </c>
      <c r="BH139">
        <f t="shared" si="4"/>
        <v>1</v>
      </c>
    </row>
    <row r="140" spans="1:60" x14ac:dyDescent="0.5">
      <c r="A140" s="32" t="s">
        <v>436</v>
      </c>
      <c r="B140" s="257">
        <v>46161</v>
      </c>
      <c r="C140" s="2">
        <v>6.2</v>
      </c>
      <c r="D140" s="272"/>
      <c r="E140" s="271"/>
      <c r="F140" s="260">
        <v>0</v>
      </c>
      <c r="G140" s="38" t="s">
        <v>462</v>
      </c>
      <c r="I140" s="38">
        <v>0</v>
      </c>
      <c r="AL140" t="str">
        <f>TRIM(MID(SUBSTITUTE($G140, ",", REPT(" ", 100)), (COLUMNS($AJ$2:AL140)-1)*100+1, 100))</f>
        <v/>
      </c>
      <c r="AM140" s="1">
        <v>45796</v>
      </c>
      <c r="AN140" s="2">
        <v>4.5</v>
      </c>
      <c r="AO140" s="2">
        <v>4</v>
      </c>
      <c r="AQ140" t="str">
        <f>TRIM(MID(SUBSTITUTE($G140, ",", REPT(" ", 100)), (COLUMNS($AJ$2:AQ140)-1)*100+1, 100))</f>
        <v/>
      </c>
      <c r="AR140" t="str">
        <f>TRIM(MID(SUBSTITUTE($G140, ",", REPT(" ", 100)), (COLUMNS($AJ$2:AR140)-1)*100+1, 100))</f>
        <v/>
      </c>
      <c r="AS140" t="str">
        <f>TRIM(MID(SUBSTITUTE($G140, ",", REPT(" ", 100)), (COLUMNS($AJ$2:AS140)-1)*100+1, 100))</f>
        <v/>
      </c>
      <c r="AT140" t="str">
        <f>TRIM(MID(SUBSTITUTE($G140, ",", REPT(" ", 100)), (COLUMNS($AJ$2:AT140)-1)*100+1, 100))</f>
        <v/>
      </c>
      <c r="AU140" t="str">
        <f>TRIM(MID(SUBSTITUTE($G140, ",", REPT(" ", 100)), (COLUMNS($AJ$2:AU140)-1)*100+1, 100))</f>
        <v/>
      </c>
      <c r="AV140" t="str">
        <f>TRIM(MID(SUBSTITUTE($G140, ",", REPT(" ", 100)), (COLUMNS($AJ$2:AV140)-1)*100+1, 100))</f>
        <v/>
      </c>
      <c r="AW140" t="str">
        <f>TRIM(MID(SUBSTITUTE($G140, ",", REPT(" ", 100)), (COLUMNS($AJ$2:AW140)-1)*100+1, 100))</f>
        <v/>
      </c>
      <c r="AX140" t="str">
        <f>TRIM(MID(SUBSTITUTE($G140, ",", REPT(" ", 100)), (COLUMNS($AJ$2:AX140)-1)*100+1, 100))</f>
        <v/>
      </c>
      <c r="AY140" t="str">
        <f>TRIM(MID(SUBSTITUTE($G140, ",", REPT(" ", 100)), (COLUMNS($AJ$2:AY140)-1)*100+1, 100))</f>
        <v/>
      </c>
      <c r="AZ140" t="str">
        <f>TRIM(MID(SUBSTITUTE($G140, ",", REPT(" ", 100)), (COLUMNS($AJ$2:AZ140)-1)*100+1, 100))</f>
        <v/>
      </c>
      <c r="BA140" s="249" t="str">
        <f>TRIM(MID(SUBSTITUTE($G140, ",", REPT(" ", 100)), (COLUMNS($AJ$2:BA140)-1)*100+1, 100))</f>
        <v/>
      </c>
      <c r="BB140" t="str">
        <f>TRIM(MID(SUBSTITUTE($G140, ",", REPT(" ", 100)), (COLUMNS($AJ$2:BB140)-1)*100+1, 100))</f>
        <v/>
      </c>
      <c r="BC140" t="str">
        <f>TRIM(MID(SUBSTITUTE($G140, ",", REPT(" ", 100)), (COLUMNS($AJ$2:BC140)-1)*100+1, 100))</f>
        <v/>
      </c>
      <c r="BH140">
        <f t="shared" si="4"/>
        <v>1</v>
      </c>
    </row>
    <row r="141" spans="1:60" ht="14.7" thickBot="1" x14ac:dyDescent="0.55000000000000004">
      <c r="A141" s="32" t="s">
        <v>437</v>
      </c>
      <c r="B141" s="258">
        <v>46162</v>
      </c>
      <c r="C141" s="2">
        <v>5.8</v>
      </c>
      <c r="D141" s="272"/>
      <c r="E141" s="271"/>
      <c r="F141" s="260">
        <v>0</v>
      </c>
      <c r="G141" s="38" t="s">
        <v>462</v>
      </c>
      <c r="I141" s="38">
        <v>0</v>
      </c>
      <c r="AL141" t="str">
        <f>TRIM(MID(SUBSTITUTE($G141, ",", REPT(" ", 100)), (COLUMNS($AJ$2:AL141)-1)*100+1, 100))</f>
        <v/>
      </c>
      <c r="AM141" s="1">
        <v>45797</v>
      </c>
      <c r="AN141" s="2">
        <v>4.5</v>
      </c>
      <c r="AO141" s="2">
        <v>4</v>
      </c>
      <c r="AQ141" t="str">
        <f>TRIM(MID(SUBSTITUTE($G141, ",", REPT(" ", 100)), (COLUMNS($AJ$2:AQ141)-1)*100+1, 100))</f>
        <v/>
      </c>
      <c r="AR141" t="str">
        <f>TRIM(MID(SUBSTITUTE($G141, ",", REPT(" ", 100)), (COLUMNS($AJ$2:AR141)-1)*100+1, 100))</f>
        <v/>
      </c>
      <c r="AS141" t="str">
        <f>TRIM(MID(SUBSTITUTE($G141, ",", REPT(" ", 100)), (COLUMNS($AJ$2:AS141)-1)*100+1, 100))</f>
        <v/>
      </c>
      <c r="AT141" t="str">
        <f>TRIM(MID(SUBSTITUTE($G141, ",", REPT(" ", 100)), (COLUMNS($AJ$2:AT141)-1)*100+1, 100))</f>
        <v/>
      </c>
      <c r="AU141" t="str">
        <f>TRIM(MID(SUBSTITUTE($G141, ",", REPT(" ", 100)), (COLUMNS($AJ$2:AU141)-1)*100+1, 100))</f>
        <v/>
      </c>
      <c r="AV141" t="str">
        <f>TRIM(MID(SUBSTITUTE($G141, ",", REPT(" ", 100)), (COLUMNS($AJ$2:AV141)-1)*100+1, 100))</f>
        <v/>
      </c>
      <c r="AW141" t="str">
        <f>TRIM(MID(SUBSTITUTE($G141, ",", REPT(" ", 100)), (COLUMNS($AJ$2:AW141)-1)*100+1, 100))</f>
        <v/>
      </c>
      <c r="AX141" t="str">
        <f>TRIM(MID(SUBSTITUTE($G141, ",", REPT(" ", 100)), (COLUMNS($AJ$2:AX141)-1)*100+1, 100))</f>
        <v/>
      </c>
      <c r="AY141" t="str">
        <f>TRIM(MID(SUBSTITUTE($G141, ",", REPT(" ", 100)), (COLUMNS($AJ$2:AY141)-1)*100+1, 100))</f>
        <v/>
      </c>
      <c r="AZ141" t="str">
        <f>TRIM(MID(SUBSTITUTE($G141, ",", REPT(" ", 100)), (COLUMNS($AJ$2:AZ141)-1)*100+1, 100))</f>
        <v/>
      </c>
      <c r="BA141" s="249" t="str">
        <f>TRIM(MID(SUBSTITUTE($G141, ",", REPT(" ", 100)), (COLUMNS($AJ$2:BA141)-1)*100+1, 100))</f>
        <v/>
      </c>
      <c r="BB141" t="str">
        <f>TRIM(MID(SUBSTITUTE($G141, ",", REPT(" ", 100)), (COLUMNS($AJ$2:BB141)-1)*100+1, 100))</f>
        <v/>
      </c>
      <c r="BC141" t="str">
        <f>TRIM(MID(SUBSTITUTE($G141, ",", REPT(" ", 100)), (COLUMNS($AJ$2:BC141)-1)*100+1, 100))</f>
        <v/>
      </c>
      <c r="BH141">
        <f t="shared" si="4"/>
        <v>1</v>
      </c>
    </row>
    <row r="142" spans="1:60" x14ac:dyDescent="0.5">
      <c r="A142" s="32" t="s">
        <v>431</v>
      </c>
      <c r="B142" s="257">
        <v>46163</v>
      </c>
      <c r="C142" s="2">
        <v>5.3</v>
      </c>
      <c r="D142" s="272"/>
      <c r="E142" s="271"/>
      <c r="F142" s="260">
        <v>0</v>
      </c>
      <c r="G142" s="38" t="s">
        <v>462</v>
      </c>
      <c r="I142" s="38">
        <v>0</v>
      </c>
      <c r="AL142" t="str">
        <f>TRIM(MID(SUBSTITUTE($G142, ",", REPT(" ", 100)), (COLUMNS($AJ$2:AL142)-1)*100+1, 100))</f>
        <v/>
      </c>
      <c r="AM142" s="1">
        <v>45798</v>
      </c>
      <c r="AN142" s="2">
        <v>6</v>
      </c>
      <c r="AO142" s="2">
        <v>6</v>
      </c>
      <c r="AQ142" t="str">
        <f>TRIM(MID(SUBSTITUTE($G142, ",", REPT(" ", 100)), (COLUMNS($AJ$2:AQ142)-1)*100+1, 100))</f>
        <v/>
      </c>
      <c r="AR142" t="str">
        <f>TRIM(MID(SUBSTITUTE($G142, ",", REPT(" ", 100)), (COLUMNS($AJ$2:AR142)-1)*100+1, 100))</f>
        <v/>
      </c>
      <c r="AS142" t="str">
        <f>TRIM(MID(SUBSTITUTE($G142, ",", REPT(" ", 100)), (COLUMNS($AJ$2:AS142)-1)*100+1, 100))</f>
        <v/>
      </c>
      <c r="AT142" t="str">
        <f>TRIM(MID(SUBSTITUTE($G142, ",", REPT(" ", 100)), (COLUMNS($AJ$2:AT142)-1)*100+1, 100))</f>
        <v/>
      </c>
      <c r="AU142" t="str">
        <f>TRIM(MID(SUBSTITUTE($G142, ",", REPT(" ", 100)), (COLUMNS($AJ$2:AU142)-1)*100+1, 100))</f>
        <v/>
      </c>
      <c r="AV142" t="str">
        <f>TRIM(MID(SUBSTITUTE($G142, ",", REPT(" ", 100)), (COLUMNS($AJ$2:AV142)-1)*100+1, 100))</f>
        <v/>
      </c>
      <c r="AW142" t="str">
        <f>TRIM(MID(SUBSTITUTE($G142, ",", REPT(" ", 100)), (COLUMNS($AJ$2:AW142)-1)*100+1, 100))</f>
        <v/>
      </c>
      <c r="AX142" t="str">
        <f>TRIM(MID(SUBSTITUTE($G142, ",", REPT(" ", 100)), (COLUMNS($AJ$2:AX142)-1)*100+1, 100))</f>
        <v/>
      </c>
      <c r="AY142" t="str">
        <f>TRIM(MID(SUBSTITUTE($G142, ",", REPT(" ", 100)), (COLUMNS($AJ$2:AY142)-1)*100+1, 100))</f>
        <v/>
      </c>
      <c r="AZ142" s="254" t="str">
        <f>TRIM(MID(SUBSTITUTE($G142, ",", REPT(" ", 100)), (COLUMNS($AJ$2:AZ142)-1)*100+1, 100))</f>
        <v/>
      </c>
      <c r="BA142" s="254" t="str">
        <f>TRIM(MID(SUBSTITUTE($G142, ",", REPT(" ", 100)), (COLUMNS($AJ$2:BA142)-1)*100+1, 100))</f>
        <v/>
      </c>
      <c r="BB142" s="254" t="str">
        <f>TRIM(MID(SUBSTITUTE($G142, ",", REPT(" ", 100)), (COLUMNS($AJ$2:BB142)-1)*100+1, 100))</f>
        <v/>
      </c>
      <c r="BC142" t="str">
        <f>TRIM(MID(SUBSTITUTE($G142, ",", REPT(" ", 100)), (COLUMNS($AJ$2:BC142)-1)*100+1, 100))</f>
        <v/>
      </c>
      <c r="BH142">
        <f t="shared" si="4"/>
        <v>1</v>
      </c>
    </row>
    <row r="143" spans="1:60" ht="14.7" thickBot="1" x14ac:dyDescent="0.55000000000000004">
      <c r="A143" s="32" t="s">
        <v>432</v>
      </c>
      <c r="B143" s="258">
        <v>46164</v>
      </c>
      <c r="C143" s="2">
        <v>5.4</v>
      </c>
      <c r="D143" s="272"/>
      <c r="E143" s="271"/>
      <c r="F143" s="260">
        <v>1</v>
      </c>
      <c r="G143" s="38" t="s">
        <v>462</v>
      </c>
      <c r="I143" s="38">
        <v>0</v>
      </c>
      <c r="AL143" t="str">
        <f>TRIM(MID(SUBSTITUTE($G143, ",", REPT(" ", 100)), (COLUMNS($AJ$2:AL143)-1)*100+1, 100))</f>
        <v/>
      </c>
      <c r="AM143" s="1">
        <v>45799</v>
      </c>
      <c r="AN143" s="2">
        <v>7</v>
      </c>
      <c r="AO143" s="2">
        <v>6</v>
      </c>
      <c r="AQ143" t="str">
        <f>TRIM(MID(SUBSTITUTE($G143, ",", REPT(" ", 100)), (COLUMNS($AJ$2:AQ143)-1)*100+1, 100))</f>
        <v/>
      </c>
      <c r="AR143" t="str">
        <f>TRIM(MID(SUBSTITUTE($G143, ",", REPT(" ", 100)), (COLUMNS($AJ$2:AR143)-1)*100+1, 100))</f>
        <v/>
      </c>
      <c r="AS143" t="str">
        <f>TRIM(MID(SUBSTITUTE($G143, ",", REPT(" ", 100)), (COLUMNS($AJ$2:AS143)-1)*100+1, 100))</f>
        <v/>
      </c>
      <c r="AT143" t="str">
        <f>TRIM(MID(SUBSTITUTE($G143, ",", REPT(" ", 100)), (COLUMNS($AJ$2:AT143)-1)*100+1, 100))</f>
        <v/>
      </c>
      <c r="AU143" t="str">
        <f>TRIM(MID(SUBSTITUTE($G143, ",", REPT(" ", 100)), (COLUMNS($AJ$2:AU143)-1)*100+1, 100))</f>
        <v/>
      </c>
      <c r="AV143" t="str">
        <f>TRIM(MID(SUBSTITUTE($G143, ",", REPT(" ", 100)), (COLUMNS($AJ$2:AV143)-1)*100+1, 100))</f>
        <v/>
      </c>
      <c r="AW143" t="str">
        <f>TRIM(MID(SUBSTITUTE($G143, ",", REPT(" ", 100)), (COLUMNS($AJ$2:AW143)-1)*100+1, 100))</f>
        <v/>
      </c>
      <c r="AX143" t="str">
        <f>TRIM(MID(SUBSTITUTE($G143, ",", REPT(" ", 100)), (COLUMNS($AJ$2:AX143)-1)*100+1, 100))</f>
        <v/>
      </c>
      <c r="AY143" t="str">
        <f>TRIM(MID(SUBSTITUTE($G143, ",", REPT(" ", 100)), (COLUMNS($AJ$2:AY143)-1)*100+1, 100))</f>
        <v/>
      </c>
      <c r="AZ143" s="254" t="str">
        <f>TRIM(MID(SUBSTITUTE($G143, ",", REPT(" ", 100)), (COLUMNS($AJ$2:AZ143)-1)*100+1, 100))</f>
        <v/>
      </c>
      <c r="BA143" s="254" t="str">
        <f>TRIM(MID(SUBSTITUTE($G143, ",", REPT(" ", 100)), (COLUMNS($AJ$2:BA143)-1)*100+1, 100))</f>
        <v/>
      </c>
      <c r="BB143" s="254" t="str">
        <f>TRIM(MID(SUBSTITUTE($G143, ",", REPT(" ", 100)), (COLUMNS($AJ$2:BB143)-1)*100+1, 100))</f>
        <v/>
      </c>
      <c r="BC143" t="str">
        <f>TRIM(MID(SUBSTITUTE($G143, ",", REPT(" ", 100)), (COLUMNS($AJ$2:BC143)-1)*100+1, 100))</f>
        <v/>
      </c>
      <c r="BH143">
        <f t="shared" si="4"/>
        <v>1</v>
      </c>
    </row>
    <row r="144" spans="1:60" x14ac:dyDescent="0.5">
      <c r="A144" s="32" t="s">
        <v>433</v>
      </c>
      <c r="B144" s="257">
        <v>46165</v>
      </c>
      <c r="C144" s="2">
        <v>6.3</v>
      </c>
      <c r="D144" s="272"/>
      <c r="E144" s="271"/>
      <c r="F144" s="260">
        <v>1</v>
      </c>
      <c r="G144" s="38" t="s">
        <v>462</v>
      </c>
      <c r="I144" s="38">
        <v>0</v>
      </c>
      <c r="AL144" t="str">
        <f>TRIM(MID(SUBSTITUTE($G144, ",", REPT(" ", 100)), (COLUMNS($AJ$2:AL144)-1)*100+1, 100))</f>
        <v/>
      </c>
      <c r="AM144" s="1">
        <v>45800</v>
      </c>
      <c r="AN144" s="2">
        <v>5</v>
      </c>
      <c r="AO144" s="2">
        <v>8</v>
      </c>
      <c r="AQ144" t="str">
        <f>TRIM(MID(SUBSTITUTE($G144, ",", REPT(" ", 100)), (COLUMNS($AJ$2:AQ144)-1)*100+1, 100))</f>
        <v/>
      </c>
      <c r="AR144" t="str">
        <f>TRIM(MID(SUBSTITUTE($G144, ",", REPT(" ", 100)), (COLUMNS($AJ$2:AR144)-1)*100+1, 100))</f>
        <v/>
      </c>
      <c r="AS144" t="str">
        <f>TRIM(MID(SUBSTITUTE($G144, ",", REPT(" ", 100)), (COLUMNS($AJ$2:AS144)-1)*100+1, 100))</f>
        <v/>
      </c>
      <c r="AT144" t="str">
        <f>TRIM(MID(SUBSTITUTE($G144, ",", REPT(" ", 100)), (COLUMNS($AJ$2:AT144)-1)*100+1, 100))</f>
        <v/>
      </c>
      <c r="AU144" t="str">
        <f>TRIM(MID(SUBSTITUTE($G144, ",", REPT(" ", 100)), (COLUMNS($AJ$2:AU144)-1)*100+1, 100))</f>
        <v/>
      </c>
      <c r="AV144" t="str">
        <f>TRIM(MID(SUBSTITUTE($G144, ",", REPT(" ", 100)), (COLUMNS($AJ$2:AV144)-1)*100+1, 100))</f>
        <v/>
      </c>
      <c r="AW144" t="str">
        <f>TRIM(MID(SUBSTITUTE($G144, ",", REPT(" ", 100)), (COLUMNS($AJ$2:AW144)-1)*100+1, 100))</f>
        <v/>
      </c>
      <c r="AX144" t="str">
        <f>TRIM(MID(SUBSTITUTE($G144, ",", REPT(" ", 100)), (COLUMNS($AJ$2:AX144)-1)*100+1, 100))</f>
        <v/>
      </c>
      <c r="AY144" t="str">
        <f>TRIM(MID(SUBSTITUTE($G144, ",", REPT(" ", 100)), (COLUMNS($AJ$2:AY144)-1)*100+1, 100))</f>
        <v/>
      </c>
      <c r="AZ144" t="str">
        <f>TRIM(MID(SUBSTITUTE($G144, ",", REPT(" ", 100)), (COLUMNS($AJ$2:AZ144)-1)*100+1, 100))</f>
        <v/>
      </c>
      <c r="BA144" t="str">
        <f>TRIM(MID(SUBSTITUTE($G144, ",", REPT(" ", 100)), (COLUMNS($AJ$2:BA144)-1)*100+1, 100))</f>
        <v/>
      </c>
      <c r="BB144" t="str">
        <f>TRIM(MID(SUBSTITUTE($G144, ",", REPT(" ", 100)), (COLUMNS($AJ$2:BB144)-1)*100+1, 100))</f>
        <v/>
      </c>
      <c r="BC144" t="str">
        <f>TRIM(MID(SUBSTITUTE($G144, ",", REPT(" ", 100)), (COLUMNS($AJ$2:BC144)-1)*100+1, 100))</f>
        <v/>
      </c>
      <c r="BH144">
        <f t="shared" si="4"/>
        <v>1</v>
      </c>
    </row>
    <row r="145" spans="1:60" ht="14.7" thickBot="1" x14ac:dyDescent="0.55000000000000004">
      <c r="A145" s="32" t="s">
        <v>434</v>
      </c>
      <c r="B145" s="258">
        <v>46166</v>
      </c>
      <c r="C145" s="2">
        <v>5.4</v>
      </c>
      <c r="D145" s="272"/>
      <c r="E145" s="271"/>
      <c r="F145" s="260">
        <v>1</v>
      </c>
      <c r="G145" s="38" t="s">
        <v>462</v>
      </c>
      <c r="I145" s="38">
        <v>0</v>
      </c>
      <c r="AL145" t="str">
        <f>TRIM(MID(SUBSTITUTE($G145, ",", REPT(" ", 100)), (COLUMNS($AJ$2:AL145)-1)*100+1, 100))</f>
        <v/>
      </c>
      <c r="AM145" s="1">
        <v>45801</v>
      </c>
      <c r="AN145" s="2">
        <v>7</v>
      </c>
      <c r="AO145" s="2">
        <v>8</v>
      </c>
      <c r="AQ145" t="str">
        <f>TRIM(MID(SUBSTITUTE($G145, ",", REPT(" ", 100)), (COLUMNS($AJ$2:AQ145)-1)*100+1, 100))</f>
        <v/>
      </c>
      <c r="AR145" t="str">
        <f>TRIM(MID(SUBSTITUTE($G145, ",", REPT(" ", 100)), (COLUMNS($AJ$2:AR145)-1)*100+1, 100))</f>
        <v/>
      </c>
      <c r="AS145" t="str">
        <f>TRIM(MID(SUBSTITUTE($G145, ",", REPT(" ", 100)), (COLUMNS($AJ$2:AS145)-1)*100+1, 100))</f>
        <v/>
      </c>
      <c r="AT145" t="str">
        <f>TRIM(MID(SUBSTITUTE($G145, ",", REPT(" ", 100)), (COLUMNS($AJ$2:AT145)-1)*100+1, 100))</f>
        <v/>
      </c>
      <c r="AU145" t="str">
        <f>TRIM(MID(SUBSTITUTE($G145, ",", REPT(" ", 100)), (COLUMNS($AJ$2:AU145)-1)*100+1, 100))</f>
        <v/>
      </c>
      <c r="AV145" t="str">
        <f>TRIM(MID(SUBSTITUTE($G145, ",", REPT(" ", 100)), (COLUMNS($AJ$2:AV145)-1)*100+1, 100))</f>
        <v/>
      </c>
      <c r="AW145" t="str">
        <f>TRIM(MID(SUBSTITUTE($G145, ",", REPT(" ", 100)), (COLUMNS($AJ$2:AW145)-1)*100+1, 100))</f>
        <v/>
      </c>
      <c r="AX145" t="str">
        <f>TRIM(MID(SUBSTITUTE($G145, ",", REPT(" ", 100)), (COLUMNS($AJ$2:AX145)-1)*100+1, 100))</f>
        <v/>
      </c>
      <c r="AY145" t="str">
        <f>TRIM(MID(SUBSTITUTE($G145, ",", REPT(" ", 100)), (COLUMNS($AJ$2:AY145)-1)*100+1, 100))</f>
        <v/>
      </c>
      <c r="AZ145" t="str">
        <f>TRIM(MID(SUBSTITUTE($G145, ",", REPT(" ", 100)), (COLUMNS($AJ$2:AZ145)-1)*100+1, 100))</f>
        <v/>
      </c>
      <c r="BA145" t="str">
        <f>TRIM(MID(SUBSTITUTE($G145, ",", REPT(" ", 100)), (COLUMNS($AJ$2:BA145)-1)*100+1, 100))</f>
        <v/>
      </c>
      <c r="BB145" t="str">
        <f>TRIM(MID(SUBSTITUTE($G145, ",", REPT(" ", 100)), (COLUMNS($AJ$2:BB145)-1)*100+1, 100))</f>
        <v/>
      </c>
      <c r="BC145" t="str">
        <f>TRIM(MID(SUBSTITUTE($G145, ",", REPT(" ", 100)), (COLUMNS($AJ$2:BC145)-1)*100+1, 100))</f>
        <v/>
      </c>
      <c r="BH145">
        <f t="shared" si="4"/>
        <v>1</v>
      </c>
    </row>
    <row r="146" spans="1:60" x14ac:dyDescent="0.5">
      <c r="A146" s="32" t="s">
        <v>435</v>
      </c>
      <c r="B146" s="257">
        <v>46167</v>
      </c>
      <c r="C146" s="2">
        <v>6</v>
      </c>
      <c r="D146" s="272"/>
      <c r="E146" s="271"/>
      <c r="F146" s="260">
        <v>0</v>
      </c>
      <c r="G146" s="38" t="s">
        <v>462</v>
      </c>
      <c r="I146" s="38">
        <v>0</v>
      </c>
      <c r="AL146" t="str">
        <f>TRIM(MID(SUBSTITUTE($G146, ",", REPT(" ", 100)), (COLUMNS($AJ$2:AL146)-1)*100+1, 100))</f>
        <v/>
      </c>
      <c r="AM146" s="1">
        <v>45802</v>
      </c>
      <c r="AN146" s="2">
        <v>7</v>
      </c>
      <c r="AO146" s="2">
        <v>8</v>
      </c>
      <c r="AQ146" t="str">
        <f>TRIM(MID(SUBSTITUTE($G146, ",", REPT(" ", 100)), (COLUMNS($AJ$2:AQ146)-1)*100+1, 100))</f>
        <v/>
      </c>
      <c r="AR146" t="str">
        <f>TRIM(MID(SUBSTITUTE($G146, ",", REPT(" ", 100)), (COLUMNS($AJ$2:AR146)-1)*100+1, 100))</f>
        <v/>
      </c>
      <c r="AS146" t="str">
        <f>TRIM(MID(SUBSTITUTE($G146, ",", REPT(" ", 100)), (COLUMNS($AJ$2:AS146)-1)*100+1, 100))</f>
        <v/>
      </c>
      <c r="AT146" t="str">
        <f>TRIM(MID(SUBSTITUTE($G146, ",", REPT(" ", 100)), (COLUMNS($AJ$2:AT146)-1)*100+1, 100))</f>
        <v/>
      </c>
      <c r="AU146" t="str">
        <f>TRIM(MID(SUBSTITUTE($G146, ",", REPT(" ", 100)), (COLUMNS($AJ$2:AU146)-1)*100+1, 100))</f>
        <v/>
      </c>
      <c r="AV146" t="str">
        <f>TRIM(MID(SUBSTITUTE($G146, ",", REPT(" ", 100)), (COLUMNS($AJ$2:AV146)-1)*100+1, 100))</f>
        <v/>
      </c>
      <c r="AW146" t="str">
        <f>TRIM(MID(SUBSTITUTE($G146, ",", REPT(" ", 100)), (COLUMNS($AJ$2:AW146)-1)*100+1, 100))</f>
        <v/>
      </c>
      <c r="AX146" t="str">
        <f>TRIM(MID(SUBSTITUTE($G146, ",", REPT(" ", 100)), (COLUMNS($AJ$2:AX146)-1)*100+1, 100))</f>
        <v/>
      </c>
      <c r="AY146" t="str">
        <f>TRIM(MID(SUBSTITUTE($G146, ",", REPT(" ", 100)), (COLUMNS($AJ$2:AY146)-1)*100+1, 100))</f>
        <v/>
      </c>
      <c r="AZ146" t="str">
        <f>TRIM(MID(SUBSTITUTE($G146, ",", REPT(" ", 100)), (COLUMNS($AJ$2:AZ146)-1)*100+1, 100))</f>
        <v/>
      </c>
      <c r="BA146" t="str">
        <f>TRIM(MID(SUBSTITUTE($G146, ",", REPT(" ", 100)), (COLUMNS($AJ$2:BA146)-1)*100+1, 100))</f>
        <v/>
      </c>
      <c r="BB146" t="str">
        <f>TRIM(MID(SUBSTITUTE($G146, ",", REPT(" ", 100)), (COLUMNS($AJ$2:BB146)-1)*100+1, 100))</f>
        <v/>
      </c>
      <c r="BC146" t="str">
        <f>TRIM(MID(SUBSTITUTE($G146, ",", REPT(" ", 100)), (COLUMNS($AJ$2:BC146)-1)*100+1, 100))</f>
        <v/>
      </c>
      <c r="BH146">
        <f t="shared" si="4"/>
        <v>1</v>
      </c>
    </row>
    <row r="147" spans="1:60" ht="14.7" thickBot="1" x14ac:dyDescent="0.55000000000000004">
      <c r="A147" s="32" t="s">
        <v>436</v>
      </c>
      <c r="B147" s="258">
        <v>46168</v>
      </c>
      <c r="C147" s="2">
        <v>5.7</v>
      </c>
      <c r="D147" s="272"/>
      <c r="E147" s="271"/>
      <c r="F147" s="260">
        <v>1</v>
      </c>
      <c r="G147" s="38" t="s">
        <v>462</v>
      </c>
      <c r="I147" s="38">
        <v>0</v>
      </c>
      <c r="AL147" t="str">
        <f>TRIM(MID(SUBSTITUTE($G147, ",", REPT(" ", 100)), (COLUMNS($AJ$2:AL147)-1)*100+1, 100))</f>
        <v/>
      </c>
      <c r="AM147" s="1">
        <v>45803</v>
      </c>
      <c r="AN147" s="2">
        <v>6.5</v>
      </c>
      <c r="AO147" s="2">
        <v>6</v>
      </c>
      <c r="AQ147" t="str">
        <f>TRIM(MID(SUBSTITUTE($G147, ",", REPT(" ", 100)), (COLUMNS($AJ$2:AQ147)-1)*100+1, 100))</f>
        <v/>
      </c>
      <c r="AR147" t="str">
        <f>TRIM(MID(SUBSTITUTE($G147, ",", REPT(" ", 100)), (COLUMNS($AJ$2:AR147)-1)*100+1, 100))</f>
        <v/>
      </c>
      <c r="AS147" t="str">
        <f>TRIM(MID(SUBSTITUTE($G147, ",", REPT(" ", 100)), (COLUMNS($AJ$2:AS147)-1)*100+1, 100))</f>
        <v/>
      </c>
      <c r="AT147" t="str">
        <f>TRIM(MID(SUBSTITUTE($G147, ",", REPT(" ", 100)), (COLUMNS($AJ$2:AT147)-1)*100+1, 100))</f>
        <v/>
      </c>
      <c r="AU147" t="str">
        <f>TRIM(MID(SUBSTITUTE($G147, ",", REPT(" ", 100)), (COLUMNS($AJ$2:AU147)-1)*100+1, 100))</f>
        <v/>
      </c>
      <c r="AV147" t="str">
        <f>TRIM(MID(SUBSTITUTE($G147, ",", REPT(" ", 100)), (COLUMNS($AJ$2:AV147)-1)*100+1, 100))</f>
        <v/>
      </c>
      <c r="AW147" t="str">
        <f>TRIM(MID(SUBSTITUTE($G147, ",", REPT(" ", 100)), (COLUMNS($AJ$2:AW147)-1)*100+1, 100))</f>
        <v/>
      </c>
      <c r="AX147" t="str">
        <f>TRIM(MID(SUBSTITUTE($G147, ",", REPT(" ", 100)), (COLUMNS($AJ$2:AX147)-1)*100+1, 100))</f>
        <v/>
      </c>
      <c r="AY147" t="str">
        <f>TRIM(MID(SUBSTITUTE($G147, ",", REPT(" ", 100)), (COLUMNS($AJ$2:AY147)-1)*100+1, 100))</f>
        <v/>
      </c>
      <c r="AZ147" t="str">
        <f>TRIM(MID(SUBSTITUTE($G147, ",", REPT(" ", 100)), (COLUMNS($AJ$2:AZ147)-1)*100+1, 100))</f>
        <v/>
      </c>
      <c r="BA147" t="str">
        <f>TRIM(MID(SUBSTITUTE($G147, ",", REPT(" ", 100)), (COLUMNS($AJ$2:BA147)-1)*100+1, 100))</f>
        <v/>
      </c>
      <c r="BB147" t="str">
        <f>TRIM(MID(SUBSTITUTE($G147, ",", REPT(" ", 100)), (COLUMNS($AJ$2:BB147)-1)*100+1, 100))</f>
        <v/>
      </c>
      <c r="BC147" t="str">
        <f>TRIM(MID(SUBSTITUTE($G147, ",", REPT(" ", 100)), (COLUMNS($AJ$2:BC147)-1)*100+1, 100))</f>
        <v/>
      </c>
      <c r="BH147">
        <f t="shared" si="4"/>
        <v>1</v>
      </c>
    </row>
    <row r="148" spans="1:60" x14ac:dyDescent="0.5">
      <c r="A148" s="32" t="s">
        <v>437</v>
      </c>
      <c r="B148" s="257">
        <v>46169</v>
      </c>
      <c r="C148" s="2">
        <v>4.8</v>
      </c>
      <c r="D148" s="272"/>
      <c r="E148" s="271"/>
      <c r="F148" s="260">
        <v>1</v>
      </c>
      <c r="G148" s="38" t="s">
        <v>462</v>
      </c>
      <c r="I148" s="38">
        <v>0</v>
      </c>
      <c r="AL148" t="str">
        <f>TRIM(MID(SUBSTITUTE($G148, ",", REPT(" ", 100)), (COLUMNS($AJ$2:AL148)-1)*100+1, 100))</f>
        <v/>
      </c>
      <c r="AM148" s="1">
        <v>45804</v>
      </c>
      <c r="AN148" s="2">
        <v>5.5</v>
      </c>
      <c r="AO148" s="2">
        <v>4</v>
      </c>
      <c r="AQ148" t="str">
        <f>TRIM(MID(SUBSTITUTE($G148, ",", REPT(" ", 100)), (COLUMNS($AJ$2:AQ148)-1)*100+1, 100))</f>
        <v/>
      </c>
      <c r="AR148" t="str">
        <f>TRIM(MID(SUBSTITUTE($G148, ",", REPT(" ", 100)), (COLUMNS($AJ$2:AR148)-1)*100+1, 100))</f>
        <v/>
      </c>
      <c r="AS148" t="str">
        <f>TRIM(MID(SUBSTITUTE($G148, ",", REPT(" ", 100)), (COLUMNS($AJ$2:AS148)-1)*100+1, 100))</f>
        <v/>
      </c>
      <c r="AT148" t="str">
        <f>TRIM(MID(SUBSTITUTE($G148, ",", REPT(" ", 100)), (COLUMNS($AJ$2:AT148)-1)*100+1, 100))</f>
        <v/>
      </c>
      <c r="AU148" t="str">
        <f>TRIM(MID(SUBSTITUTE($G148, ",", REPT(" ", 100)), (COLUMNS($AJ$2:AU148)-1)*100+1, 100))</f>
        <v/>
      </c>
      <c r="AV148" t="str">
        <f>TRIM(MID(SUBSTITUTE($G148, ",", REPT(" ", 100)), (COLUMNS($AJ$2:AV148)-1)*100+1, 100))</f>
        <v/>
      </c>
      <c r="AW148" t="str">
        <f>TRIM(MID(SUBSTITUTE($G148, ",", REPT(" ", 100)), (COLUMNS($AJ$2:AW148)-1)*100+1, 100))</f>
        <v/>
      </c>
      <c r="AX148" t="str">
        <f>TRIM(MID(SUBSTITUTE($G148, ",", REPT(" ", 100)), (COLUMNS($AJ$2:AX148)-1)*100+1, 100))</f>
        <v/>
      </c>
      <c r="AY148" t="str">
        <f>TRIM(MID(SUBSTITUTE($G148, ",", REPT(" ", 100)), (COLUMNS($AJ$2:AY148)-1)*100+1, 100))</f>
        <v/>
      </c>
      <c r="AZ148" t="str">
        <f>TRIM(MID(SUBSTITUTE($G148, ",", REPT(" ", 100)), (COLUMNS($AJ$2:AZ148)-1)*100+1, 100))</f>
        <v/>
      </c>
      <c r="BA148" t="str">
        <f>TRIM(MID(SUBSTITUTE($G148, ",", REPT(" ", 100)), (COLUMNS($AJ$2:BA148)-1)*100+1, 100))</f>
        <v/>
      </c>
      <c r="BB148" t="str">
        <f>TRIM(MID(SUBSTITUTE($G148, ",", REPT(" ", 100)), (COLUMNS($AJ$2:BB148)-1)*100+1, 100))</f>
        <v/>
      </c>
      <c r="BC148" t="str">
        <f>TRIM(MID(SUBSTITUTE($G148, ",", REPT(" ", 100)), (COLUMNS($AJ$2:BC148)-1)*100+1, 100))</f>
        <v/>
      </c>
      <c r="BH148">
        <f t="shared" si="4"/>
        <v>1</v>
      </c>
    </row>
    <row r="149" spans="1:60" ht="14.7" thickBot="1" x14ac:dyDescent="0.55000000000000004">
      <c r="A149" s="32" t="s">
        <v>431</v>
      </c>
      <c r="B149" s="258">
        <v>46170</v>
      </c>
      <c r="C149" s="2">
        <v>5</v>
      </c>
      <c r="D149" s="272"/>
      <c r="E149" s="271"/>
      <c r="F149" s="260">
        <v>1</v>
      </c>
      <c r="G149" s="38" t="s">
        <v>462</v>
      </c>
      <c r="I149" s="38">
        <v>0</v>
      </c>
      <c r="AL149" t="str">
        <f>TRIM(MID(SUBSTITUTE($G149, ",", REPT(" ", 100)), (COLUMNS($AJ$2:AL149)-1)*100+1, 100))</f>
        <v/>
      </c>
      <c r="AM149" s="1">
        <v>45805</v>
      </c>
      <c r="AN149" s="2">
        <v>5</v>
      </c>
      <c r="AO149" s="2">
        <v>6</v>
      </c>
      <c r="AQ149" t="str">
        <f>TRIM(MID(SUBSTITUTE($G149, ",", REPT(" ", 100)), (COLUMNS($AJ$2:AQ149)-1)*100+1, 100))</f>
        <v/>
      </c>
      <c r="AR149" t="str">
        <f>TRIM(MID(SUBSTITUTE($G149, ",", REPT(" ", 100)), (COLUMNS($AJ$2:AR149)-1)*100+1, 100))</f>
        <v/>
      </c>
      <c r="AS149" t="str">
        <f>TRIM(MID(SUBSTITUTE($G149, ",", REPT(" ", 100)), (COLUMNS($AJ$2:AS149)-1)*100+1, 100))</f>
        <v/>
      </c>
      <c r="AT149" t="str">
        <f>TRIM(MID(SUBSTITUTE($G149, ",", REPT(" ", 100)), (COLUMNS($AJ$2:AT149)-1)*100+1, 100))</f>
        <v/>
      </c>
      <c r="AU149" t="str">
        <f>TRIM(MID(SUBSTITUTE($G149, ",", REPT(" ", 100)), (COLUMNS($AJ$2:AU149)-1)*100+1, 100))</f>
        <v/>
      </c>
      <c r="AV149" t="str">
        <f>TRIM(MID(SUBSTITUTE($G149, ",", REPT(" ", 100)), (COLUMNS($AJ$2:AV149)-1)*100+1, 100))</f>
        <v/>
      </c>
      <c r="AW149" t="str">
        <f>TRIM(MID(SUBSTITUTE($G149, ",", REPT(" ", 100)), (COLUMNS($AJ$2:AW149)-1)*100+1, 100))</f>
        <v/>
      </c>
      <c r="AX149" t="str">
        <f>TRIM(MID(SUBSTITUTE($G149, ",", REPT(" ", 100)), (COLUMNS($AJ$2:AX149)-1)*100+1, 100))</f>
        <v/>
      </c>
      <c r="AY149" t="str">
        <f>TRIM(MID(SUBSTITUTE($G149, ",", REPT(" ", 100)), (COLUMNS($AJ$2:AY149)-1)*100+1, 100))</f>
        <v/>
      </c>
      <c r="AZ149" t="str">
        <f>TRIM(MID(SUBSTITUTE($G149, ",", REPT(" ", 100)), (COLUMNS($AJ$2:AZ149)-1)*100+1, 100))</f>
        <v/>
      </c>
      <c r="BA149" t="str">
        <f>TRIM(MID(SUBSTITUTE($G149, ",", REPT(" ", 100)), (COLUMNS($AJ$2:BA149)-1)*100+1, 100))</f>
        <v/>
      </c>
      <c r="BB149" t="str">
        <f>TRIM(MID(SUBSTITUTE($G149, ",", REPT(" ", 100)), (COLUMNS($AJ$2:BB149)-1)*100+1, 100))</f>
        <v/>
      </c>
      <c r="BC149" t="str">
        <f>TRIM(MID(SUBSTITUTE($G149, ",", REPT(" ", 100)), (COLUMNS($AJ$2:BC149)-1)*100+1, 100))</f>
        <v/>
      </c>
      <c r="BH149">
        <f t="shared" si="4"/>
        <v>1</v>
      </c>
    </row>
    <row r="150" spans="1:60" x14ac:dyDescent="0.5">
      <c r="A150" s="32" t="s">
        <v>432</v>
      </c>
      <c r="B150" s="257">
        <v>46171</v>
      </c>
      <c r="C150" s="2">
        <v>5.8</v>
      </c>
      <c r="D150" s="272"/>
      <c r="E150" s="271"/>
      <c r="F150" s="260">
        <v>0</v>
      </c>
      <c r="G150" s="38" t="s">
        <v>462</v>
      </c>
      <c r="I150" s="38">
        <v>0</v>
      </c>
      <c r="AL150" t="str">
        <f>TRIM(MID(SUBSTITUTE($G150, ",", REPT(" ", 100)), (COLUMNS($AJ$2:AL150)-1)*100+1, 100))</f>
        <v/>
      </c>
      <c r="AM150" s="1">
        <v>45806</v>
      </c>
      <c r="AN150" s="2">
        <v>5</v>
      </c>
      <c r="AO150" s="2">
        <v>6</v>
      </c>
      <c r="AQ150" t="str">
        <f>TRIM(MID(SUBSTITUTE($G150, ",", REPT(" ", 100)), (COLUMNS($AJ$2:AQ150)-1)*100+1, 100))</f>
        <v/>
      </c>
      <c r="AR150" t="str">
        <f>TRIM(MID(SUBSTITUTE($G150, ",", REPT(" ", 100)), (COLUMNS($AJ$2:AR150)-1)*100+1, 100))</f>
        <v/>
      </c>
      <c r="AS150" t="str">
        <f>TRIM(MID(SUBSTITUTE($G150, ",", REPT(" ", 100)), (COLUMNS($AJ$2:AS150)-1)*100+1, 100))</f>
        <v/>
      </c>
      <c r="AT150" t="str">
        <f>TRIM(MID(SUBSTITUTE($G150, ",", REPT(" ", 100)), (COLUMNS($AJ$2:AT150)-1)*100+1, 100))</f>
        <v/>
      </c>
      <c r="AU150" t="str">
        <f>TRIM(MID(SUBSTITUTE($G150, ",", REPT(" ", 100)), (COLUMNS($AJ$2:AU150)-1)*100+1, 100))</f>
        <v/>
      </c>
      <c r="AV150" t="str">
        <f>TRIM(MID(SUBSTITUTE($G150, ",", REPT(" ", 100)), (COLUMNS($AJ$2:AV150)-1)*100+1, 100))</f>
        <v/>
      </c>
      <c r="AW150" t="str">
        <f>TRIM(MID(SUBSTITUTE($G150, ",", REPT(" ", 100)), (COLUMNS($AJ$2:AW150)-1)*100+1, 100))</f>
        <v/>
      </c>
      <c r="AX150" t="str">
        <f>TRIM(MID(SUBSTITUTE($G150, ",", REPT(" ", 100)), (COLUMNS($AJ$2:AX150)-1)*100+1, 100))</f>
        <v/>
      </c>
      <c r="AY150" t="str">
        <f>TRIM(MID(SUBSTITUTE($G150, ",", REPT(" ", 100)), (COLUMNS($AJ$2:AY150)-1)*100+1, 100))</f>
        <v/>
      </c>
      <c r="AZ150" t="str">
        <f>TRIM(MID(SUBSTITUTE($G150, ",", REPT(" ", 100)), (COLUMNS($AJ$2:AZ150)-1)*100+1, 100))</f>
        <v/>
      </c>
      <c r="BA150" t="str">
        <f>TRIM(MID(SUBSTITUTE($G150, ",", REPT(" ", 100)), (COLUMNS($AJ$2:BA150)-1)*100+1, 100))</f>
        <v/>
      </c>
      <c r="BB150" t="str">
        <f>TRIM(MID(SUBSTITUTE($G150, ",", REPT(" ", 100)), (COLUMNS($AJ$2:BB150)-1)*100+1, 100))</f>
        <v/>
      </c>
      <c r="BC150" t="str">
        <f>TRIM(MID(SUBSTITUTE($G150, ",", REPT(" ", 100)), (COLUMNS($AJ$2:BC150)-1)*100+1, 100))</f>
        <v/>
      </c>
      <c r="BH150">
        <f t="shared" si="4"/>
        <v>1</v>
      </c>
    </row>
    <row r="151" spans="1:60" ht="14.7" thickBot="1" x14ac:dyDescent="0.55000000000000004">
      <c r="A151" s="32" t="s">
        <v>433</v>
      </c>
      <c r="B151" s="258">
        <v>46172</v>
      </c>
      <c r="C151" s="2">
        <v>5</v>
      </c>
      <c r="D151" s="272"/>
      <c r="E151" s="271"/>
      <c r="F151" s="260">
        <v>1</v>
      </c>
      <c r="G151" s="38" t="s">
        <v>462</v>
      </c>
      <c r="I151" s="38">
        <v>0</v>
      </c>
      <c r="AL151" t="str">
        <f>TRIM(MID(SUBSTITUTE($G151, ",", REPT(" ", 100)), (COLUMNS($AJ$2:AL151)-1)*100+1, 100))</f>
        <v/>
      </c>
      <c r="AM151" s="1">
        <v>45807</v>
      </c>
      <c r="AN151" s="2">
        <v>3.5</v>
      </c>
      <c r="AO151" s="2">
        <v>6</v>
      </c>
      <c r="AQ151" t="str">
        <f>TRIM(MID(SUBSTITUTE($G151, ",", REPT(" ", 100)), (COLUMNS($AJ$2:AQ151)-1)*100+1, 100))</f>
        <v/>
      </c>
      <c r="AR151" t="str">
        <f>TRIM(MID(SUBSTITUTE($G151, ",", REPT(" ", 100)), (COLUMNS($AJ$2:AR151)-1)*100+1, 100))</f>
        <v/>
      </c>
      <c r="AS151" t="str">
        <f>TRIM(MID(SUBSTITUTE($G151, ",", REPT(" ", 100)), (COLUMNS($AJ$2:AS151)-1)*100+1, 100))</f>
        <v/>
      </c>
      <c r="AT151" t="str">
        <f>TRIM(MID(SUBSTITUTE($G151, ",", REPT(" ", 100)), (COLUMNS($AJ$2:AT151)-1)*100+1, 100))</f>
        <v/>
      </c>
      <c r="AU151" t="str">
        <f>TRIM(MID(SUBSTITUTE($G151, ",", REPT(" ", 100)), (COLUMNS($AJ$2:AU151)-1)*100+1, 100))</f>
        <v/>
      </c>
      <c r="AV151" t="str">
        <f>TRIM(MID(SUBSTITUTE($G151, ",", REPT(" ", 100)), (COLUMNS($AJ$2:AV151)-1)*100+1, 100))</f>
        <v/>
      </c>
      <c r="AW151" t="str">
        <f>TRIM(MID(SUBSTITUTE($G151, ",", REPT(" ", 100)), (COLUMNS($AJ$2:AW151)-1)*100+1, 100))</f>
        <v/>
      </c>
      <c r="AX151" t="str">
        <f>TRIM(MID(SUBSTITUTE($G151, ",", REPT(" ", 100)), (COLUMNS($AJ$2:AX151)-1)*100+1, 100))</f>
        <v/>
      </c>
      <c r="AY151" t="str">
        <f>TRIM(MID(SUBSTITUTE($G151, ",", REPT(" ", 100)), (COLUMNS($AJ$2:AY151)-1)*100+1, 100))</f>
        <v/>
      </c>
      <c r="AZ151" t="str">
        <f>TRIM(MID(SUBSTITUTE($G151, ",", REPT(" ", 100)), (COLUMNS($AJ$2:AZ151)-1)*100+1, 100))</f>
        <v/>
      </c>
      <c r="BA151" t="str">
        <f>TRIM(MID(SUBSTITUTE($G151, ",", REPT(" ", 100)), (COLUMNS($AJ$2:BA151)-1)*100+1, 100))</f>
        <v/>
      </c>
      <c r="BB151" t="str">
        <f>TRIM(MID(SUBSTITUTE($G151, ",", REPT(" ", 100)), (COLUMNS($AJ$2:BB151)-1)*100+1, 100))</f>
        <v/>
      </c>
      <c r="BC151" t="str">
        <f>TRIM(MID(SUBSTITUTE($G151, ",", REPT(" ", 100)), (COLUMNS($AJ$2:BC151)-1)*100+1, 100))</f>
        <v/>
      </c>
      <c r="BH151">
        <f t="shared" si="4"/>
        <v>1</v>
      </c>
    </row>
    <row r="152" spans="1:60" x14ac:dyDescent="0.5">
      <c r="A152" s="32" t="s">
        <v>434</v>
      </c>
      <c r="B152" s="257">
        <v>46173</v>
      </c>
      <c r="C152" s="2">
        <v>5.6</v>
      </c>
      <c r="D152" s="272"/>
      <c r="E152" s="271"/>
      <c r="F152" s="260">
        <v>1</v>
      </c>
      <c r="G152" s="38" t="s">
        <v>462</v>
      </c>
      <c r="I152" s="38">
        <v>0</v>
      </c>
      <c r="AL152" t="str">
        <f>TRIM(MID(SUBSTITUTE($G152, ",", REPT(" ", 100)), (COLUMNS($AJ$2:AL152)-1)*100+1, 100))</f>
        <v/>
      </c>
      <c r="AM152" s="1">
        <v>45808</v>
      </c>
      <c r="AN152" s="2">
        <v>4</v>
      </c>
      <c r="AO152" s="2">
        <v>6</v>
      </c>
      <c r="AQ152" t="str">
        <f>TRIM(MID(SUBSTITUTE($G152, ",", REPT(" ", 100)), (COLUMNS($AJ$2:AQ152)-1)*100+1, 100))</f>
        <v/>
      </c>
      <c r="AR152" t="str">
        <f>TRIM(MID(SUBSTITUTE($G152, ",", REPT(" ", 100)), (COLUMNS($AJ$2:AR152)-1)*100+1, 100))</f>
        <v/>
      </c>
      <c r="AS152" t="str">
        <f>TRIM(MID(SUBSTITUTE($G152, ",", REPT(" ", 100)), (COLUMNS($AJ$2:AS152)-1)*100+1, 100))</f>
        <v/>
      </c>
      <c r="AT152" t="str">
        <f>TRIM(MID(SUBSTITUTE($G152, ",", REPT(" ", 100)), (COLUMNS($AJ$2:AT152)-1)*100+1, 100))</f>
        <v/>
      </c>
      <c r="AU152" t="str">
        <f>TRIM(MID(SUBSTITUTE($G152, ",", REPT(" ", 100)), (COLUMNS($AJ$2:AU152)-1)*100+1, 100))</f>
        <v/>
      </c>
      <c r="AV152" t="str">
        <f>TRIM(MID(SUBSTITUTE($G152, ",", REPT(" ", 100)), (COLUMNS($AJ$2:AV152)-1)*100+1, 100))</f>
        <v/>
      </c>
      <c r="AW152" t="str">
        <f>TRIM(MID(SUBSTITUTE($G152, ",", REPT(" ", 100)), (COLUMNS($AJ$2:AW152)-1)*100+1, 100))</f>
        <v/>
      </c>
      <c r="AX152" t="str">
        <f>TRIM(MID(SUBSTITUTE($G152, ",", REPT(" ", 100)), (COLUMNS($AJ$2:AX152)-1)*100+1, 100))</f>
        <v/>
      </c>
      <c r="AY152" t="str">
        <f>TRIM(MID(SUBSTITUTE($G152, ",", REPT(" ", 100)), (COLUMNS($AJ$2:AY152)-1)*100+1, 100))</f>
        <v/>
      </c>
      <c r="AZ152" t="str">
        <f>TRIM(MID(SUBSTITUTE($G152, ",", REPT(" ", 100)), (COLUMNS($AJ$2:AZ152)-1)*100+1, 100))</f>
        <v/>
      </c>
      <c r="BA152" t="str">
        <f>TRIM(MID(SUBSTITUTE($G152, ",", REPT(" ", 100)), (COLUMNS($AJ$2:BA152)-1)*100+1, 100))</f>
        <v/>
      </c>
      <c r="BB152" t="str">
        <f>TRIM(MID(SUBSTITUTE($G152, ",", REPT(" ", 100)), (COLUMNS($AJ$2:BB152)-1)*100+1, 100))</f>
        <v/>
      </c>
      <c r="BC152" t="str">
        <f>TRIM(MID(SUBSTITUTE($G152, ",", REPT(" ", 100)), (COLUMNS($AJ$2:BC152)-1)*100+1, 100))</f>
        <v/>
      </c>
      <c r="BH152">
        <f t="shared" si="4"/>
        <v>1</v>
      </c>
    </row>
    <row r="153" spans="1:60" ht="14.7" thickBot="1" x14ac:dyDescent="0.55000000000000004">
      <c r="A153" s="32" t="s">
        <v>435</v>
      </c>
      <c r="B153" s="258">
        <v>46174</v>
      </c>
      <c r="C153" s="2">
        <v>5.2</v>
      </c>
      <c r="D153" s="272">
        <f>AVERAGE(C153:C182)</f>
        <v>5.6033333333333335</v>
      </c>
      <c r="E153" s="271"/>
      <c r="F153" s="260">
        <v>1</v>
      </c>
      <c r="G153" s="38" t="s">
        <v>462</v>
      </c>
      <c r="I153" s="38">
        <v>0</v>
      </c>
      <c r="AL153" t="str">
        <f>TRIM(MID(SUBSTITUTE($G153, ",", REPT(" ", 100)), (COLUMNS($AJ$2:AL153)-1)*100+1, 100))</f>
        <v/>
      </c>
      <c r="AM153" s="1">
        <v>45809</v>
      </c>
      <c r="AN153" s="2">
        <v>5</v>
      </c>
      <c r="AO153" s="2">
        <v>6</v>
      </c>
      <c r="AQ153" t="str">
        <f>TRIM(MID(SUBSTITUTE($G153, ",", REPT(" ", 100)), (COLUMNS($AJ$2:AQ153)-1)*100+1, 100))</f>
        <v/>
      </c>
      <c r="AR153" t="str">
        <f>TRIM(MID(SUBSTITUTE($G153, ",", REPT(" ", 100)), (COLUMNS($AJ$2:AR153)-1)*100+1, 100))</f>
        <v/>
      </c>
      <c r="AS153" t="str">
        <f>TRIM(MID(SUBSTITUTE($G153, ",", REPT(" ", 100)), (COLUMNS($AJ$2:AS153)-1)*100+1, 100))</f>
        <v/>
      </c>
      <c r="AT153" t="str">
        <f>TRIM(MID(SUBSTITUTE($G153, ",", REPT(" ", 100)), (COLUMNS($AJ$2:AT153)-1)*100+1, 100))</f>
        <v/>
      </c>
      <c r="AU153" t="str">
        <f>TRIM(MID(SUBSTITUTE($G153, ",", REPT(" ", 100)), (COLUMNS($AJ$2:AU153)-1)*100+1, 100))</f>
        <v/>
      </c>
      <c r="AV153" t="str">
        <f>TRIM(MID(SUBSTITUTE($G153, ",", REPT(" ", 100)), (COLUMNS($AJ$2:AV153)-1)*100+1, 100))</f>
        <v/>
      </c>
      <c r="AW153" t="str">
        <f>TRIM(MID(SUBSTITUTE($G153, ",", REPT(" ", 100)), (COLUMNS($AJ$2:AW153)-1)*100+1, 100))</f>
        <v/>
      </c>
      <c r="AX153" t="str">
        <f>TRIM(MID(SUBSTITUTE($G153, ",", REPT(" ", 100)), (COLUMNS($AJ$2:AX153)-1)*100+1, 100))</f>
        <v/>
      </c>
      <c r="AY153" t="str">
        <f>TRIM(MID(SUBSTITUTE($G153, ",", REPT(" ", 100)), (COLUMNS($AJ$2:AY153)-1)*100+1, 100))</f>
        <v/>
      </c>
      <c r="AZ153" t="str">
        <f>TRIM(MID(SUBSTITUTE($G153, ",", REPT(" ", 100)), (COLUMNS($AJ$2:AZ153)-1)*100+1, 100))</f>
        <v/>
      </c>
      <c r="BA153" t="str">
        <f>TRIM(MID(SUBSTITUTE($G153, ",", REPT(" ", 100)), (COLUMNS($AJ$2:BA153)-1)*100+1, 100))</f>
        <v/>
      </c>
      <c r="BB153" t="str">
        <f>TRIM(MID(SUBSTITUTE($G153, ",", REPT(" ", 100)), (COLUMNS($AJ$2:BB153)-1)*100+1, 100))</f>
        <v/>
      </c>
      <c r="BC153" t="str">
        <f>TRIM(MID(SUBSTITUTE($G153, ",", REPT(" ", 100)), (COLUMNS($AJ$2:BC153)-1)*100+1, 100))</f>
        <v/>
      </c>
      <c r="BH153">
        <f t="shared" si="4"/>
        <v>1</v>
      </c>
    </row>
    <row r="154" spans="1:60" x14ac:dyDescent="0.5">
      <c r="A154" s="32" t="s">
        <v>436</v>
      </c>
      <c r="B154" s="257">
        <v>46175</v>
      </c>
      <c r="C154" s="2">
        <v>5.0999999999999996</v>
      </c>
      <c r="D154" s="272"/>
      <c r="E154" s="271"/>
      <c r="F154" s="260">
        <v>0</v>
      </c>
      <c r="G154" s="38" t="s">
        <v>462</v>
      </c>
      <c r="I154" s="38">
        <v>0</v>
      </c>
      <c r="AL154" t="str">
        <f>TRIM(MID(SUBSTITUTE($G154, ",", REPT(" ", 100)), (COLUMNS($AJ$2:AL154)-1)*100+1, 100))</f>
        <v/>
      </c>
      <c r="AM154" s="1">
        <v>45810</v>
      </c>
      <c r="AN154" s="2">
        <v>0</v>
      </c>
      <c r="AO154" s="2">
        <v>6</v>
      </c>
      <c r="AQ154" t="str">
        <f>TRIM(MID(SUBSTITUTE($G154, ",", REPT(" ", 100)), (COLUMNS($AJ$2:AQ154)-1)*100+1, 100))</f>
        <v/>
      </c>
      <c r="AR154" t="str">
        <f>TRIM(MID(SUBSTITUTE($G154, ",", REPT(" ", 100)), (COLUMNS($AJ$2:AR154)-1)*100+1, 100))</f>
        <v/>
      </c>
      <c r="AS154" t="str">
        <f>TRIM(MID(SUBSTITUTE($G154, ",", REPT(" ", 100)), (COLUMNS($AJ$2:AS154)-1)*100+1, 100))</f>
        <v/>
      </c>
      <c r="AT154" t="str">
        <f>TRIM(MID(SUBSTITUTE($G154, ",", REPT(" ", 100)), (COLUMNS($AJ$2:AT154)-1)*100+1, 100))</f>
        <v/>
      </c>
      <c r="AU154" t="str">
        <f>TRIM(MID(SUBSTITUTE($G154, ",", REPT(" ", 100)), (COLUMNS($AJ$2:AU154)-1)*100+1, 100))</f>
        <v/>
      </c>
      <c r="AV154" t="str">
        <f>TRIM(MID(SUBSTITUTE($G154, ",", REPT(" ", 100)), (COLUMNS($AJ$2:AV154)-1)*100+1, 100))</f>
        <v/>
      </c>
      <c r="AW154" t="str">
        <f>TRIM(MID(SUBSTITUTE($G154, ",", REPT(" ", 100)), (COLUMNS($AJ$2:AW154)-1)*100+1, 100))</f>
        <v/>
      </c>
      <c r="AX154" t="str">
        <f>TRIM(MID(SUBSTITUTE($G154, ",", REPT(" ", 100)), (COLUMNS($AJ$2:AX154)-1)*100+1, 100))</f>
        <v/>
      </c>
      <c r="AY154" t="str">
        <f>TRIM(MID(SUBSTITUTE($G154, ",", REPT(" ", 100)), (COLUMNS($AJ$2:AY154)-1)*100+1, 100))</f>
        <v/>
      </c>
      <c r="AZ154" t="str">
        <f>TRIM(MID(SUBSTITUTE($G154, ",", REPT(" ", 100)), (COLUMNS($AJ$2:AZ154)-1)*100+1, 100))</f>
        <v/>
      </c>
      <c r="BA154" t="str">
        <f>TRIM(MID(SUBSTITUTE($G154, ",", REPT(" ", 100)), (COLUMNS($AJ$2:BA154)-1)*100+1, 100))</f>
        <v/>
      </c>
      <c r="BB154" t="str">
        <f>TRIM(MID(SUBSTITUTE($G154, ",", REPT(" ", 100)), (COLUMNS($AJ$2:BB154)-1)*100+1, 100))</f>
        <v/>
      </c>
      <c r="BC154" t="str">
        <f>TRIM(MID(SUBSTITUTE($G154, ",", REPT(" ", 100)), (COLUMNS($AJ$2:BC154)-1)*100+1, 100))</f>
        <v/>
      </c>
      <c r="BH154">
        <f t="shared" si="4"/>
        <v>1</v>
      </c>
    </row>
    <row r="155" spans="1:60" ht="14.7" thickBot="1" x14ac:dyDescent="0.55000000000000004">
      <c r="A155" s="32" t="s">
        <v>437</v>
      </c>
      <c r="B155" s="258">
        <v>46176</v>
      </c>
      <c r="C155" s="2">
        <v>5</v>
      </c>
      <c r="D155" s="272"/>
      <c r="E155" s="271"/>
      <c r="F155" s="260">
        <v>1</v>
      </c>
      <c r="G155" s="38" t="s">
        <v>462</v>
      </c>
      <c r="I155" s="38">
        <v>0</v>
      </c>
      <c r="AL155" t="str">
        <f>TRIM(MID(SUBSTITUTE($G155, ",", REPT(" ", 100)), (COLUMNS($AJ$2:AL155)-1)*100+1, 100))</f>
        <v/>
      </c>
      <c r="AM155" s="1">
        <v>45811</v>
      </c>
      <c r="AN155" s="2">
        <v>4</v>
      </c>
      <c r="AO155" s="2">
        <v>4</v>
      </c>
      <c r="AQ155" t="str">
        <f>TRIM(MID(SUBSTITUTE($G155, ",", REPT(" ", 100)), (COLUMNS($AJ$2:AQ155)-1)*100+1, 100))</f>
        <v/>
      </c>
      <c r="AR155" t="str">
        <f>TRIM(MID(SUBSTITUTE($G155, ",", REPT(" ", 100)), (COLUMNS($AJ$2:AR155)-1)*100+1, 100))</f>
        <v/>
      </c>
      <c r="AS155" t="str">
        <f>TRIM(MID(SUBSTITUTE($G155, ",", REPT(" ", 100)), (COLUMNS($AJ$2:AS155)-1)*100+1, 100))</f>
        <v/>
      </c>
      <c r="AT155" t="str">
        <f>TRIM(MID(SUBSTITUTE($G155, ",", REPT(" ", 100)), (COLUMNS($AJ$2:AT155)-1)*100+1, 100))</f>
        <v/>
      </c>
      <c r="AU155" t="str">
        <f>TRIM(MID(SUBSTITUTE($G155, ",", REPT(" ", 100)), (COLUMNS($AJ$2:AU155)-1)*100+1, 100))</f>
        <v/>
      </c>
      <c r="AV155" t="str">
        <f>TRIM(MID(SUBSTITUTE($G155, ",", REPT(" ", 100)), (COLUMNS($AJ$2:AV155)-1)*100+1, 100))</f>
        <v/>
      </c>
      <c r="AW155" t="str">
        <f>TRIM(MID(SUBSTITUTE($G155, ",", REPT(" ", 100)), (COLUMNS($AJ$2:AW155)-1)*100+1, 100))</f>
        <v/>
      </c>
      <c r="AX155" t="str">
        <f>TRIM(MID(SUBSTITUTE($G155, ",", REPT(" ", 100)), (COLUMNS($AJ$2:AX155)-1)*100+1, 100))</f>
        <v/>
      </c>
      <c r="AY155" t="str">
        <f>TRIM(MID(SUBSTITUTE($G155, ",", REPT(" ", 100)), (COLUMNS($AJ$2:AY155)-1)*100+1, 100))</f>
        <v/>
      </c>
      <c r="AZ155" t="str">
        <f>TRIM(MID(SUBSTITUTE($G155, ",", REPT(" ", 100)), (COLUMNS($AJ$2:AZ155)-1)*100+1, 100))</f>
        <v/>
      </c>
      <c r="BA155" t="str">
        <f>TRIM(MID(SUBSTITUTE($G155, ",", REPT(" ", 100)), (COLUMNS($AJ$2:BA155)-1)*100+1, 100))</f>
        <v/>
      </c>
      <c r="BB155" t="str">
        <f>TRIM(MID(SUBSTITUTE($G155, ",", REPT(" ", 100)), (COLUMNS($AJ$2:BB155)-1)*100+1, 100))</f>
        <v/>
      </c>
      <c r="BC155" t="str">
        <f>TRIM(MID(SUBSTITUTE($G155, ",", REPT(" ", 100)), (COLUMNS($AJ$2:BC155)-1)*100+1, 100))</f>
        <v/>
      </c>
      <c r="BH155">
        <f t="shared" si="4"/>
        <v>1</v>
      </c>
    </row>
    <row r="156" spans="1:60" x14ac:dyDescent="0.5">
      <c r="A156" s="32" t="s">
        <v>431</v>
      </c>
      <c r="B156" s="257">
        <v>46177</v>
      </c>
      <c r="C156" s="2">
        <v>4.8</v>
      </c>
      <c r="D156" s="272"/>
      <c r="E156" s="271"/>
      <c r="F156" s="260">
        <v>1</v>
      </c>
      <c r="G156" s="38" t="s">
        <v>462</v>
      </c>
      <c r="I156" s="38">
        <v>0</v>
      </c>
      <c r="AL156" t="str">
        <f>TRIM(MID(SUBSTITUTE($G156, ",", REPT(" ", 100)), (COLUMNS($AJ$2:AL156)-1)*100+1, 100))</f>
        <v/>
      </c>
      <c r="AM156" s="1">
        <v>45812</v>
      </c>
      <c r="AN156" s="2">
        <v>4</v>
      </c>
      <c r="AO156" s="2">
        <v>8</v>
      </c>
      <c r="AQ156" t="str">
        <f>TRIM(MID(SUBSTITUTE($G156, ",", REPT(" ", 100)), (COLUMNS($AJ$2:AQ156)-1)*100+1, 100))</f>
        <v/>
      </c>
      <c r="AR156" t="str">
        <f>TRIM(MID(SUBSTITUTE($G156, ",", REPT(" ", 100)), (COLUMNS($AJ$2:AR156)-1)*100+1, 100))</f>
        <v/>
      </c>
      <c r="AS156" t="str">
        <f>TRIM(MID(SUBSTITUTE($G156, ",", REPT(" ", 100)), (COLUMNS($AJ$2:AS156)-1)*100+1, 100))</f>
        <v/>
      </c>
      <c r="AT156" t="str">
        <f>TRIM(MID(SUBSTITUTE($G156, ",", REPT(" ", 100)), (COLUMNS($AJ$2:AT156)-1)*100+1, 100))</f>
        <v/>
      </c>
      <c r="AU156" t="str">
        <f>TRIM(MID(SUBSTITUTE($G156, ",", REPT(" ", 100)), (COLUMNS($AJ$2:AU156)-1)*100+1, 100))</f>
        <v/>
      </c>
      <c r="AV156" t="str">
        <f>TRIM(MID(SUBSTITUTE($G156, ",", REPT(" ", 100)), (COLUMNS($AJ$2:AV156)-1)*100+1, 100))</f>
        <v/>
      </c>
      <c r="AW156" t="str">
        <f>TRIM(MID(SUBSTITUTE($G156, ",", REPT(" ", 100)), (COLUMNS($AJ$2:AW156)-1)*100+1, 100))</f>
        <v/>
      </c>
      <c r="AX156" t="str">
        <f>TRIM(MID(SUBSTITUTE($G156, ",", REPT(" ", 100)), (COLUMNS($AJ$2:AX156)-1)*100+1, 100))</f>
        <v/>
      </c>
      <c r="AY156" t="str">
        <f>TRIM(MID(SUBSTITUTE($G156, ",", REPT(" ", 100)), (COLUMNS($AJ$2:AY156)-1)*100+1, 100))</f>
        <v/>
      </c>
      <c r="AZ156" t="str">
        <f>TRIM(MID(SUBSTITUTE($G156, ",", REPT(" ", 100)), (COLUMNS($AJ$2:AZ156)-1)*100+1, 100))</f>
        <v/>
      </c>
      <c r="BA156" t="str">
        <f>TRIM(MID(SUBSTITUTE($G156, ",", REPT(" ", 100)), (COLUMNS($AJ$2:BA156)-1)*100+1, 100))</f>
        <v/>
      </c>
      <c r="BB156" t="str">
        <f>TRIM(MID(SUBSTITUTE($G156, ",", REPT(" ", 100)), (COLUMNS($AJ$2:BB156)-1)*100+1, 100))</f>
        <v/>
      </c>
      <c r="BC156" t="str">
        <f>TRIM(MID(SUBSTITUTE($G156, ",", REPT(" ", 100)), (COLUMNS($AJ$2:BC156)-1)*100+1, 100))</f>
        <v/>
      </c>
      <c r="BH156">
        <f t="shared" si="4"/>
        <v>1</v>
      </c>
    </row>
    <row r="157" spans="1:60" ht="14.7" thickBot="1" x14ac:dyDescent="0.55000000000000004">
      <c r="A157" s="32" t="s">
        <v>432</v>
      </c>
      <c r="B157" s="258">
        <v>46178</v>
      </c>
      <c r="C157" s="2">
        <v>5.3</v>
      </c>
      <c r="D157" s="272"/>
      <c r="E157" s="271"/>
      <c r="F157" s="260">
        <v>0</v>
      </c>
      <c r="G157" s="38" t="s">
        <v>462</v>
      </c>
      <c r="I157" s="38">
        <v>0</v>
      </c>
      <c r="AL157" t="str">
        <f>TRIM(MID(SUBSTITUTE($G157, ",", REPT(" ", 100)), (COLUMNS($AJ$2:AL157)-1)*100+1, 100))</f>
        <v/>
      </c>
      <c r="AM157" s="1">
        <v>45813</v>
      </c>
      <c r="AN157" s="2">
        <v>6</v>
      </c>
      <c r="AO157" s="2">
        <v>10</v>
      </c>
      <c r="AQ157" t="str">
        <f>TRIM(MID(SUBSTITUTE($G157, ",", REPT(" ", 100)), (COLUMNS($AJ$2:AQ157)-1)*100+1, 100))</f>
        <v/>
      </c>
      <c r="AR157" t="str">
        <f>TRIM(MID(SUBSTITUTE($G157, ",", REPT(" ", 100)), (COLUMNS($AJ$2:AR157)-1)*100+1, 100))</f>
        <v/>
      </c>
      <c r="AS157" t="str">
        <f>TRIM(MID(SUBSTITUTE($G157, ",", REPT(" ", 100)), (COLUMNS($AJ$2:AS157)-1)*100+1, 100))</f>
        <v/>
      </c>
      <c r="AT157" t="str">
        <f>TRIM(MID(SUBSTITUTE($G157, ",", REPT(" ", 100)), (COLUMNS($AJ$2:AT157)-1)*100+1, 100))</f>
        <v/>
      </c>
      <c r="AU157" t="str">
        <f>TRIM(MID(SUBSTITUTE($G157, ",", REPT(" ", 100)), (COLUMNS($AJ$2:AU157)-1)*100+1, 100))</f>
        <v/>
      </c>
      <c r="AV157" t="str">
        <f>TRIM(MID(SUBSTITUTE($G157, ",", REPT(" ", 100)), (COLUMNS($AJ$2:AV157)-1)*100+1, 100))</f>
        <v/>
      </c>
      <c r="AW157" t="str">
        <f>TRIM(MID(SUBSTITUTE($G157, ",", REPT(" ", 100)), (COLUMNS($AJ$2:AW157)-1)*100+1, 100))</f>
        <v/>
      </c>
      <c r="AX157" t="str">
        <f>TRIM(MID(SUBSTITUTE($G157, ",", REPT(" ", 100)), (COLUMNS($AJ$2:AX157)-1)*100+1, 100))</f>
        <v/>
      </c>
      <c r="AY157" t="str">
        <f>TRIM(MID(SUBSTITUTE($G157, ",", REPT(" ", 100)), (COLUMNS($AJ$2:AY157)-1)*100+1, 100))</f>
        <v/>
      </c>
      <c r="AZ157" t="str">
        <f>TRIM(MID(SUBSTITUTE($G157, ",", REPT(" ", 100)), (COLUMNS($AJ$2:AZ157)-1)*100+1, 100))</f>
        <v/>
      </c>
      <c r="BA157" t="str">
        <f>TRIM(MID(SUBSTITUTE($G157, ",", REPT(" ", 100)), (COLUMNS($AJ$2:BA157)-1)*100+1, 100))</f>
        <v/>
      </c>
      <c r="BB157" t="str">
        <f>TRIM(MID(SUBSTITUTE($G157, ",", REPT(" ", 100)), (COLUMNS($AJ$2:BB157)-1)*100+1, 100))</f>
        <v/>
      </c>
      <c r="BC157" t="str">
        <f>TRIM(MID(SUBSTITUTE($G157, ",", REPT(" ", 100)), (COLUMNS($AJ$2:BC157)-1)*100+1, 100))</f>
        <v/>
      </c>
      <c r="BH157">
        <f t="shared" si="4"/>
        <v>1</v>
      </c>
    </row>
    <row r="158" spans="1:60" x14ac:dyDescent="0.5">
      <c r="A158" s="32" t="s">
        <v>433</v>
      </c>
      <c r="B158" s="257">
        <v>46179</v>
      </c>
      <c r="C158" s="2">
        <v>3.9</v>
      </c>
      <c r="D158" s="272"/>
      <c r="E158" s="271"/>
      <c r="F158" s="260">
        <v>1</v>
      </c>
      <c r="G158" s="38" t="s">
        <v>462</v>
      </c>
      <c r="H158" s="38" t="s">
        <v>563</v>
      </c>
      <c r="I158" s="38">
        <v>0</v>
      </c>
      <c r="AL158" t="str">
        <f>TRIM(MID(SUBSTITUTE($G158, ",", REPT(" ", 100)), (COLUMNS($AJ$2:AL158)-1)*100+1, 100))</f>
        <v/>
      </c>
      <c r="AM158" s="1">
        <v>45814</v>
      </c>
      <c r="AN158" s="2">
        <v>5</v>
      </c>
      <c r="AO158" s="2">
        <v>6</v>
      </c>
      <c r="AQ158" t="str">
        <f>TRIM(MID(SUBSTITUTE($G158, ",", REPT(" ", 100)), (COLUMNS($AJ$2:AQ158)-1)*100+1, 100))</f>
        <v/>
      </c>
      <c r="AR158" t="str">
        <f>TRIM(MID(SUBSTITUTE($G158, ",", REPT(" ", 100)), (COLUMNS($AJ$2:AR158)-1)*100+1, 100))</f>
        <v/>
      </c>
      <c r="AS158" t="str">
        <f>TRIM(MID(SUBSTITUTE($G158, ",", REPT(" ", 100)), (COLUMNS($AJ$2:AS158)-1)*100+1, 100))</f>
        <v/>
      </c>
      <c r="AT158" t="str">
        <f>TRIM(MID(SUBSTITUTE($G158, ",", REPT(" ", 100)), (COLUMNS($AJ$2:AT158)-1)*100+1, 100))</f>
        <v/>
      </c>
      <c r="AU158" t="str">
        <f>TRIM(MID(SUBSTITUTE($G158, ",", REPT(" ", 100)), (COLUMNS($AJ$2:AU158)-1)*100+1, 100))</f>
        <v/>
      </c>
      <c r="AV158" t="str">
        <f>TRIM(MID(SUBSTITUTE($G158, ",", REPT(" ", 100)), (COLUMNS($AJ$2:AV158)-1)*100+1, 100))</f>
        <v/>
      </c>
      <c r="AW158" t="str">
        <f>TRIM(MID(SUBSTITUTE($G158, ",", REPT(" ", 100)), (COLUMNS($AJ$2:AW158)-1)*100+1, 100))</f>
        <v/>
      </c>
      <c r="AX158" t="str">
        <f>TRIM(MID(SUBSTITUTE($G158, ",", REPT(" ", 100)), (COLUMNS($AJ$2:AX158)-1)*100+1, 100))</f>
        <v/>
      </c>
      <c r="AY158" t="str">
        <f>TRIM(MID(SUBSTITUTE($G158, ",", REPT(" ", 100)), (COLUMNS($AJ$2:AY158)-1)*100+1, 100))</f>
        <v/>
      </c>
      <c r="AZ158" t="str">
        <f>TRIM(MID(SUBSTITUTE($G158, ",", REPT(" ", 100)), (COLUMNS($AJ$2:AZ158)-1)*100+1, 100))</f>
        <v/>
      </c>
      <c r="BA158" t="str">
        <f>TRIM(MID(SUBSTITUTE($G158, ",", REPT(" ", 100)), (COLUMNS($AJ$2:BA158)-1)*100+1, 100))</f>
        <v/>
      </c>
      <c r="BB158" t="str">
        <f>TRIM(MID(SUBSTITUTE($G158, ",", REPT(" ", 100)), (COLUMNS($AJ$2:BB158)-1)*100+1, 100))</f>
        <v/>
      </c>
      <c r="BC158" t="str">
        <f>TRIM(MID(SUBSTITUTE($G158, ",", REPT(" ", 100)), (COLUMNS($AJ$2:BC158)-1)*100+1, 100))</f>
        <v/>
      </c>
      <c r="BH158">
        <f t="shared" si="4"/>
        <v>1</v>
      </c>
    </row>
    <row r="159" spans="1:60" ht="14.7" thickBot="1" x14ac:dyDescent="0.55000000000000004">
      <c r="A159" s="32" t="s">
        <v>434</v>
      </c>
      <c r="B159" s="258">
        <v>46180</v>
      </c>
      <c r="C159" s="2">
        <v>5.0999999999999996</v>
      </c>
      <c r="D159" s="272"/>
      <c r="E159" s="271"/>
      <c r="F159" s="260">
        <v>0</v>
      </c>
      <c r="G159" s="38" t="s">
        <v>462</v>
      </c>
      <c r="I159" s="38">
        <v>0</v>
      </c>
      <c r="AL159" t="str">
        <f>TRIM(MID(SUBSTITUTE($G159, ",", REPT(" ", 100)), (COLUMNS($AJ$2:AL159)-1)*100+1, 100))</f>
        <v/>
      </c>
      <c r="AM159" s="1">
        <v>45815</v>
      </c>
      <c r="AN159" s="2">
        <v>5.5</v>
      </c>
      <c r="AO159" s="2">
        <v>4</v>
      </c>
      <c r="AQ159" t="str">
        <f>TRIM(MID(SUBSTITUTE($G159, ",", REPT(" ", 100)), (COLUMNS($AJ$2:AQ159)-1)*100+1, 100))</f>
        <v/>
      </c>
      <c r="AR159" t="str">
        <f>TRIM(MID(SUBSTITUTE($G159, ",", REPT(" ", 100)), (COLUMNS($AJ$2:AR159)-1)*100+1, 100))</f>
        <v/>
      </c>
      <c r="AS159" t="str">
        <f>TRIM(MID(SUBSTITUTE($G159, ",", REPT(" ", 100)), (COLUMNS($AJ$2:AS159)-1)*100+1, 100))</f>
        <v/>
      </c>
      <c r="AT159" t="str">
        <f>TRIM(MID(SUBSTITUTE($G159, ",", REPT(" ", 100)), (COLUMNS($AJ$2:AT159)-1)*100+1, 100))</f>
        <v/>
      </c>
      <c r="AU159" t="str">
        <f>TRIM(MID(SUBSTITUTE($G159, ",", REPT(" ", 100)), (COLUMNS($AJ$2:AU159)-1)*100+1, 100))</f>
        <v/>
      </c>
      <c r="AV159" t="str">
        <f>TRIM(MID(SUBSTITUTE($G159, ",", REPT(" ", 100)), (COLUMNS($AJ$2:AV159)-1)*100+1, 100))</f>
        <v/>
      </c>
      <c r="AW159" t="str">
        <f>TRIM(MID(SUBSTITUTE($G159, ",", REPT(" ", 100)), (COLUMNS($AJ$2:AW159)-1)*100+1, 100))</f>
        <v/>
      </c>
      <c r="AX159" t="str">
        <f>TRIM(MID(SUBSTITUTE($G159, ",", REPT(" ", 100)), (COLUMNS($AJ$2:AX159)-1)*100+1, 100))</f>
        <v/>
      </c>
      <c r="AY159" t="str">
        <f>TRIM(MID(SUBSTITUTE($G159, ",", REPT(" ", 100)), (COLUMNS($AJ$2:AY159)-1)*100+1, 100))</f>
        <v/>
      </c>
      <c r="AZ159" t="str">
        <f>TRIM(MID(SUBSTITUTE($G159, ",", REPT(" ", 100)), (COLUMNS($AJ$2:AZ159)-1)*100+1, 100))</f>
        <v/>
      </c>
      <c r="BA159" t="str">
        <f>TRIM(MID(SUBSTITUTE($G159, ",", REPT(" ", 100)), (COLUMNS($AJ$2:BA159)-1)*100+1, 100))</f>
        <v/>
      </c>
      <c r="BB159" t="str">
        <f>TRIM(MID(SUBSTITUTE($G159, ",", REPT(" ", 100)), (COLUMNS($AJ$2:BB159)-1)*100+1, 100))</f>
        <v/>
      </c>
      <c r="BC159" t="str">
        <f>TRIM(MID(SUBSTITUTE($G159, ",", REPT(" ", 100)), (COLUMNS($AJ$2:BC159)-1)*100+1, 100))</f>
        <v/>
      </c>
      <c r="BH159">
        <f t="shared" si="4"/>
        <v>1</v>
      </c>
    </row>
    <row r="160" spans="1:60" x14ac:dyDescent="0.5">
      <c r="A160" s="32" t="s">
        <v>435</v>
      </c>
      <c r="B160" s="257">
        <v>46181</v>
      </c>
      <c r="C160" s="2">
        <v>5</v>
      </c>
      <c r="D160" s="272"/>
      <c r="E160" s="271"/>
      <c r="F160" s="260">
        <v>1</v>
      </c>
      <c r="G160" s="38" t="s">
        <v>462</v>
      </c>
      <c r="I160" s="38">
        <v>0</v>
      </c>
      <c r="AL160" t="str">
        <f>TRIM(MID(SUBSTITUTE($G160, ",", REPT(" ", 100)), (COLUMNS($AJ$2:AL160)-1)*100+1, 100))</f>
        <v/>
      </c>
      <c r="AM160" s="1">
        <v>45816</v>
      </c>
      <c r="AN160" s="2">
        <v>6</v>
      </c>
      <c r="AO160" s="2">
        <v>6</v>
      </c>
      <c r="AQ160" t="str">
        <f>TRIM(MID(SUBSTITUTE($G160, ",", REPT(" ", 100)), (COLUMNS($AJ$2:AQ160)-1)*100+1, 100))</f>
        <v/>
      </c>
      <c r="AR160" t="str">
        <f>TRIM(MID(SUBSTITUTE($G160, ",", REPT(" ", 100)), (COLUMNS($AJ$2:AR160)-1)*100+1, 100))</f>
        <v/>
      </c>
      <c r="AS160" t="str">
        <f>TRIM(MID(SUBSTITUTE($G160, ",", REPT(" ", 100)), (COLUMNS($AJ$2:AS160)-1)*100+1, 100))</f>
        <v/>
      </c>
      <c r="AT160" t="str">
        <f>TRIM(MID(SUBSTITUTE($G160, ",", REPT(" ", 100)), (COLUMNS($AJ$2:AT160)-1)*100+1, 100))</f>
        <v/>
      </c>
      <c r="AU160" t="str">
        <f>TRIM(MID(SUBSTITUTE($G160, ",", REPT(" ", 100)), (COLUMNS($AJ$2:AU160)-1)*100+1, 100))</f>
        <v/>
      </c>
      <c r="AV160" t="str">
        <f>TRIM(MID(SUBSTITUTE($G160, ",", REPT(" ", 100)), (COLUMNS($AJ$2:AV160)-1)*100+1, 100))</f>
        <v/>
      </c>
      <c r="AW160" t="str">
        <f>TRIM(MID(SUBSTITUTE($G160, ",", REPT(" ", 100)), (COLUMNS($AJ$2:AW160)-1)*100+1, 100))</f>
        <v/>
      </c>
      <c r="AX160" t="str">
        <f>TRIM(MID(SUBSTITUTE($G160, ",", REPT(" ", 100)), (COLUMNS($AJ$2:AX160)-1)*100+1, 100))</f>
        <v/>
      </c>
      <c r="AY160" t="str">
        <f>TRIM(MID(SUBSTITUTE($G160, ",", REPT(" ", 100)), (COLUMNS($AJ$2:AY160)-1)*100+1, 100))</f>
        <v/>
      </c>
      <c r="AZ160" t="str">
        <f>TRIM(MID(SUBSTITUTE($G160, ",", REPT(" ", 100)), (COLUMNS($AJ$2:AZ160)-1)*100+1, 100))</f>
        <v/>
      </c>
      <c r="BA160" t="str">
        <f>TRIM(MID(SUBSTITUTE($G160, ",", REPT(" ", 100)), (COLUMNS($AJ$2:BA160)-1)*100+1, 100))</f>
        <v/>
      </c>
      <c r="BB160" t="str">
        <f>TRIM(MID(SUBSTITUTE($G160, ",", REPT(" ", 100)), (COLUMNS($AJ$2:BB160)-1)*100+1, 100))</f>
        <v/>
      </c>
      <c r="BC160" t="str">
        <f>TRIM(MID(SUBSTITUTE($G160, ",", REPT(" ", 100)), (COLUMNS($AJ$2:BC160)-1)*100+1, 100))</f>
        <v/>
      </c>
      <c r="BH160">
        <f t="shared" si="4"/>
        <v>1</v>
      </c>
    </row>
    <row r="161" spans="1:60" ht="14.7" thickBot="1" x14ac:dyDescent="0.55000000000000004">
      <c r="A161" s="32" t="s">
        <v>436</v>
      </c>
      <c r="B161" s="258">
        <v>46182</v>
      </c>
      <c r="C161" s="2">
        <v>5.2</v>
      </c>
      <c r="D161" s="272"/>
      <c r="E161" s="271"/>
      <c r="F161" s="260">
        <v>1</v>
      </c>
      <c r="G161" s="38" t="s">
        <v>462</v>
      </c>
      <c r="I161" s="38">
        <v>0</v>
      </c>
      <c r="AL161" t="str">
        <f>TRIM(MID(SUBSTITUTE($G161, ",", REPT(" ", 100)), (COLUMNS($AJ$2:AL161)-1)*100+1, 100))</f>
        <v/>
      </c>
      <c r="AM161" s="1">
        <v>45817</v>
      </c>
      <c r="AN161" s="2">
        <v>4</v>
      </c>
      <c r="AO161" s="2">
        <v>6</v>
      </c>
      <c r="AQ161" t="str">
        <f>TRIM(MID(SUBSTITUTE($G161, ",", REPT(" ", 100)), (COLUMNS($AJ$2:AQ161)-1)*100+1, 100))</f>
        <v/>
      </c>
      <c r="AR161" t="str">
        <f>TRIM(MID(SUBSTITUTE($G161, ",", REPT(" ", 100)), (COLUMNS($AJ$2:AR161)-1)*100+1, 100))</f>
        <v/>
      </c>
      <c r="AS161" t="str">
        <f>TRIM(MID(SUBSTITUTE($G161, ",", REPT(" ", 100)), (COLUMNS($AJ$2:AS161)-1)*100+1, 100))</f>
        <v/>
      </c>
      <c r="AT161" t="str">
        <f>TRIM(MID(SUBSTITUTE($G161, ",", REPT(" ", 100)), (COLUMNS($AJ$2:AT161)-1)*100+1, 100))</f>
        <v/>
      </c>
      <c r="AU161" t="str">
        <f>TRIM(MID(SUBSTITUTE($G161, ",", REPT(" ", 100)), (COLUMNS($AJ$2:AU161)-1)*100+1, 100))</f>
        <v/>
      </c>
      <c r="AV161" t="str">
        <f>TRIM(MID(SUBSTITUTE($G161, ",", REPT(" ", 100)), (COLUMNS($AJ$2:AV161)-1)*100+1, 100))</f>
        <v/>
      </c>
      <c r="AW161" t="str">
        <f>TRIM(MID(SUBSTITUTE($G161, ",", REPT(" ", 100)), (COLUMNS($AJ$2:AW161)-1)*100+1, 100))</f>
        <v/>
      </c>
      <c r="AX161" t="str">
        <f>TRIM(MID(SUBSTITUTE($G161, ",", REPT(" ", 100)), (COLUMNS($AJ$2:AX161)-1)*100+1, 100))</f>
        <v/>
      </c>
      <c r="AY161" t="str">
        <f>TRIM(MID(SUBSTITUTE($G161, ",", REPT(" ", 100)), (COLUMNS($AJ$2:AY161)-1)*100+1, 100))</f>
        <v/>
      </c>
      <c r="AZ161" t="str">
        <f>TRIM(MID(SUBSTITUTE($G161, ",", REPT(" ", 100)), (COLUMNS($AJ$2:AZ161)-1)*100+1, 100))</f>
        <v/>
      </c>
      <c r="BA161" t="str">
        <f>TRIM(MID(SUBSTITUTE($G161, ",", REPT(" ", 100)), (COLUMNS($AJ$2:BA161)-1)*100+1, 100))</f>
        <v/>
      </c>
      <c r="BB161" t="str">
        <f>TRIM(MID(SUBSTITUTE($G161, ",", REPT(" ", 100)), (COLUMNS($AJ$2:BB161)-1)*100+1, 100))</f>
        <v/>
      </c>
      <c r="BC161" t="str">
        <f>TRIM(MID(SUBSTITUTE($G161, ",", REPT(" ", 100)), (COLUMNS($AJ$2:BC161)-1)*100+1, 100))</f>
        <v/>
      </c>
      <c r="BH161">
        <f t="shared" si="4"/>
        <v>1</v>
      </c>
    </row>
    <row r="162" spans="1:60" x14ac:dyDescent="0.5">
      <c r="A162" s="32" t="s">
        <v>437</v>
      </c>
      <c r="B162" s="257">
        <v>46183</v>
      </c>
      <c r="C162" s="2">
        <v>5</v>
      </c>
      <c r="D162" s="272"/>
      <c r="E162" s="271"/>
      <c r="F162" s="260">
        <v>1</v>
      </c>
      <c r="G162" s="38" t="s">
        <v>462</v>
      </c>
      <c r="I162" s="38">
        <v>0</v>
      </c>
      <c r="AL162" t="str">
        <f>TRIM(MID(SUBSTITUTE($G162, ",", REPT(" ", 100)), (COLUMNS($AJ$2:AL162)-1)*100+1, 100))</f>
        <v/>
      </c>
      <c r="AM162" s="1">
        <v>45818</v>
      </c>
      <c r="AN162" s="2">
        <v>5</v>
      </c>
      <c r="AO162" s="2">
        <v>6</v>
      </c>
      <c r="AQ162" t="str">
        <f>TRIM(MID(SUBSTITUTE($G162, ",", REPT(" ", 100)), (COLUMNS($AJ$2:AQ162)-1)*100+1, 100))</f>
        <v/>
      </c>
      <c r="AR162" t="str">
        <f>TRIM(MID(SUBSTITUTE($G162, ",", REPT(" ", 100)), (COLUMNS($AJ$2:AR162)-1)*100+1, 100))</f>
        <v/>
      </c>
      <c r="AS162" t="str">
        <f>TRIM(MID(SUBSTITUTE($G162, ",", REPT(" ", 100)), (COLUMNS($AJ$2:AS162)-1)*100+1, 100))</f>
        <v/>
      </c>
      <c r="AT162" t="str">
        <f>TRIM(MID(SUBSTITUTE($G162, ",", REPT(" ", 100)), (COLUMNS($AJ$2:AT162)-1)*100+1, 100))</f>
        <v/>
      </c>
      <c r="AU162" t="str">
        <f>TRIM(MID(SUBSTITUTE($G162, ",", REPT(" ", 100)), (COLUMNS($AJ$2:AU162)-1)*100+1, 100))</f>
        <v/>
      </c>
      <c r="AV162" t="str">
        <f>TRIM(MID(SUBSTITUTE($G162, ",", REPT(" ", 100)), (COLUMNS($AJ$2:AV162)-1)*100+1, 100))</f>
        <v/>
      </c>
      <c r="AW162" t="str">
        <f>TRIM(MID(SUBSTITUTE($G162, ",", REPT(" ", 100)), (COLUMNS($AJ$2:AW162)-1)*100+1, 100))</f>
        <v/>
      </c>
      <c r="AX162" t="str">
        <f>TRIM(MID(SUBSTITUTE($G162, ",", REPT(" ", 100)), (COLUMNS($AJ$2:AX162)-1)*100+1, 100))</f>
        <v/>
      </c>
      <c r="AY162" t="str">
        <f>TRIM(MID(SUBSTITUTE($G162, ",", REPT(" ", 100)), (COLUMNS($AJ$2:AY162)-1)*100+1, 100))</f>
        <v/>
      </c>
      <c r="AZ162" t="str">
        <f>TRIM(MID(SUBSTITUTE($G162, ",", REPT(" ", 100)), (COLUMNS($AJ$2:AZ162)-1)*100+1, 100))</f>
        <v/>
      </c>
      <c r="BA162" t="str">
        <f>TRIM(MID(SUBSTITUTE($G162, ",", REPT(" ", 100)), (COLUMNS($AJ$2:BA162)-1)*100+1, 100))</f>
        <v/>
      </c>
      <c r="BB162" t="str">
        <f>TRIM(MID(SUBSTITUTE($G162, ",", REPT(" ", 100)), (COLUMNS($AJ$2:BB162)-1)*100+1, 100))</f>
        <v/>
      </c>
      <c r="BC162" t="str">
        <f>TRIM(MID(SUBSTITUTE($G162, ",", REPT(" ", 100)), (COLUMNS($AJ$2:BC162)-1)*100+1, 100))</f>
        <v/>
      </c>
      <c r="BH162">
        <f t="shared" si="4"/>
        <v>1</v>
      </c>
    </row>
    <row r="163" spans="1:60" ht="14.7" thickBot="1" x14ac:dyDescent="0.55000000000000004">
      <c r="A163" s="32" t="s">
        <v>431</v>
      </c>
      <c r="B163" s="258">
        <v>46184</v>
      </c>
      <c r="C163" s="2">
        <v>5.6</v>
      </c>
      <c r="D163" s="272"/>
      <c r="E163" s="271"/>
      <c r="F163" s="260">
        <v>1</v>
      </c>
      <c r="G163" s="38" t="s">
        <v>462</v>
      </c>
      <c r="I163" s="38">
        <v>0</v>
      </c>
      <c r="AL163" t="str">
        <f>TRIM(MID(SUBSTITUTE($G163, ",", REPT(" ", 100)), (COLUMNS($AJ$2:AL163)-1)*100+1, 100))</f>
        <v/>
      </c>
      <c r="AM163" s="1">
        <v>45819</v>
      </c>
      <c r="AN163" s="2">
        <v>2</v>
      </c>
      <c r="AO163" s="2">
        <v>0</v>
      </c>
      <c r="AQ163" t="str">
        <f>TRIM(MID(SUBSTITUTE($G163, ",", REPT(" ", 100)), (COLUMNS($AJ$2:AQ163)-1)*100+1, 100))</f>
        <v/>
      </c>
      <c r="AR163" t="str">
        <f>TRIM(MID(SUBSTITUTE($G163, ",", REPT(" ", 100)), (COLUMNS($AJ$2:AR163)-1)*100+1, 100))</f>
        <v/>
      </c>
      <c r="AS163" t="str">
        <f>TRIM(MID(SUBSTITUTE($G163, ",", REPT(" ", 100)), (COLUMNS($AJ$2:AS163)-1)*100+1, 100))</f>
        <v/>
      </c>
      <c r="AT163" t="str">
        <f>TRIM(MID(SUBSTITUTE($G163, ",", REPT(" ", 100)), (COLUMNS($AJ$2:AT163)-1)*100+1, 100))</f>
        <v/>
      </c>
      <c r="AU163" t="str">
        <f>TRIM(MID(SUBSTITUTE($G163, ",", REPT(" ", 100)), (COLUMNS($AJ$2:AU163)-1)*100+1, 100))</f>
        <v/>
      </c>
      <c r="AV163" t="str">
        <f>TRIM(MID(SUBSTITUTE($G163, ",", REPT(" ", 100)), (COLUMNS($AJ$2:AV163)-1)*100+1, 100))</f>
        <v/>
      </c>
      <c r="AW163" t="str">
        <f>TRIM(MID(SUBSTITUTE($G163, ",", REPT(" ", 100)), (COLUMNS($AJ$2:AW163)-1)*100+1, 100))</f>
        <v/>
      </c>
      <c r="AX163" t="str">
        <f>TRIM(MID(SUBSTITUTE($G163, ",", REPT(" ", 100)), (COLUMNS($AJ$2:AX163)-1)*100+1, 100))</f>
        <v/>
      </c>
      <c r="AY163" t="str">
        <f>TRIM(MID(SUBSTITUTE($G163, ",", REPT(" ", 100)), (COLUMNS($AJ$2:AY163)-1)*100+1, 100))</f>
        <v/>
      </c>
      <c r="AZ163" t="str">
        <f>TRIM(MID(SUBSTITUTE($G163, ",", REPT(" ", 100)), (COLUMNS($AJ$2:AZ163)-1)*100+1, 100))</f>
        <v/>
      </c>
      <c r="BA163" t="str">
        <f>TRIM(MID(SUBSTITUTE($G163, ",", REPT(" ", 100)), (COLUMNS($AJ$2:BA163)-1)*100+1, 100))</f>
        <v/>
      </c>
      <c r="BB163" t="str">
        <f>TRIM(MID(SUBSTITUTE($G163, ",", REPT(" ", 100)), (COLUMNS($AJ$2:BB163)-1)*100+1, 100))</f>
        <v/>
      </c>
      <c r="BC163" t="str">
        <f>TRIM(MID(SUBSTITUTE($G163, ",", REPT(" ", 100)), (COLUMNS($AJ$2:BC163)-1)*100+1, 100))</f>
        <v/>
      </c>
      <c r="BH163">
        <f t="shared" si="4"/>
        <v>1</v>
      </c>
    </row>
    <row r="164" spans="1:60" x14ac:dyDescent="0.5">
      <c r="A164" s="32" t="s">
        <v>432</v>
      </c>
      <c r="B164" s="257">
        <v>46185</v>
      </c>
      <c r="C164" s="2">
        <v>5.4</v>
      </c>
      <c r="D164" s="272"/>
      <c r="E164" s="271"/>
      <c r="F164" s="260">
        <v>0</v>
      </c>
      <c r="G164" s="38" t="s">
        <v>462</v>
      </c>
      <c r="I164" s="38">
        <v>0</v>
      </c>
      <c r="AL164" t="str">
        <f>TRIM(MID(SUBSTITUTE($G164, ",", REPT(" ", 100)), (COLUMNS($AJ$2:AL164)-1)*100+1, 100))</f>
        <v/>
      </c>
      <c r="AM164" s="1">
        <v>45820</v>
      </c>
      <c r="AN164" s="2">
        <v>4</v>
      </c>
      <c r="AO164" s="2">
        <v>4</v>
      </c>
      <c r="AQ164" t="str">
        <f>TRIM(MID(SUBSTITUTE($G164, ",", REPT(" ", 100)), (COLUMNS($AJ$2:AQ164)-1)*100+1, 100))</f>
        <v/>
      </c>
      <c r="AR164" t="str">
        <f>TRIM(MID(SUBSTITUTE($G164, ",", REPT(" ", 100)), (COLUMNS($AJ$2:AR164)-1)*100+1, 100))</f>
        <v/>
      </c>
      <c r="AS164" t="str">
        <f>TRIM(MID(SUBSTITUTE($G164, ",", REPT(" ", 100)), (COLUMNS($AJ$2:AS164)-1)*100+1, 100))</f>
        <v/>
      </c>
      <c r="AT164" t="str">
        <f>TRIM(MID(SUBSTITUTE($G164, ",", REPT(" ", 100)), (COLUMNS($AJ$2:AT164)-1)*100+1, 100))</f>
        <v/>
      </c>
      <c r="AU164" t="str">
        <f>TRIM(MID(SUBSTITUTE($G164, ",", REPT(" ", 100)), (COLUMNS($AJ$2:AU164)-1)*100+1, 100))</f>
        <v/>
      </c>
      <c r="AV164" t="str">
        <f>TRIM(MID(SUBSTITUTE($G164, ",", REPT(" ", 100)), (COLUMNS($AJ$2:AV164)-1)*100+1, 100))</f>
        <v/>
      </c>
      <c r="AW164" t="str">
        <f>TRIM(MID(SUBSTITUTE($G164, ",", REPT(" ", 100)), (COLUMNS($AJ$2:AW164)-1)*100+1, 100))</f>
        <v/>
      </c>
      <c r="AX164" t="str">
        <f>TRIM(MID(SUBSTITUTE($G164, ",", REPT(" ", 100)), (COLUMNS($AJ$2:AX164)-1)*100+1, 100))</f>
        <v/>
      </c>
      <c r="AY164" t="str">
        <f>TRIM(MID(SUBSTITUTE($G164, ",", REPT(" ", 100)), (COLUMNS($AJ$2:AY164)-1)*100+1, 100))</f>
        <v/>
      </c>
      <c r="AZ164" t="str">
        <f>TRIM(MID(SUBSTITUTE($G164, ",", REPT(" ", 100)), (COLUMNS($AJ$2:AZ164)-1)*100+1, 100))</f>
        <v/>
      </c>
      <c r="BA164" t="str">
        <f>TRIM(MID(SUBSTITUTE($G164, ",", REPT(" ", 100)), (COLUMNS($AJ$2:BA164)-1)*100+1, 100))</f>
        <v/>
      </c>
      <c r="BB164" t="str">
        <f>TRIM(MID(SUBSTITUTE($G164, ",", REPT(" ", 100)), (COLUMNS($AJ$2:BB164)-1)*100+1, 100))</f>
        <v/>
      </c>
      <c r="BC164" t="str">
        <f>TRIM(MID(SUBSTITUTE($G164, ",", REPT(" ", 100)), (COLUMNS($AJ$2:BC164)-1)*100+1, 100))</f>
        <v/>
      </c>
      <c r="BH164">
        <f t="shared" si="4"/>
        <v>1</v>
      </c>
    </row>
    <row r="165" spans="1:60" ht="14.7" thickBot="1" x14ac:dyDescent="0.55000000000000004">
      <c r="A165" s="32" t="s">
        <v>433</v>
      </c>
      <c r="B165" s="258">
        <v>46186</v>
      </c>
      <c r="C165" s="2">
        <v>6</v>
      </c>
      <c r="D165" s="272"/>
      <c r="E165" s="271"/>
      <c r="F165" s="260">
        <v>1</v>
      </c>
      <c r="G165" s="38" t="s">
        <v>462</v>
      </c>
      <c r="I165" s="38">
        <v>0</v>
      </c>
      <c r="AL165" t="str">
        <f>TRIM(MID(SUBSTITUTE($G165, ",", REPT(" ", 100)), (COLUMNS($AJ$2:AL165)-1)*100+1, 100))</f>
        <v/>
      </c>
      <c r="AM165" s="1">
        <v>45821</v>
      </c>
      <c r="AN165" s="2">
        <v>5</v>
      </c>
      <c r="AO165" s="2">
        <v>4</v>
      </c>
      <c r="AQ165" t="str">
        <f>TRIM(MID(SUBSTITUTE($G165, ",", REPT(" ", 100)), (COLUMNS($AJ$2:AQ165)-1)*100+1, 100))</f>
        <v/>
      </c>
      <c r="AR165" t="str">
        <f>TRIM(MID(SUBSTITUTE($G165, ",", REPT(" ", 100)), (COLUMNS($AJ$2:AR165)-1)*100+1, 100))</f>
        <v/>
      </c>
      <c r="AS165" t="str">
        <f>TRIM(MID(SUBSTITUTE($G165, ",", REPT(" ", 100)), (COLUMNS($AJ$2:AS165)-1)*100+1, 100))</f>
        <v/>
      </c>
      <c r="AT165" t="str">
        <f>TRIM(MID(SUBSTITUTE($G165, ",", REPT(" ", 100)), (COLUMNS($AJ$2:AT165)-1)*100+1, 100))</f>
        <v/>
      </c>
      <c r="AU165" t="str">
        <f>TRIM(MID(SUBSTITUTE($G165, ",", REPT(" ", 100)), (COLUMNS($AJ$2:AU165)-1)*100+1, 100))</f>
        <v/>
      </c>
      <c r="AV165" t="str">
        <f>TRIM(MID(SUBSTITUTE($G165, ",", REPT(" ", 100)), (COLUMNS($AJ$2:AV165)-1)*100+1, 100))</f>
        <v/>
      </c>
      <c r="AW165" t="str">
        <f>TRIM(MID(SUBSTITUTE($G165, ",", REPT(" ", 100)), (COLUMNS($AJ$2:AW165)-1)*100+1, 100))</f>
        <v/>
      </c>
      <c r="AX165" t="str">
        <f>TRIM(MID(SUBSTITUTE($G165, ",", REPT(" ", 100)), (COLUMNS($AJ$2:AX165)-1)*100+1, 100))</f>
        <v/>
      </c>
      <c r="AY165" t="str">
        <f>TRIM(MID(SUBSTITUTE($G165, ",", REPT(" ", 100)), (COLUMNS($AJ$2:AY165)-1)*100+1, 100))</f>
        <v/>
      </c>
      <c r="AZ165" t="str">
        <f>TRIM(MID(SUBSTITUTE($G165, ",", REPT(" ", 100)), (COLUMNS($AJ$2:AZ165)-1)*100+1, 100))</f>
        <v/>
      </c>
      <c r="BA165" t="str">
        <f>TRIM(MID(SUBSTITUTE($G165, ",", REPT(" ", 100)), (COLUMNS($AJ$2:BA165)-1)*100+1, 100))</f>
        <v/>
      </c>
      <c r="BB165" t="str">
        <f>TRIM(MID(SUBSTITUTE($G165, ",", REPT(" ", 100)), (COLUMNS($AJ$2:BB165)-1)*100+1, 100))</f>
        <v/>
      </c>
      <c r="BC165" t="str">
        <f>TRIM(MID(SUBSTITUTE($G165, ",", REPT(" ", 100)), (COLUMNS($AJ$2:BC165)-1)*100+1, 100))</f>
        <v/>
      </c>
      <c r="BH165">
        <f t="shared" si="4"/>
        <v>1</v>
      </c>
    </row>
    <row r="166" spans="1:60" x14ac:dyDescent="0.5">
      <c r="A166" s="32" t="s">
        <v>434</v>
      </c>
      <c r="B166" s="257">
        <v>46187</v>
      </c>
      <c r="C166" s="2">
        <v>6.2</v>
      </c>
      <c r="D166" s="272"/>
      <c r="E166" s="271"/>
      <c r="F166" s="260">
        <v>0</v>
      </c>
      <c r="G166" s="38" t="s">
        <v>462</v>
      </c>
      <c r="I166" s="38">
        <v>0</v>
      </c>
      <c r="AL166" t="str">
        <f>TRIM(MID(SUBSTITUTE($G166, ",", REPT(" ", 100)), (COLUMNS($AJ$2:AL166)-1)*100+1, 100))</f>
        <v/>
      </c>
      <c r="AM166" s="1">
        <v>45822</v>
      </c>
      <c r="AN166" s="2">
        <v>5</v>
      </c>
      <c r="AO166" s="2">
        <v>4</v>
      </c>
      <c r="AQ166" t="str">
        <f>TRIM(MID(SUBSTITUTE($G166, ",", REPT(" ", 100)), (COLUMNS($AJ$2:AQ166)-1)*100+1, 100))</f>
        <v/>
      </c>
      <c r="AR166" t="str">
        <f>TRIM(MID(SUBSTITUTE($G166, ",", REPT(" ", 100)), (COLUMNS($AJ$2:AR166)-1)*100+1, 100))</f>
        <v/>
      </c>
      <c r="AS166" t="str">
        <f>TRIM(MID(SUBSTITUTE($G166, ",", REPT(" ", 100)), (COLUMNS($AJ$2:AS166)-1)*100+1, 100))</f>
        <v/>
      </c>
      <c r="AT166" t="str">
        <f>TRIM(MID(SUBSTITUTE($G166, ",", REPT(" ", 100)), (COLUMNS($AJ$2:AT166)-1)*100+1, 100))</f>
        <v/>
      </c>
      <c r="AU166" t="str">
        <f>TRIM(MID(SUBSTITUTE($G166, ",", REPT(" ", 100)), (COLUMNS($AJ$2:AU166)-1)*100+1, 100))</f>
        <v/>
      </c>
      <c r="AV166" t="str">
        <f>TRIM(MID(SUBSTITUTE($G166, ",", REPT(" ", 100)), (COLUMNS($AJ$2:AV166)-1)*100+1, 100))</f>
        <v/>
      </c>
      <c r="AW166" t="str">
        <f>TRIM(MID(SUBSTITUTE($G166, ",", REPT(" ", 100)), (COLUMNS($AJ$2:AW166)-1)*100+1, 100))</f>
        <v/>
      </c>
      <c r="AX166" t="str">
        <f>TRIM(MID(SUBSTITUTE($G166, ",", REPT(" ", 100)), (COLUMNS($AJ$2:AX166)-1)*100+1, 100))</f>
        <v/>
      </c>
      <c r="AY166" t="str">
        <f>TRIM(MID(SUBSTITUTE($G166, ",", REPT(" ", 100)), (COLUMNS($AJ$2:AY166)-1)*100+1, 100))</f>
        <v/>
      </c>
      <c r="AZ166" t="str">
        <f>TRIM(MID(SUBSTITUTE($G166, ",", REPT(" ", 100)), (COLUMNS($AJ$2:AZ166)-1)*100+1, 100))</f>
        <v/>
      </c>
      <c r="BA166" t="str">
        <f>TRIM(MID(SUBSTITUTE($G166, ",", REPT(" ", 100)), (COLUMNS($AJ$2:BA166)-1)*100+1, 100))</f>
        <v/>
      </c>
      <c r="BB166" t="str">
        <f>TRIM(MID(SUBSTITUTE($G166, ",", REPT(" ", 100)), (COLUMNS($AJ$2:BB166)-1)*100+1, 100))</f>
        <v/>
      </c>
      <c r="BC166" t="str">
        <f>TRIM(MID(SUBSTITUTE($G166, ",", REPT(" ", 100)), (COLUMNS($AJ$2:BC166)-1)*100+1, 100))</f>
        <v/>
      </c>
      <c r="BH166">
        <f t="shared" si="4"/>
        <v>1</v>
      </c>
    </row>
    <row r="167" spans="1:60" ht="14.7" thickBot="1" x14ac:dyDescent="0.55000000000000004">
      <c r="A167" s="32" t="s">
        <v>435</v>
      </c>
      <c r="B167" s="258">
        <v>46188</v>
      </c>
      <c r="C167" s="2">
        <v>5</v>
      </c>
      <c r="D167" s="272"/>
      <c r="E167" s="271"/>
      <c r="F167" s="260">
        <v>1</v>
      </c>
      <c r="G167" s="38" t="s">
        <v>462</v>
      </c>
      <c r="I167" s="38">
        <v>0</v>
      </c>
      <c r="AL167" t="str">
        <f>TRIM(MID(SUBSTITUTE($G167, ",", REPT(" ", 100)), (COLUMNS($AJ$2:AL167)-1)*100+1, 100))</f>
        <v/>
      </c>
      <c r="AM167" s="1">
        <v>45823</v>
      </c>
      <c r="AN167" s="2">
        <v>4.8</v>
      </c>
      <c r="AO167" s="2">
        <v>6</v>
      </c>
      <c r="AQ167" t="str">
        <f>TRIM(MID(SUBSTITUTE($G167, ",", REPT(" ", 100)), (COLUMNS($AJ$2:AQ167)-1)*100+1, 100))</f>
        <v/>
      </c>
      <c r="AR167" t="str">
        <f>TRIM(MID(SUBSTITUTE($G167, ",", REPT(" ", 100)), (COLUMNS($AJ$2:AR167)-1)*100+1, 100))</f>
        <v/>
      </c>
      <c r="AS167" t="str">
        <f>TRIM(MID(SUBSTITUTE($G167, ",", REPT(" ", 100)), (COLUMNS($AJ$2:AS167)-1)*100+1, 100))</f>
        <v/>
      </c>
      <c r="AT167" t="str">
        <f>TRIM(MID(SUBSTITUTE($G167, ",", REPT(" ", 100)), (COLUMNS($AJ$2:AT167)-1)*100+1, 100))</f>
        <v/>
      </c>
      <c r="AU167" t="str">
        <f>TRIM(MID(SUBSTITUTE($G167, ",", REPT(" ", 100)), (COLUMNS($AJ$2:AU167)-1)*100+1, 100))</f>
        <v/>
      </c>
      <c r="AV167" t="str">
        <f>TRIM(MID(SUBSTITUTE($G167, ",", REPT(" ", 100)), (COLUMNS($AJ$2:AV167)-1)*100+1, 100))</f>
        <v/>
      </c>
      <c r="AW167" t="str">
        <f>TRIM(MID(SUBSTITUTE($G167, ",", REPT(" ", 100)), (COLUMNS($AJ$2:AW167)-1)*100+1, 100))</f>
        <v/>
      </c>
      <c r="AX167" t="str">
        <f>TRIM(MID(SUBSTITUTE($G167, ",", REPT(" ", 100)), (COLUMNS($AJ$2:AX167)-1)*100+1, 100))</f>
        <v/>
      </c>
      <c r="AY167" t="str">
        <f>TRIM(MID(SUBSTITUTE($G167, ",", REPT(" ", 100)), (COLUMNS($AJ$2:AY167)-1)*100+1, 100))</f>
        <v/>
      </c>
      <c r="AZ167" t="str">
        <f>TRIM(MID(SUBSTITUTE($G167, ",", REPT(" ", 100)), (COLUMNS($AJ$2:AZ167)-1)*100+1, 100))</f>
        <v/>
      </c>
      <c r="BA167" t="str">
        <f>TRIM(MID(SUBSTITUTE($G167, ",", REPT(" ", 100)), (COLUMNS($AJ$2:BA167)-1)*100+1, 100))</f>
        <v/>
      </c>
      <c r="BB167" t="str">
        <f>TRIM(MID(SUBSTITUTE($G167, ",", REPT(" ", 100)), (COLUMNS($AJ$2:BB167)-1)*100+1, 100))</f>
        <v/>
      </c>
      <c r="BC167" t="str">
        <f>TRIM(MID(SUBSTITUTE($G167, ",", REPT(" ", 100)), (COLUMNS($AJ$2:BC167)-1)*100+1, 100))</f>
        <v/>
      </c>
      <c r="BH167">
        <f t="shared" si="4"/>
        <v>1</v>
      </c>
    </row>
    <row r="168" spans="1:60" x14ac:dyDescent="0.5">
      <c r="A168" s="32" t="s">
        <v>436</v>
      </c>
      <c r="B168" s="257">
        <v>46189</v>
      </c>
      <c r="C168" s="2">
        <v>5</v>
      </c>
      <c r="D168" s="272"/>
      <c r="E168" s="271"/>
      <c r="F168" s="260">
        <v>1</v>
      </c>
      <c r="G168" s="38" t="s">
        <v>462</v>
      </c>
      <c r="I168" s="38">
        <v>0</v>
      </c>
      <c r="AL168" t="str">
        <f>TRIM(MID(SUBSTITUTE($G168, ",", REPT(" ", 100)), (COLUMNS($AJ$2:AL168)-1)*100+1, 100))</f>
        <v/>
      </c>
      <c r="AM168" s="1">
        <v>45824</v>
      </c>
      <c r="AN168" s="2">
        <v>4</v>
      </c>
      <c r="AO168" s="2">
        <v>6</v>
      </c>
      <c r="AQ168" t="str">
        <f>TRIM(MID(SUBSTITUTE($G168, ",", REPT(" ", 100)), (COLUMNS($AJ$2:AQ168)-1)*100+1, 100))</f>
        <v/>
      </c>
      <c r="AR168" t="str">
        <f>TRIM(MID(SUBSTITUTE($G168, ",", REPT(" ", 100)), (COLUMNS($AJ$2:AR168)-1)*100+1, 100))</f>
        <v/>
      </c>
      <c r="AS168" t="str">
        <f>TRIM(MID(SUBSTITUTE($G168, ",", REPT(" ", 100)), (COLUMNS($AJ$2:AS168)-1)*100+1, 100))</f>
        <v/>
      </c>
      <c r="AT168" t="str">
        <f>TRIM(MID(SUBSTITUTE($G168, ",", REPT(" ", 100)), (COLUMNS($AJ$2:AT168)-1)*100+1, 100))</f>
        <v/>
      </c>
      <c r="AU168" t="str">
        <f>TRIM(MID(SUBSTITUTE($G168, ",", REPT(" ", 100)), (COLUMNS($AJ$2:AU168)-1)*100+1, 100))</f>
        <v/>
      </c>
      <c r="AV168" t="str">
        <f>TRIM(MID(SUBSTITUTE($G168, ",", REPT(" ", 100)), (COLUMNS($AJ$2:AV168)-1)*100+1, 100))</f>
        <v/>
      </c>
      <c r="AW168" t="str">
        <f>TRIM(MID(SUBSTITUTE($G168, ",", REPT(" ", 100)), (COLUMNS($AJ$2:AW168)-1)*100+1, 100))</f>
        <v/>
      </c>
      <c r="AX168" t="str">
        <f>TRIM(MID(SUBSTITUTE($G168, ",", REPT(" ", 100)), (COLUMNS($AJ$2:AX168)-1)*100+1, 100))</f>
        <v/>
      </c>
      <c r="AY168" t="str">
        <f>TRIM(MID(SUBSTITUTE($G168, ",", REPT(" ", 100)), (COLUMNS($AJ$2:AY168)-1)*100+1, 100))</f>
        <v/>
      </c>
      <c r="AZ168" t="str">
        <f>TRIM(MID(SUBSTITUTE($G168, ",", REPT(" ", 100)), (COLUMNS($AJ$2:AZ168)-1)*100+1, 100))</f>
        <v/>
      </c>
      <c r="BA168" t="str">
        <f>TRIM(MID(SUBSTITUTE($G168, ",", REPT(" ", 100)), (COLUMNS($AJ$2:BA168)-1)*100+1, 100))</f>
        <v/>
      </c>
      <c r="BB168" t="str">
        <f>TRIM(MID(SUBSTITUTE($G168, ",", REPT(" ", 100)), (COLUMNS($AJ$2:BB168)-1)*100+1, 100))</f>
        <v/>
      </c>
      <c r="BC168" t="str">
        <f>TRIM(MID(SUBSTITUTE($G168, ",", REPT(" ", 100)), (COLUMNS($AJ$2:BC168)-1)*100+1, 100))</f>
        <v/>
      </c>
      <c r="BH168">
        <f t="shared" si="4"/>
        <v>1</v>
      </c>
    </row>
    <row r="169" spans="1:60" ht="14.7" thickBot="1" x14ac:dyDescent="0.55000000000000004">
      <c r="A169" s="32" t="s">
        <v>437</v>
      </c>
      <c r="B169" s="258">
        <v>46190</v>
      </c>
      <c r="C169" s="2">
        <v>5</v>
      </c>
      <c r="D169" s="272"/>
      <c r="E169" s="271"/>
      <c r="F169" s="260">
        <v>1</v>
      </c>
      <c r="G169" s="38" t="s">
        <v>462</v>
      </c>
      <c r="I169" s="38">
        <v>0</v>
      </c>
      <c r="AL169" t="str">
        <f>TRIM(MID(SUBSTITUTE($G169, ",", REPT(" ", 100)), (COLUMNS($AJ$2:AL169)-1)*100+1, 100))</f>
        <v/>
      </c>
      <c r="AM169" s="1">
        <v>45825</v>
      </c>
      <c r="AN169" s="2">
        <v>4</v>
      </c>
      <c r="AO169" s="2">
        <v>4</v>
      </c>
      <c r="AQ169" t="str">
        <f>TRIM(MID(SUBSTITUTE($G169, ",", REPT(" ", 100)), (COLUMNS($AJ$2:AQ169)-1)*100+1, 100))</f>
        <v/>
      </c>
      <c r="AR169" t="str">
        <f>TRIM(MID(SUBSTITUTE($G169, ",", REPT(" ", 100)), (COLUMNS($AJ$2:AR169)-1)*100+1, 100))</f>
        <v/>
      </c>
      <c r="AS169" t="str">
        <f>TRIM(MID(SUBSTITUTE($G169, ",", REPT(" ", 100)), (COLUMNS($AJ$2:AS169)-1)*100+1, 100))</f>
        <v/>
      </c>
      <c r="AT169" t="str">
        <f>TRIM(MID(SUBSTITUTE($G169, ",", REPT(" ", 100)), (COLUMNS($AJ$2:AT169)-1)*100+1, 100))</f>
        <v/>
      </c>
      <c r="AU169" t="str">
        <f>TRIM(MID(SUBSTITUTE($G169, ",", REPT(" ", 100)), (COLUMNS($AJ$2:AU169)-1)*100+1, 100))</f>
        <v/>
      </c>
      <c r="AV169" t="str">
        <f>TRIM(MID(SUBSTITUTE($G169, ",", REPT(" ", 100)), (COLUMNS($AJ$2:AV169)-1)*100+1, 100))</f>
        <v/>
      </c>
      <c r="AW169" t="str">
        <f>TRIM(MID(SUBSTITUTE($G169, ",", REPT(" ", 100)), (COLUMNS($AJ$2:AW169)-1)*100+1, 100))</f>
        <v/>
      </c>
      <c r="AX169" t="str">
        <f>TRIM(MID(SUBSTITUTE($G169, ",", REPT(" ", 100)), (COLUMNS($AJ$2:AX169)-1)*100+1, 100))</f>
        <v/>
      </c>
      <c r="AY169" t="str">
        <f>TRIM(MID(SUBSTITUTE($G169, ",", REPT(" ", 100)), (COLUMNS($AJ$2:AY169)-1)*100+1, 100))</f>
        <v/>
      </c>
      <c r="AZ169" t="str">
        <f>TRIM(MID(SUBSTITUTE($G169, ",", REPT(" ", 100)), (COLUMNS($AJ$2:AZ169)-1)*100+1, 100))</f>
        <v/>
      </c>
      <c r="BA169" t="str">
        <f>TRIM(MID(SUBSTITUTE($G169, ",", REPT(" ", 100)), (COLUMNS($AJ$2:BA169)-1)*100+1, 100))</f>
        <v/>
      </c>
      <c r="BB169" t="str">
        <f>TRIM(MID(SUBSTITUTE($G169, ",", REPT(" ", 100)), (COLUMNS($AJ$2:BB169)-1)*100+1, 100))</f>
        <v/>
      </c>
      <c r="BC169" t="str">
        <f>TRIM(MID(SUBSTITUTE($G169, ",", REPT(" ", 100)), (COLUMNS($AJ$2:BC169)-1)*100+1, 100))</f>
        <v/>
      </c>
      <c r="BH169">
        <f t="shared" si="4"/>
        <v>1</v>
      </c>
    </row>
    <row r="170" spans="1:60" x14ac:dyDescent="0.5">
      <c r="A170" s="32" t="s">
        <v>431</v>
      </c>
      <c r="B170" s="257">
        <v>46191</v>
      </c>
      <c r="C170" s="2">
        <v>4.9000000000000004</v>
      </c>
      <c r="D170" s="272"/>
      <c r="E170" s="271"/>
      <c r="F170" s="260">
        <v>1</v>
      </c>
      <c r="G170" s="38" t="s">
        <v>462</v>
      </c>
      <c r="I170" s="38">
        <v>0</v>
      </c>
      <c r="AL170" t="str">
        <f>TRIM(MID(SUBSTITUTE($G170, ",", REPT(" ", 100)), (COLUMNS($AJ$2:AL170)-1)*100+1, 100))</f>
        <v/>
      </c>
      <c r="AM170" s="1">
        <v>45826</v>
      </c>
      <c r="AN170" s="2">
        <v>4.5</v>
      </c>
      <c r="AO170" s="2">
        <v>4</v>
      </c>
      <c r="AQ170" t="str">
        <f>TRIM(MID(SUBSTITUTE($G170, ",", REPT(" ", 100)), (COLUMNS($AJ$2:AQ170)-1)*100+1, 100))</f>
        <v/>
      </c>
      <c r="AR170" t="str">
        <f>TRIM(MID(SUBSTITUTE($G170, ",", REPT(" ", 100)), (COLUMNS($AJ$2:AR170)-1)*100+1, 100))</f>
        <v/>
      </c>
      <c r="AS170" t="str">
        <f>TRIM(MID(SUBSTITUTE($G170, ",", REPT(" ", 100)), (COLUMNS($AJ$2:AS170)-1)*100+1, 100))</f>
        <v/>
      </c>
      <c r="AT170" t="str">
        <f>TRIM(MID(SUBSTITUTE($G170, ",", REPT(" ", 100)), (COLUMNS($AJ$2:AT170)-1)*100+1, 100))</f>
        <v/>
      </c>
      <c r="AU170" t="str">
        <f>TRIM(MID(SUBSTITUTE($G170, ",", REPT(" ", 100)), (COLUMNS($AJ$2:AU170)-1)*100+1, 100))</f>
        <v/>
      </c>
      <c r="AV170" t="str">
        <f>TRIM(MID(SUBSTITUTE($G170, ",", REPT(" ", 100)), (COLUMNS($AJ$2:AV170)-1)*100+1, 100))</f>
        <v/>
      </c>
      <c r="AW170" t="str">
        <f>TRIM(MID(SUBSTITUTE($G170, ",", REPT(" ", 100)), (COLUMNS($AJ$2:AW170)-1)*100+1, 100))</f>
        <v/>
      </c>
      <c r="AX170" t="str">
        <f>TRIM(MID(SUBSTITUTE($G170, ",", REPT(" ", 100)), (COLUMNS($AJ$2:AX170)-1)*100+1, 100))</f>
        <v/>
      </c>
      <c r="AY170" t="str">
        <f>TRIM(MID(SUBSTITUTE($G170, ",", REPT(" ", 100)), (COLUMNS($AJ$2:AY170)-1)*100+1, 100))</f>
        <v/>
      </c>
      <c r="AZ170" t="str">
        <f>TRIM(MID(SUBSTITUTE($G170, ",", REPT(" ", 100)), (COLUMNS($AJ$2:AZ170)-1)*100+1, 100))</f>
        <v/>
      </c>
      <c r="BA170" t="str">
        <f>TRIM(MID(SUBSTITUTE($G170, ",", REPT(" ", 100)), (COLUMNS($AJ$2:BA170)-1)*100+1, 100))</f>
        <v/>
      </c>
      <c r="BB170" t="str">
        <f>TRIM(MID(SUBSTITUTE($G170, ",", REPT(" ", 100)), (COLUMNS($AJ$2:BB170)-1)*100+1, 100))</f>
        <v/>
      </c>
      <c r="BC170" t="str">
        <f>TRIM(MID(SUBSTITUTE($G170, ",", REPT(" ", 100)), (COLUMNS($AJ$2:BC170)-1)*100+1, 100))</f>
        <v/>
      </c>
      <c r="BH170">
        <f t="shared" si="4"/>
        <v>1</v>
      </c>
    </row>
    <row r="171" spans="1:60" ht="14.7" thickBot="1" x14ac:dyDescent="0.55000000000000004">
      <c r="A171" s="32" t="s">
        <v>432</v>
      </c>
      <c r="B171" s="258">
        <v>46192</v>
      </c>
      <c r="C171" s="2">
        <v>6.2</v>
      </c>
      <c r="D171" s="272"/>
      <c r="E171" s="271"/>
      <c r="F171" s="260">
        <v>0</v>
      </c>
      <c r="G171" s="38" t="s">
        <v>462</v>
      </c>
      <c r="I171" s="38">
        <v>0</v>
      </c>
      <c r="AL171" t="str">
        <f>TRIM(MID(SUBSTITUTE($G171, ",", REPT(" ", 100)), (COLUMNS($AJ$2:AL171)-1)*100+1, 100))</f>
        <v/>
      </c>
      <c r="AM171" s="1">
        <v>45827</v>
      </c>
      <c r="AN171" s="2">
        <v>4.5</v>
      </c>
      <c r="AO171" s="2">
        <v>10</v>
      </c>
      <c r="AQ171" t="str">
        <f>TRIM(MID(SUBSTITUTE($G171, ",", REPT(" ", 100)), (COLUMNS($AJ$2:AQ171)-1)*100+1, 100))</f>
        <v/>
      </c>
      <c r="AR171" t="str">
        <f>TRIM(MID(SUBSTITUTE($G171, ",", REPT(" ", 100)), (COLUMNS($AJ$2:AR171)-1)*100+1, 100))</f>
        <v/>
      </c>
      <c r="AS171" t="str">
        <f>TRIM(MID(SUBSTITUTE($G171, ",", REPT(" ", 100)), (COLUMNS($AJ$2:AS171)-1)*100+1, 100))</f>
        <v/>
      </c>
      <c r="AT171" t="str">
        <f>TRIM(MID(SUBSTITUTE($G171, ",", REPT(" ", 100)), (COLUMNS($AJ$2:AT171)-1)*100+1, 100))</f>
        <v/>
      </c>
      <c r="AU171" t="str">
        <f>TRIM(MID(SUBSTITUTE($G171, ",", REPT(" ", 100)), (COLUMNS($AJ$2:AU171)-1)*100+1, 100))</f>
        <v/>
      </c>
      <c r="AV171" t="str">
        <f>TRIM(MID(SUBSTITUTE($G171, ",", REPT(" ", 100)), (COLUMNS($AJ$2:AV171)-1)*100+1, 100))</f>
        <v/>
      </c>
      <c r="AW171" t="str">
        <f>TRIM(MID(SUBSTITUTE($G171, ",", REPT(" ", 100)), (COLUMNS($AJ$2:AW171)-1)*100+1, 100))</f>
        <v/>
      </c>
      <c r="AX171" t="str">
        <f>TRIM(MID(SUBSTITUTE($G171, ",", REPT(" ", 100)), (COLUMNS($AJ$2:AX171)-1)*100+1, 100))</f>
        <v/>
      </c>
      <c r="AY171" t="str">
        <f>TRIM(MID(SUBSTITUTE($G171, ",", REPT(" ", 100)), (COLUMNS($AJ$2:AY171)-1)*100+1, 100))</f>
        <v/>
      </c>
      <c r="AZ171" t="str">
        <f>TRIM(MID(SUBSTITUTE($G171, ",", REPT(" ", 100)), (COLUMNS($AJ$2:AZ171)-1)*100+1, 100))</f>
        <v/>
      </c>
      <c r="BA171" t="str">
        <f>TRIM(MID(SUBSTITUTE($G171, ",", REPT(" ", 100)), (COLUMNS($AJ$2:BA171)-1)*100+1, 100))</f>
        <v/>
      </c>
      <c r="BB171" t="str">
        <f>TRIM(MID(SUBSTITUTE($G171, ",", REPT(" ", 100)), (COLUMNS($AJ$2:BB171)-1)*100+1, 100))</f>
        <v/>
      </c>
      <c r="BC171" t="str">
        <f>TRIM(MID(SUBSTITUTE($G171, ",", REPT(" ", 100)), (COLUMNS($AJ$2:BC171)-1)*100+1, 100))</f>
        <v/>
      </c>
      <c r="BH171">
        <f t="shared" si="4"/>
        <v>1</v>
      </c>
    </row>
    <row r="172" spans="1:60" x14ac:dyDescent="0.5">
      <c r="A172" s="32" t="s">
        <v>433</v>
      </c>
      <c r="B172" s="257">
        <v>46193</v>
      </c>
      <c r="C172" s="2">
        <v>5.6</v>
      </c>
      <c r="D172" s="272"/>
      <c r="E172" s="271"/>
      <c r="F172" s="260">
        <v>0</v>
      </c>
      <c r="G172" s="38" t="s">
        <v>462</v>
      </c>
      <c r="I172" s="38">
        <v>0</v>
      </c>
      <c r="AL172" t="str">
        <f>TRIM(MID(SUBSTITUTE($G172, ",", REPT(" ", 100)), (COLUMNS($AJ$2:AL172)-1)*100+1, 100))</f>
        <v/>
      </c>
      <c r="AM172" s="1">
        <v>45828</v>
      </c>
      <c r="AN172" s="2">
        <v>5</v>
      </c>
      <c r="AO172" s="2">
        <v>2</v>
      </c>
      <c r="AQ172" t="str">
        <f>TRIM(MID(SUBSTITUTE($G172, ",", REPT(" ", 100)), (COLUMNS($AJ$2:AQ172)-1)*100+1, 100))</f>
        <v/>
      </c>
      <c r="AR172" t="str">
        <f>TRIM(MID(SUBSTITUTE($G172, ",", REPT(" ", 100)), (COLUMNS($AJ$2:AR172)-1)*100+1, 100))</f>
        <v/>
      </c>
      <c r="AS172" t="str">
        <f>TRIM(MID(SUBSTITUTE($G172, ",", REPT(" ", 100)), (COLUMNS($AJ$2:AS172)-1)*100+1, 100))</f>
        <v/>
      </c>
      <c r="AT172" t="str">
        <f>TRIM(MID(SUBSTITUTE($G172, ",", REPT(" ", 100)), (COLUMNS($AJ$2:AT172)-1)*100+1, 100))</f>
        <v/>
      </c>
      <c r="AU172" t="str">
        <f>TRIM(MID(SUBSTITUTE($G172, ",", REPT(" ", 100)), (COLUMNS($AJ$2:AU172)-1)*100+1, 100))</f>
        <v/>
      </c>
      <c r="AV172" t="str">
        <f>TRIM(MID(SUBSTITUTE($G172, ",", REPT(" ", 100)), (COLUMNS($AJ$2:AV172)-1)*100+1, 100))</f>
        <v/>
      </c>
      <c r="AW172" t="str">
        <f>TRIM(MID(SUBSTITUTE($G172, ",", REPT(" ", 100)), (COLUMNS($AJ$2:AW172)-1)*100+1, 100))</f>
        <v/>
      </c>
      <c r="AX172" t="str">
        <f>TRIM(MID(SUBSTITUTE($G172, ",", REPT(" ", 100)), (COLUMNS($AJ$2:AX172)-1)*100+1, 100))</f>
        <v/>
      </c>
      <c r="AY172" t="str">
        <f>TRIM(MID(SUBSTITUTE($G172, ",", REPT(" ", 100)), (COLUMNS($AJ$2:AY172)-1)*100+1, 100))</f>
        <v/>
      </c>
      <c r="AZ172" t="str">
        <f>TRIM(MID(SUBSTITUTE($G172, ",", REPT(" ", 100)), (COLUMNS($AJ$2:AZ172)-1)*100+1, 100))</f>
        <v/>
      </c>
      <c r="BA172" t="str">
        <f>TRIM(MID(SUBSTITUTE($G172, ",", REPT(" ", 100)), (COLUMNS($AJ$2:BA172)-1)*100+1, 100))</f>
        <v/>
      </c>
      <c r="BB172" t="str">
        <f>TRIM(MID(SUBSTITUTE($G172, ",", REPT(" ", 100)), (COLUMNS($AJ$2:BB172)-1)*100+1, 100))</f>
        <v/>
      </c>
      <c r="BC172" t="str">
        <f>TRIM(MID(SUBSTITUTE($G172, ",", REPT(" ", 100)), (COLUMNS($AJ$2:BC172)-1)*100+1, 100))</f>
        <v/>
      </c>
      <c r="BH172">
        <f t="shared" si="4"/>
        <v>1</v>
      </c>
    </row>
    <row r="173" spans="1:60" ht="14.7" thickBot="1" x14ac:dyDescent="0.55000000000000004">
      <c r="A173" s="32" t="s">
        <v>434</v>
      </c>
      <c r="B173" s="258">
        <v>46194</v>
      </c>
      <c r="C173" s="2">
        <v>6</v>
      </c>
      <c r="D173" s="272"/>
      <c r="E173" s="271"/>
      <c r="F173" s="260">
        <v>1</v>
      </c>
      <c r="G173" s="38" t="s">
        <v>462</v>
      </c>
      <c r="I173" s="38">
        <v>0</v>
      </c>
      <c r="AL173" t="str">
        <f>TRIM(MID(SUBSTITUTE($G173, ",", REPT(" ", 100)), (COLUMNS($AJ$2:AL173)-1)*100+1, 100))</f>
        <v/>
      </c>
      <c r="AM173" s="1">
        <v>45829</v>
      </c>
      <c r="AN173" s="2">
        <v>8.5</v>
      </c>
      <c r="AO173" s="2">
        <v>2</v>
      </c>
      <c r="AQ173" t="str">
        <f>TRIM(MID(SUBSTITUTE($G173, ",", REPT(" ", 100)), (COLUMNS($AJ$2:AQ173)-1)*100+1, 100))</f>
        <v/>
      </c>
      <c r="AR173" t="str">
        <f>TRIM(MID(SUBSTITUTE($G173, ",", REPT(" ", 100)), (COLUMNS($AJ$2:AR173)-1)*100+1, 100))</f>
        <v/>
      </c>
      <c r="AS173" t="str">
        <f>TRIM(MID(SUBSTITUTE($G173, ",", REPT(" ", 100)), (COLUMNS($AJ$2:AS173)-1)*100+1, 100))</f>
        <v/>
      </c>
      <c r="AT173" t="str">
        <f>TRIM(MID(SUBSTITUTE($G173, ",", REPT(" ", 100)), (COLUMNS($AJ$2:AT173)-1)*100+1, 100))</f>
        <v/>
      </c>
      <c r="AU173" t="str">
        <f>TRIM(MID(SUBSTITUTE($G173, ",", REPT(" ", 100)), (COLUMNS($AJ$2:AU173)-1)*100+1, 100))</f>
        <v/>
      </c>
      <c r="AV173" t="str">
        <f>TRIM(MID(SUBSTITUTE($G173, ",", REPT(" ", 100)), (COLUMNS($AJ$2:AV173)-1)*100+1, 100))</f>
        <v/>
      </c>
      <c r="AW173" t="str">
        <f>TRIM(MID(SUBSTITUTE($G173, ",", REPT(" ", 100)), (COLUMNS($AJ$2:AW173)-1)*100+1, 100))</f>
        <v/>
      </c>
      <c r="AX173" t="str">
        <f>TRIM(MID(SUBSTITUTE($G173, ",", REPT(" ", 100)), (COLUMNS($AJ$2:AX173)-1)*100+1, 100))</f>
        <v/>
      </c>
      <c r="AY173" t="str">
        <f>TRIM(MID(SUBSTITUTE($G173, ",", REPT(" ", 100)), (COLUMNS($AJ$2:AY173)-1)*100+1, 100))</f>
        <v/>
      </c>
      <c r="AZ173" t="str">
        <f>TRIM(MID(SUBSTITUTE($G173, ",", REPT(" ", 100)), (COLUMNS($AJ$2:AZ173)-1)*100+1, 100))</f>
        <v/>
      </c>
      <c r="BA173" t="str">
        <f>TRIM(MID(SUBSTITUTE($G173, ",", REPT(" ", 100)), (COLUMNS($AJ$2:BA173)-1)*100+1, 100))</f>
        <v/>
      </c>
      <c r="BB173" t="str">
        <f>TRIM(MID(SUBSTITUTE($G173, ",", REPT(" ", 100)), (COLUMNS($AJ$2:BB173)-1)*100+1, 100))</f>
        <v/>
      </c>
      <c r="BC173" t="str">
        <f>TRIM(MID(SUBSTITUTE($G173, ",", REPT(" ", 100)), (COLUMNS($AJ$2:BC173)-1)*100+1, 100))</f>
        <v/>
      </c>
      <c r="BH173">
        <f t="shared" si="4"/>
        <v>1</v>
      </c>
    </row>
    <row r="174" spans="1:60" x14ac:dyDescent="0.5">
      <c r="A174" s="32" t="s">
        <v>435</v>
      </c>
      <c r="B174" s="257">
        <v>46195</v>
      </c>
      <c r="C174" s="2">
        <v>5.3</v>
      </c>
      <c r="D174" s="272"/>
      <c r="E174" s="271"/>
      <c r="F174" s="260">
        <v>0</v>
      </c>
      <c r="G174" s="38" t="s">
        <v>462</v>
      </c>
      <c r="I174" s="38">
        <v>0</v>
      </c>
      <c r="AL174" t="str">
        <f>TRIM(MID(SUBSTITUTE($G174, ",", REPT(" ", 100)), (COLUMNS($AJ$2:AL174)-1)*100+1, 100))</f>
        <v/>
      </c>
      <c r="AM174" s="1">
        <v>45830</v>
      </c>
      <c r="AN174" s="2">
        <v>9</v>
      </c>
      <c r="AO174" s="2">
        <v>4</v>
      </c>
      <c r="AQ174" t="str">
        <f>TRIM(MID(SUBSTITUTE($G174, ",", REPT(" ", 100)), (COLUMNS($AJ$2:AQ174)-1)*100+1, 100))</f>
        <v/>
      </c>
      <c r="AR174" t="str">
        <f>TRIM(MID(SUBSTITUTE($G174, ",", REPT(" ", 100)), (COLUMNS($AJ$2:AR174)-1)*100+1, 100))</f>
        <v/>
      </c>
      <c r="AS174" t="str">
        <f>TRIM(MID(SUBSTITUTE($G174, ",", REPT(" ", 100)), (COLUMNS($AJ$2:AS174)-1)*100+1, 100))</f>
        <v/>
      </c>
      <c r="AT174" t="str">
        <f>TRIM(MID(SUBSTITUTE($G174, ",", REPT(" ", 100)), (COLUMNS($AJ$2:AT174)-1)*100+1, 100))</f>
        <v/>
      </c>
      <c r="AU174" t="str">
        <f>TRIM(MID(SUBSTITUTE($G174, ",", REPT(" ", 100)), (COLUMNS($AJ$2:AU174)-1)*100+1, 100))</f>
        <v/>
      </c>
      <c r="AV174" t="str">
        <f>TRIM(MID(SUBSTITUTE($G174, ",", REPT(" ", 100)), (COLUMNS($AJ$2:AV174)-1)*100+1, 100))</f>
        <v/>
      </c>
      <c r="AW174" t="str">
        <f>TRIM(MID(SUBSTITUTE($G174, ",", REPT(" ", 100)), (COLUMNS($AJ$2:AW174)-1)*100+1, 100))</f>
        <v/>
      </c>
      <c r="AX174" t="str">
        <f>TRIM(MID(SUBSTITUTE($G174, ",", REPT(" ", 100)), (COLUMNS($AJ$2:AX174)-1)*100+1, 100))</f>
        <v/>
      </c>
      <c r="AY174" t="str">
        <f>TRIM(MID(SUBSTITUTE($G174, ",", REPT(" ", 100)), (COLUMNS($AJ$2:AY174)-1)*100+1, 100))</f>
        <v/>
      </c>
      <c r="AZ174" t="str">
        <f>TRIM(MID(SUBSTITUTE($G174, ",", REPT(" ", 100)), (COLUMNS($AJ$2:AZ174)-1)*100+1, 100))</f>
        <v/>
      </c>
      <c r="BA174" t="str">
        <f>TRIM(MID(SUBSTITUTE($G174, ",", REPT(" ", 100)), (COLUMNS($AJ$2:BA174)-1)*100+1, 100))</f>
        <v/>
      </c>
      <c r="BB174" t="str">
        <f>TRIM(MID(SUBSTITUTE($G174, ",", REPT(" ", 100)), (COLUMNS($AJ$2:BB174)-1)*100+1, 100))</f>
        <v/>
      </c>
      <c r="BC174" t="str">
        <f>TRIM(MID(SUBSTITUTE($G174, ",", REPT(" ", 100)), (COLUMNS($AJ$2:BC174)-1)*100+1, 100))</f>
        <v/>
      </c>
      <c r="BH174">
        <f t="shared" si="4"/>
        <v>1</v>
      </c>
    </row>
    <row r="175" spans="1:60" ht="14.7" thickBot="1" x14ac:dyDescent="0.55000000000000004">
      <c r="A175" s="32" t="s">
        <v>436</v>
      </c>
      <c r="B175" s="258">
        <v>46196</v>
      </c>
      <c r="C175" s="2">
        <v>7.4</v>
      </c>
      <c r="D175" s="272"/>
      <c r="E175" s="271"/>
      <c r="F175" s="260">
        <v>0</v>
      </c>
      <c r="G175" s="38" t="s">
        <v>462</v>
      </c>
      <c r="H175" s="38" t="s">
        <v>571</v>
      </c>
      <c r="I175" s="38">
        <v>0</v>
      </c>
      <c r="AL175" t="str">
        <f>TRIM(MID(SUBSTITUTE($G175, ",", REPT(" ", 100)), (COLUMNS($AJ$2:AL175)-1)*100+1, 100))</f>
        <v/>
      </c>
      <c r="AM175" s="1">
        <v>45831</v>
      </c>
      <c r="AN175" s="2">
        <v>3.5</v>
      </c>
      <c r="AO175" s="2">
        <v>4</v>
      </c>
      <c r="AQ175" t="str">
        <f>TRIM(MID(SUBSTITUTE($G175, ",", REPT(" ", 100)), (COLUMNS($AJ$2:AQ175)-1)*100+1, 100))</f>
        <v/>
      </c>
      <c r="AR175" t="str">
        <f>TRIM(MID(SUBSTITUTE($G175, ",", REPT(" ", 100)), (COLUMNS($AJ$2:AR175)-1)*100+1, 100))</f>
        <v/>
      </c>
      <c r="AS175" t="str">
        <f>TRIM(MID(SUBSTITUTE($G175, ",", REPT(" ", 100)), (COLUMNS($AJ$2:AS175)-1)*100+1, 100))</f>
        <v/>
      </c>
      <c r="AT175" t="str">
        <f>TRIM(MID(SUBSTITUTE($G175, ",", REPT(" ", 100)), (COLUMNS($AJ$2:AT175)-1)*100+1, 100))</f>
        <v/>
      </c>
      <c r="AU175" t="str">
        <f>TRIM(MID(SUBSTITUTE($G175, ",", REPT(" ", 100)), (COLUMNS($AJ$2:AU175)-1)*100+1, 100))</f>
        <v/>
      </c>
      <c r="AV175" t="str">
        <f>TRIM(MID(SUBSTITUTE($G175, ",", REPT(" ", 100)), (COLUMNS($AJ$2:AV175)-1)*100+1, 100))</f>
        <v/>
      </c>
      <c r="AW175" t="str">
        <f>TRIM(MID(SUBSTITUTE($G175, ",", REPT(" ", 100)), (COLUMNS($AJ$2:AW175)-1)*100+1, 100))</f>
        <v/>
      </c>
      <c r="AX175" t="str">
        <f>TRIM(MID(SUBSTITUTE($G175, ",", REPT(" ", 100)), (COLUMNS($AJ$2:AX175)-1)*100+1, 100))</f>
        <v/>
      </c>
      <c r="AY175" t="str">
        <f>TRIM(MID(SUBSTITUTE($G175, ",", REPT(" ", 100)), (COLUMNS($AJ$2:AY175)-1)*100+1, 100))</f>
        <v/>
      </c>
      <c r="AZ175" t="str">
        <f>TRIM(MID(SUBSTITUTE($G175, ",", REPT(" ", 100)), (COLUMNS($AJ$2:AZ175)-1)*100+1, 100))</f>
        <v/>
      </c>
      <c r="BA175" t="str">
        <f>TRIM(MID(SUBSTITUTE($G175, ",", REPT(" ", 100)), (COLUMNS($AJ$2:BA175)-1)*100+1, 100))</f>
        <v/>
      </c>
      <c r="BB175" t="str">
        <f>TRIM(MID(SUBSTITUTE($G175, ",", REPT(" ", 100)), (COLUMNS($AJ$2:BB175)-1)*100+1, 100))</f>
        <v/>
      </c>
      <c r="BC175" t="str">
        <f>TRIM(MID(SUBSTITUTE($G175, ",", REPT(" ", 100)), (COLUMNS($AJ$2:BC175)-1)*100+1, 100))</f>
        <v/>
      </c>
      <c r="BH175">
        <f t="shared" si="4"/>
        <v>1</v>
      </c>
    </row>
    <row r="176" spans="1:60" x14ac:dyDescent="0.5">
      <c r="A176" s="32" t="s">
        <v>437</v>
      </c>
      <c r="B176" s="257">
        <v>46197</v>
      </c>
      <c r="C176" s="2">
        <v>5.8</v>
      </c>
      <c r="D176" s="272"/>
      <c r="E176" s="271"/>
      <c r="F176" s="260">
        <v>1</v>
      </c>
      <c r="G176" s="38" t="s">
        <v>462</v>
      </c>
      <c r="I176" s="38">
        <v>0</v>
      </c>
      <c r="AL176" t="str">
        <f>TRIM(MID(SUBSTITUTE($G176, ",", REPT(" ", 100)), (COLUMNS($AJ$2:AL176)-1)*100+1, 100))</f>
        <v/>
      </c>
      <c r="AM176" s="1">
        <v>45832</v>
      </c>
      <c r="AN176" s="2">
        <v>6</v>
      </c>
      <c r="AO176" s="2">
        <v>6</v>
      </c>
      <c r="AQ176" t="str">
        <f>TRIM(MID(SUBSTITUTE($G176, ",", REPT(" ", 100)), (COLUMNS($AJ$2:AQ176)-1)*100+1, 100))</f>
        <v/>
      </c>
      <c r="AR176" t="str">
        <f>TRIM(MID(SUBSTITUTE($G176, ",", REPT(" ", 100)), (COLUMNS($AJ$2:AR176)-1)*100+1, 100))</f>
        <v/>
      </c>
      <c r="AS176" t="str">
        <f>TRIM(MID(SUBSTITUTE($G176, ",", REPT(" ", 100)), (COLUMNS($AJ$2:AS176)-1)*100+1, 100))</f>
        <v/>
      </c>
      <c r="AT176" t="str">
        <f>TRIM(MID(SUBSTITUTE($G176, ",", REPT(" ", 100)), (COLUMNS($AJ$2:AT176)-1)*100+1, 100))</f>
        <v/>
      </c>
      <c r="AU176" t="str">
        <f>TRIM(MID(SUBSTITUTE($G176, ",", REPT(" ", 100)), (COLUMNS($AJ$2:AU176)-1)*100+1, 100))</f>
        <v/>
      </c>
      <c r="AV176" t="str">
        <f>TRIM(MID(SUBSTITUTE($G176, ",", REPT(" ", 100)), (COLUMNS($AJ$2:AV176)-1)*100+1, 100))</f>
        <v/>
      </c>
      <c r="AW176" t="str">
        <f>TRIM(MID(SUBSTITUTE($G176, ",", REPT(" ", 100)), (COLUMNS($AJ$2:AW176)-1)*100+1, 100))</f>
        <v/>
      </c>
      <c r="AX176" t="str">
        <f>TRIM(MID(SUBSTITUTE($G176, ",", REPT(" ", 100)), (COLUMNS($AJ$2:AX176)-1)*100+1, 100))</f>
        <v/>
      </c>
      <c r="AY176" t="str">
        <f>TRIM(MID(SUBSTITUTE($G176, ",", REPT(" ", 100)), (COLUMNS($AJ$2:AY176)-1)*100+1, 100))</f>
        <v/>
      </c>
      <c r="AZ176" t="str">
        <f>TRIM(MID(SUBSTITUTE($G176, ",", REPT(" ", 100)), (COLUMNS($AJ$2:AZ176)-1)*100+1, 100))</f>
        <v/>
      </c>
      <c r="BA176" t="str">
        <f>TRIM(MID(SUBSTITUTE($G176, ",", REPT(" ", 100)), (COLUMNS($AJ$2:BA176)-1)*100+1, 100))</f>
        <v/>
      </c>
      <c r="BB176" t="str">
        <f>TRIM(MID(SUBSTITUTE($G176, ",", REPT(" ", 100)), (COLUMNS($AJ$2:BB176)-1)*100+1, 100))</f>
        <v/>
      </c>
      <c r="BC176" t="str">
        <f>TRIM(MID(SUBSTITUTE($G176, ",", REPT(" ", 100)), (COLUMNS($AJ$2:BC176)-1)*100+1, 100))</f>
        <v/>
      </c>
      <c r="BH176">
        <f t="shared" si="4"/>
        <v>1</v>
      </c>
    </row>
    <row r="177" spans="1:60" ht="14.7" thickBot="1" x14ac:dyDescent="0.55000000000000004">
      <c r="A177" s="32" t="s">
        <v>431</v>
      </c>
      <c r="B177" s="258">
        <v>46198</v>
      </c>
      <c r="C177" s="2">
        <v>6.5</v>
      </c>
      <c r="D177" s="272"/>
      <c r="E177" s="271"/>
      <c r="F177" s="260">
        <v>0</v>
      </c>
      <c r="G177" s="38" t="s">
        <v>462</v>
      </c>
      <c r="I177" s="38">
        <v>0</v>
      </c>
      <c r="AL177" t="str">
        <f>TRIM(MID(SUBSTITUTE($G177, ",", REPT(" ", 100)), (COLUMNS($AJ$2:AL177)-1)*100+1, 100))</f>
        <v/>
      </c>
      <c r="AM177" s="1">
        <v>45833</v>
      </c>
      <c r="AN177" s="2">
        <v>6</v>
      </c>
      <c r="AO177" s="2">
        <v>4</v>
      </c>
      <c r="AQ177" t="str">
        <f>TRIM(MID(SUBSTITUTE($G177, ",", REPT(" ", 100)), (COLUMNS($AJ$2:AQ177)-1)*100+1, 100))</f>
        <v/>
      </c>
      <c r="AR177" t="str">
        <f>TRIM(MID(SUBSTITUTE($G177, ",", REPT(" ", 100)), (COLUMNS($AJ$2:AR177)-1)*100+1, 100))</f>
        <v/>
      </c>
      <c r="AS177" t="str">
        <f>TRIM(MID(SUBSTITUTE($G177, ",", REPT(" ", 100)), (COLUMNS($AJ$2:AS177)-1)*100+1, 100))</f>
        <v/>
      </c>
      <c r="AT177" t="str">
        <f>TRIM(MID(SUBSTITUTE($G177, ",", REPT(" ", 100)), (COLUMNS($AJ$2:AT177)-1)*100+1, 100))</f>
        <v/>
      </c>
      <c r="AU177" t="str">
        <f>TRIM(MID(SUBSTITUTE($G177, ",", REPT(" ", 100)), (COLUMNS($AJ$2:AU177)-1)*100+1, 100))</f>
        <v/>
      </c>
      <c r="AV177" t="str">
        <f>TRIM(MID(SUBSTITUTE($G177, ",", REPT(" ", 100)), (COLUMNS($AJ$2:AV177)-1)*100+1, 100))</f>
        <v/>
      </c>
      <c r="AW177" t="str">
        <f>TRIM(MID(SUBSTITUTE($G177, ",", REPT(" ", 100)), (COLUMNS($AJ$2:AW177)-1)*100+1, 100))</f>
        <v/>
      </c>
      <c r="AX177" t="str">
        <f>TRIM(MID(SUBSTITUTE($G177, ",", REPT(" ", 100)), (COLUMNS($AJ$2:AX177)-1)*100+1, 100))</f>
        <v/>
      </c>
      <c r="AY177" t="str">
        <f>TRIM(MID(SUBSTITUTE($G177, ",", REPT(" ", 100)), (COLUMNS($AJ$2:AY177)-1)*100+1, 100))</f>
        <v/>
      </c>
      <c r="AZ177" t="str">
        <f>TRIM(MID(SUBSTITUTE($G177, ",", REPT(" ", 100)), (COLUMNS($AJ$2:AZ177)-1)*100+1, 100))</f>
        <v/>
      </c>
      <c r="BA177" t="str">
        <f>TRIM(MID(SUBSTITUTE($G177, ",", REPT(" ", 100)), (COLUMNS($AJ$2:BA177)-1)*100+1, 100))</f>
        <v/>
      </c>
      <c r="BB177" t="str">
        <f>TRIM(MID(SUBSTITUTE($G177, ",", REPT(" ", 100)), (COLUMNS($AJ$2:BB177)-1)*100+1, 100))</f>
        <v/>
      </c>
      <c r="BC177" t="str">
        <f>TRIM(MID(SUBSTITUTE($G177, ",", REPT(" ", 100)), (COLUMNS($AJ$2:BC177)-1)*100+1, 100))</f>
        <v/>
      </c>
      <c r="BH177">
        <f t="shared" si="4"/>
        <v>1</v>
      </c>
    </row>
    <row r="178" spans="1:60" x14ac:dyDescent="0.5">
      <c r="A178" s="32" t="s">
        <v>432</v>
      </c>
      <c r="B178" s="257">
        <v>46199</v>
      </c>
      <c r="C178" s="2">
        <v>8</v>
      </c>
      <c r="D178" s="272"/>
      <c r="E178" s="271"/>
      <c r="F178" s="260">
        <v>1</v>
      </c>
      <c r="G178" s="38" t="s">
        <v>561</v>
      </c>
      <c r="I178" s="38">
        <v>0</v>
      </c>
      <c r="AL178" t="str">
        <f>TRIM(MID(SUBSTITUTE($G178, ",", REPT(" ", 100)), (COLUMNS($AJ$2:AL178)-1)*100+1, 100))</f>
        <v>Meerut</v>
      </c>
      <c r="AM178" s="1">
        <v>45834</v>
      </c>
      <c r="AN178" s="2">
        <v>4.5</v>
      </c>
      <c r="AO178" s="2">
        <v>4</v>
      </c>
      <c r="AQ178" t="str">
        <f>TRIM(MID(SUBSTITUTE($G178, ",", REPT(" ", 100)), (COLUMNS($AJ$2:AQ178)-1)*100+1, 100))</f>
        <v/>
      </c>
      <c r="AR178" t="str">
        <f>TRIM(MID(SUBSTITUTE($G178, ",", REPT(" ", 100)), (COLUMNS($AJ$2:AR178)-1)*100+1, 100))</f>
        <v/>
      </c>
      <c r="AS178" t="str">
        <f>TRIM(MID(SUBSTITUTE($G178, ",", REPT(" ", 100)), (COLUMNS($AJ$2:AS178)-1)*100+1, 100))</f>
        <v/>
      </c>
      <c r="AT178" t="str">
        <f>TRIM(MID(SUBSTITUTE($G178, ",", REPT(" ", 100)), (COLUMNS($AJ$2:AT178)-1)*100+1, 100))</f>
        <v/>
      </c>
      <c r="AU178" t="str">
        <f>TRIM(MID(SUBSTITUTE($G178, ",", REPT(" ", 100)), (COLUMNS($AJ$2:AU178)-1)*100+1, 100))</f>
        <v/>
      </c>
      <c r="AV178" t="str">
        <f>TRIM(MID(SUBSTITUTE($G178, ",", REPT(" ", 100)), (COLUMNS($AJ$2:AV178)-1)*100+1, 100))</f>
        <v/>
      </c>
      <c r="AW178" t="str">
        <f>TRIM(MID(SUBSTITUTE($G178, ",", REPT(" ", 100)), (COLUMNS($AJ$2:AW178)-1)*100+1, 100))</f>
        <v/>
      </c>
      <c r="AX178" t="str">
        <f>TRIM(MID(SUBSTITUTE($G178, ",", REPT(" ", 100)), (COLUMNS($AJ$2:AX178)-1)*100+1, 100))</f>
        <v/>
      </c>
      <c r="AY178" t="str">
        <f>TRIM(MID(SUBSTITUTE($G178, ",", REPT(" ", 100)), (COLUMNS($AJ$2:AY178)-1)*100+1, 100))</f>
        <v/>
      </c>
      <c r="AZ178" t="str">
        <f>TRIM(MID(SUBSTITUTE($G178, ",", REPT(" ", 100)), (COLUMNS($AJ$2:AZ178)-1)*100+1, 100))</f>
        <v/>
      </c>
      <c r="BA178" t="str">
        <f>TRIM(MID(SUBSTITUTE($G178, ",", REPT(" ", 100)), (COLUMNS($AJ$2:BA178)-1)*100+1, 100))</f>
        <v/>
      </c>
      <c r="BB178" t="str">
        <f>TRIM(MID(SUBSTITUTE($G178, ",", REPT(" ", 100)), (COLUMNS($AJ$2:BB178)-1)*100+1, 100))</f>
        <v/>
      </c>
      <c r="BC178" t="str">
        <f>TRIM(MID(SUBSTITUTE($G178, ",", REPT(" ", 100)), (COLUMNS($AJ$2:BC178)-1)*100+1, 100))</f>
        <v/>
      </c>
      <c r="BH178">
        <f t="shared" si="4"/>
        <v>0.33333333333333331</v>
      </c>
    </row>
    <row r="179" spans="1:60" ht="14.7" thickBot="1" x14ac:dyDescent="0.55000000000000004">
      <c r="A179" s="32" t="s">
        <v>433</v>
      </c>
      <c r="B179" s="258">
        <v>46200</v>
      </c>
      <c r="C179" s="2">
        <v>7.2</v>
      </c>
      <c r="D179" s="272"/>
      <c r="E179" s="271"/>
      <c r="F179" s="260">
        <v>1</v>
      </c>
      <c r="G179" s="38" t="s">
        <v>194</v>
      </c>
      <c r="I179" s="38">
        <v>0</v>
      </c>
      <c r="AL179" t="str">
        <f>TRIM(MID(SUBSTITUTE($G179, ",", REPT(" ", 100)), (COLUMNS($AJ$2:AL179)-1)*100+1, 100))</f>
        <v/>
      </c>
      <c r="AM179" s="1">
        <v>45835</v>
      </c>
      <c r="AN179" s="2">
        <v>5</v>
      </c>
      <c r="AO179" s="2">
        <v>6</v>
      </c>
      <c r="AQ179" t="str">
        <f>TRIM(MID(SUBSTITUTE($G179, ",", REPT(" ", 100)), (COLUMNS($AJ$2:AQ179)-1)*100+1, 100))</f>
        <v/>
      </c>
      <c r="AR179" t="str">
        <f>TRIM(MID(SUBSTITUTE($G179, ",", REPT(" ", 100)), (COLUMNS($AJ$2:AR179)-1)*100+1, 100))</f>
        <v/>
      </c>
      <c r="AS179" t="str">
        <f>TRIM(MID(SUBSTITUTE($G179, ",", REPT(" ", 100)), (COLUMNS($AJ$2:AS179)-1)*100+1, 100))</f>
        <v/>
      </c>
      <c r="AT179" t="str">
        <f>TRIM(MID(SUBSTITUTE($G179, ",", REPT(" ", 100)), (COLUMNS($AJ$2:AT179)-1)*100+1, 100))</f>
        <v/>
      </c>
      <c r="AU179" t="str">
        <f>TRIM(MID(SUBSTITUTE($G179, ",", REPT(" ", 100)), (COLUMNS($AJ$2:AU179)-1)*100+1, 100))</f>
        <v/>
      </c>
      <c r="AV179" t="str">
        <f>TRIM(MID(SUBSTITUTE($G179, ",", REPT(" ", 100)), (COLUMNS($AJ$2:AV179)-1)*100+1, 100))</f>
        <v/>
      </c>
      <c r="AW179" t="str">
        <f>TRIM(MID(SUBSTITUTE($G179, ",", REPT(" ", 100)), (COLUMNS($AJ$2:AW179)-1)*100+1, 100))</f>
        <v/>
      </c>
      <c r="AX179" t="str">
        <f>TRIM(MID(SUBSTITUTE($G179, ",", REPT(" ", 100)), (COLUMNS($AJ$2:AX179)-1)*100+1, 100))</f>
        <v/>
      </c>
      <c r="AY179" t="str">
        <f>TRIM(MID(SUBSTITUTE($G179, ",", REPT(" ", 100)), (COLUMNS($AJ$2:AY179)-1)*100+1, 100))</f>
        <v/>
      </c>
      <c r="AZ179" t="str">
        <f>TRIM(MID(SUBSTITUTE($G179, ",", REPT(" ", 100)), (COLUMNS($AJ$2:AZ179)-1)*100+1, 100))</f>
        <v/>
      </c>
      <c r="BA179" t="str">
        <f>TRIM(MID(SUBSTITUTE($G179, ",", REPT(" ", 100)), (COLUMNS($AJ$2:BA179)-1)*100+1, 100))</f>
        <v/>
      </c>
      <c r="BB179" t="str">
        <f>TRIM(MID(SUBSTITUTE($G179, ",", REPT(" ", 100)), (COLUMNS($AJ$2:BB179)-1)*100+1, 100))</f>
        <v/>
      </c>
      <c r="BC179" t="str">
        <f>TRIM(MID(SUBSTITUTE($G179, ",", REPT(" ", 100)), (COLUMNS($AJ$2:BC179)-1)*100+1, 100))</f>
        <v/>
      </c>
      <c r="BH179">
        <f t="shared" si="4"/>
        <v>1</v>
      </c>
    </row>
    <row r="180" spans="1:60" x14ac:dyDescent="0.5">
      <c r="A180" s="32" t="s">
        <v>434</v>
      </c>
      <c r="B180" s="257">
        <v>46201</v>
      </c>
      <c r="C180" s="2">
        <v>6</v>
      </c>
      <c r="D180" s="272"/>
      <c r="E180" s="271"/>
      <c r="F180" s="260">
        <v>0</v>
      </c>
      <c r="G180" s="38" t="s">
        <v>194</v>
      </c>
      <c r="I180" s="38">
        <v>0</v>
      </c>
      <c r="AL180" t="str">
        <f>TRIM(MID(SUBSTITUTE($G180, ",", REPT(" ", 100)), (COLUMNS($AJ$2:AL180)-1)*100+1, 100))</f>
        <v/>
      </c>
      <c r="AM180" s="1">
        <v>45836</v>
      </c>
      <c r="AN180" s="2">
        <v>5</v>
      </c>
      <c r="AO180" s="2">
        <v>10</v>
      </c>
      <c r="AQ180" t="str">
        <f>TRIM(MID(SUBSTITUTE($G180, ",", REPT(" ", 100)), (COLUMNS($AJ$2:AQ180)-1)*100+1, 100))</f>
        <v/>
      </c>
      <c r="AR180" t="str">
        <f>TRIM(MID(SUBSTITUTE($G180, ",", REPT(" ", 100)), (COLUMNS($AJ$2:AR180)-1)*100+1, 100))</f>
        <v/>
      </c>
      <c r="AS180" t="str">
        <f>TRIM(MID(SUBSTITUTE($G180, ",", REPT(" ", 100)), (COLUMNS($AJ$2:AS180)-1)*100+1, 100))</f>
        <v/>
      </c>
      <c r="AT180" t="str">
        <f>TRIM(MID(SUBSTITUTE($G180, ",", REPT(" ", 100)), (COLUMNS($AJ$2:AT180)-1)*100+1, 100))</f>
        <v/>
      </c>
      <c r="AU180" t="str">
        <f>TRIM(MID(SUBSTITUTE($G180, ",", REPT(" ", 100)), (COLUMNS($AJ$2:AU180)-1)*100+1, 100))</f>
        <v/>
      </c>
      <c r="AV180" t="str">
        <f>TRIM(MID(SUBSTITUTE($G180, ",", REPT(" ", 100)), (COLUMNS($AJ$2:AV180)-1)*100+1, 100))</f>
        <v/>
      </c>
      <c r="AW180" t="str">
        <f>TRIM(MID(SUBSTITUTE($G180, ",", REPT(" ", 100)), (COLUMNS($AJ$2:AW180)-1)*100+1, 100))</f>
        <v/>
      </c>
      <c r="AX180" t="str">
        <f>TRIM(MID(SUBSTITUTE($G180, ",", REPT(" ", 100)), (COLUMNS($AJ$2:AX180)-1)*100+1, 100))</f>
        <v/>
      </c>
      <c r="AY180" t="str">
        <f>TRIM(MID(SUBSTITUTE($G180, ",", REPT(" ", 100)), (COLUMNS($AJ$2:AY180)-1)*100+1, 100))</f>
        <v/>
      </c>
      <c r="AZ180" t="str">
        <f>TRIM(MID(SUBSTITUTE($G180, ",", REPT(" ", 100)), (COLUMNS($AJ$2:AZ180)-1)*100+1, 100))</f>
        <v/>
      </c>
      <c r="BA180" t="str">
        <f>TRIM(MID(SUBSTITUTE($G180, ",", REPT(" ", 100)), (COLUMNS($AJ$2:BA180)-1)*100+1, 100))</f>
        <v/>
      </c>
      <c r="BB180" t="str">
        <f>TRIM(MID(SUBSTITUTE($G180, ",", REPT(" ", 100)), (COLUMNS($AJ$2:BB180)-1)*100+1, 100))</f>
        <v/>
      </c>
      <c r="BC180" t="str">
        <f>TRIM(MID(SUBSTITUTE($G180, ",", REPT(" ", 100)), (COLUMNS($AJ$2:BC180)-1)*100+1, 100))</f>
        <v/>
      </c>
      <c r="BH180">
        <f t="shared" si="4"/>
        <v>1</v>
      </c>
    </row>
    <row r="181" spans="1:60" ht="14.7" thickBot="1" x14ac:dyDescent="0.55000000000000004">
      <c r="A181" s="32" t="s">
        <v>435</v>
      </c>
      <c r="B181" s="258">
        <v>46202</v>
      </c>
      <c r="C181" s="2">
        <v>5.4</v>
      </c>
      <c r="D181" s="272"/>
      <c r="E181" s="271"/>
      <c r="F181" s="260">
        <v>0</v>
      </c>
      <c r="G181" s="38" t="s">
        <v>194</v>
      </c>
      <c r="I181" s="38">
        <v>0</v>
      </c>
      <c r="AL181" t="str">
        <f>TRIM(MID(SUBSTITUTE($G181, ",", REPT(" ", 100)), (COLUMNS($AJ$2:AL181)-1)*100+1, 100))</f>
        <v/>
      </c>
      <c r="AM181" s="1">
        <v>45837</v>
      </c>
      <c r="AN181" s="2">
        <v>6</v>
      </c>
      <c r="AO181" s="2">
        <v>8</v>
      </c>
      <c r="AQ181" t="str">
        <f>TRIM(MID(SUBSTITUTE($G181, ",", REPT(" ", 100)), (COLUMNS($AJ$2:AQ181)-1)*100+1, 100))</f>
        <v/>
      </c>
      <c r="AR181" t="str">
        <f>TRIM(MID(SUBSTITUTE($G181, ",", REPT(" ", 100)), (COLUMNS($AJ$2:AR181)-1)*100+1, 100))</f>
        <v/>
      </c>
      <c r="AS181" t="str">
        <f>TRIM(MID(SUBSTITUTE($G181, ",", REPT(" ", 100)), (COLUMNS($AJ$2:AS181)-1)*100+1, 100))</f>
        <v/>
      </c>
      <c r="AT181" t="str">
        <f>TRIM(MID(SUBSTITUTE($G181, ",", REPT(" ", 100)), (COLUMNS($AJ$2:AT181)-1)*100+1, 100))</f>
        <v/>
      </c>
      <c r="AU181" t="str">
        <f>TRIM(MID(SUBSTITUTE($G181, ",", REPT(" ", 100)), (COLUMNS($AJ$2:AU181)-1)*100+1, 100))</f>
        <v/>
      </c>
      <c r="AV181" t="str">
        <f>TRIM(MID(SUBSTITUTE($G181, ",", REPT(" ", 100)), (COLUMNS($AJ$2:AV181)-1)*100+1, 100))</f>
        <v/>
      </c>
      <c r="AW181" t="str">
        <f>TRIM(MID(SUBSTITUTE($G181, ",", REPT(" ", 100)), (COLUMNS($AJ$2:AW181)-1)*100+1, 100))</f>
        <v/>
      </c>
      <c r="AX181" t="str">
        <f>TRIM(MID(SUBSTITUTE($G181, ",", REPT(" ", 100)), (COLUMNS($AJ$2:AX181)-1)*100+1, 100))</f>
        <v/>
      </c>
      <c r="AY181" t="str">
        <f>TRIM(MID(SUBSTITUTE($G181, ",", REPT(" ", 100)), (COLUMNS($AJ$2:AY181)-1)*100+1, 100))</f>
        <v/>
      </c>
      <c r="AZ181" t="str">
        <f>TRIM(MID(SUBSTITUTE($G181, ",", REPT(" ", 100)), (COLUMNS($AJ$2:AZ181)-1)*100+1, 100))</f>
        <v/>
      </c>
      <c r="BA181" t="str">
        <f>TRIM(MID(SUBSTITUTE($G181, ",", REPT(" ", 100)), (COLUMNS($AJ$2:BA181)-1)*100+1, 100))</f>
        <v/>
      </c>
      <c r="BB181" t="str">
        <f>TRIM(MID(SUBSTITUTE($G181, ",", REPT(" ", 100)), (COLUMNS($AJ$2:BB181)-1)*100+1, 100))</f>
        <v/>
      </c>
      <c r="BC181" t="str">
        <f>TRIM(MID(SUBSTITUTE($G181, ",", REPT(" ", 100)), (COLUMNS($AJ$2:BC181)-1)*100+1, 100))</f>
        <v/>
      </c>
      <c r="BH181">
        <f t="shared" si="4"/>
        <v>1</v>
      </c>
    </row>
    <row r="182" spans="1:60" x14ac:dyDescent="0.5">
      <c r="A182" s="32" t="s">
        <v>436</v>
      </c>
      <c r="B182" s="257">
        <v>46203</v>
      </c>
      <c r="C182" s="2">
        <v>6</v>
      </c>
      <c r="D182" s="272"/>
      <c r="E182" s="271"/>
      <c r="F182" s="260">
        <v>1</v>
      </c>
      <c r="G182" s="38" t="s">
        <v>194</v>
      </c>
      <c r="I182" s="38">
        <v>0</v>
      </c>
      <c r="AL182" t="str">
        <f>TRIM(MID(SUBSTITUTE($G182, ",", REPT(" ", 100)), (COLUMNS($AJ$2:AL182)-1)*100+1, 100))</f>
        <v/>
      </c>
      <c r="AM182" s="1">
        <v>45838</v>
      </c>
      <c r="AN182" s="2">
        <v>5</v>
      </c>
      <c r="AO182" s="2">
        <v>6</v>
      </c>
      <c r="AQ182" t="str">
        <f>TRIM(MID(SUBSTITUTE($G182, ",", REPT(" ", 100)), (COLUMNS($AJ$2:AQ182)-1)*100+1, 100))</f>
        <v/>
      </c>
      <c r="AR182" t="str">
        <f>TRIM(MID(SUBSTITUTE($G182, ",", REPT(" ", 100)), (COLUMNS($AJ$2:AR182)-1)*100+1, 100))</f>
        <v/>
      </c>
      <c r="AS182" t="str">
        <f>TRIM(MID(SUBSTITUTE($G182, ",", REPT(" ", 100)), (COLUMNS($AJ$2:AS182)-1)*100+1, 100))</f>
        <v/>
      </c>
      <c r="AT182" t="str">
        <f>TRIM(MID(SUBSTITUTE($G182, ",", REPT(" ", 100)), (COLUMNS($AJ$2:AT182)-1)*100+1, 100))</f>
        <v/>
      </c>
      <c r="AU182" t="str">
        <f>TRIM(MID(SUBSTITUTE($G182, ",", REPT(" ", 100)), (COLUMNS($AJ$2:AU182)-1)*100+1, 100))</f>
        <v/>
      </c>
      <c r="AV182" t="str">
        <f>TRIM(MID(SUBSTITUTE($G182, ",", REPT(" ", 100)), (COLUMNS($AJ$2:AV182)-1)*100+1, 100))</f>
        <v/>
      </c>
      <c r="AW182" t="str">
        <f>TRIM(MID(SUBSTITUTE($G182, ",", REPT(" ", 100)), (COLUMNS($AJ$2:AW182)-1)*100+1, 100))</f>
        <v/>
      </c>
      <c r="AX182" t="str">
        <f>TRIM(MID(SUBSTITUTE($G182, ",", REPT(" ", 100)), (COLUMNS($AJ$2:AX182)-1)*100+1, 100))</f>
        <v/>
      </c>
      <c r="AY182" t="str">
        <f>TRIM(MID(SUBSTITUTE($G182, ",", REPT(" ", 100)), (COLUMNS($AJ$2:AY182)-1)*100+1, 100))</f>
        <v/>
      </c>
      <c r="AZ182" t="str">
        <f>TRIM(MID(SUBSTITUTE($G182, ",", REPT(" ", 100)), (COLUMNS($AJ$2:AZ182)-1)*100+1, 100))</f>
        <v/>
      </c>
      <c r="BA182" t="str">
        <f>TRIM(MID(SUBSTITUTE($G182, ",", REPT(" ", 100)), (COLUMNS($AJ$2:BA182)-1)*100+1, 100))</f>
        <v/>
      </c>
      <c r="BB182" t="str">
        <f>TRIM(MID(SUBSTITUTE($G182, ",", REPT(" ", 100)), (COLUMNS($AJ$2:BB182)-1)*100+1, 100))</f>
        <v/>
      </c>
      <c r="BC182" t="str">
        <f>TRIM(MID(SUBSTITUTE($G182, ",", REPT(" ", 100)), (COLUMNS($AJ$2:BC182)-1)*100+1, 100))</f>
        <v/>
      </c>
      <c r="BH182">
        <f t="shared" si="4"/>
        <v>1</v>
      </c>
    </row>
    <row r="183" spans="1:60" ht="14.7" thickBot="1" x14ac:dyDescent="0.55000000000000004">
      <c r="A183" s="32" t="s">
        <v>437</v>
      </c>
      <c r="B183" s="258">
        <v>46204</v>
      </c>
      <c r="C183" s="2">
        <v>6.1</v>
      </c>
      <c r="D183" s="272">
        <f>AVERAGE(C183:C213)</f>
        <v>6.1032258064516114</v>
      </c>
      <c r="E183" s="271"/>
      <c r="F183" s="260">
        <v>0</v>
      </c>
      <c r="G183" s="38" t="s">
        <v>194</v>
      </c>
      <c r="I183" s="38">
        <v>0</v>
      </c>
      <c r="AL183" t="str">
        <f>TRIM(MID(SUBSTITUTE($G183, ",", REPT(" ", 100)), (COLUMNS($AJ$2:AL183)-1)*100+1, 100))</f>
        <v/>
      </c>
      <c r="AM183" s="1">
        <v>45839</v>
      </c>
      <c r="AN183" s="2">
        <v>4</v>
      </c>
      <c r="AO183" s="2">
        <v>6</v>
      </c>
      <c r="AQ183" t="str">
        <f>TRIM(MID(SUBSTITUTE($G183, ",", REPT(" ", 100)), (COLUMNS($AJ$2:AQ183)-1)*100+1, 100))</f>
        <v/>
      </c>
      <c r="AR183" t="str">
        <f>TRIM(MID(SUBSTITUTE($G183, ",", REPT(" ", 100)), (COLUMNS($AJ$2:AR183)-1)*100+1, 100))</f>
        <v/>
      </c>
      <c r="AS183" t="str">
        <f>TRIM(MID(SUBSTITUTE($G183, ",", REPT(" ", 100)), (COLUMNS($AJ$2:AS183)-1)*100+1, 100))</f>
        <v/>
      </c>
      <c r="AT183" t="str">
        <f>TRIM(MID(SUBSTITUTE($G183, ",", REPT(" ", 100)), (COLUMNS($AJ$2:AT183)-1)*100+1, 100))</f>
        <v/>
      </c>
      <c r="AU183" t="str">
        <f>TRIM(MID(SUBSTITUTE($G183, ",", REPT(" ", 100)), (COLUMNS($AJ$2:AU183)-1)*100+1, 100))</f>
        <v/>
      </c>
      <c r="AV183" t="str">
        <f>TRIM(MID(SUBSTITUTE($G183, ",", REPT(" ", 100)), (COLUMNS($AJ$2:AV183)-1)*100+1, 100))</f>
        <v/>
      </c>
      <c r="AW183" t="str">
        <f>TRIM(MID(SUBSTITUTE($G183, ",", REPT(" ", 100)), (COLUMNS($AJ$2:AW183)-1)*100+1, 100))</f>
        <v/>
      </c>
      <c r="AX183" t="str">
        <f>TRIM(MID(SUBSTITUTE($G183, ",", REPT(" ", 100)), (COLUMNS($AJ$2:AX183)-1)*100+1, 100))</f>
        <v/>
      </c>
      <c r="AY183" t="str">
        <f>TRIM(MID(SUBSTITUTE($G183, ",", REPT(" ", 100)), (COLUMNS($AJ$2:AY183)-1)*100+1, 100))</f>
        <v/>
      </c>
      <c r="AZ183" t="str">
        <f>TRIM(MID(SUBSTITUTE($G183, ",", REPT(" ", 100)), (COLUMNS($AJ$2:AZ183)-1)*100+1, 100))</f>
        <v/>
      </c>
      <c r="BA183" t="str">
        <f>TRIM(MID(SUBSTITUTE($G183, ",", REPT(" ", 100)), (COLUMNS($AJ$2:BA183)-1)*100+1, 100))</f>
        <v/>
      </c>
      <c r="BB183" t="str">
        <f>TRIM(MID(SUBSTITUTE($G183, ",", REPT(" ", 100)), (COLUMNS($AJ$2:BB183)-1)*100+1, 100))</f>
        <v/>
      </c>
      <c r="BC183" t="str">
        <f>TRIM(MID(SUBSTITUTE($G183, ",", REPT(" ", 100)), (COLUMNS($AJ$2:BC183)-1)*100+1, 100))</f>
        <v/>
      </c>
      <c r="BH183">
        <f t="shared" si="4"/>
        <v>1</v>
      </c>
    </row>
    <row r="184" spans="1:60" x14ac:dyDescent="0.5">
      <c r="A184" s="32" t="s">
        <v>431</v>
      </c>
      <c r="B184" s="257">
        <v>46205</v>
      </c>
      <c r="C184" s="2">
        <v>6.2</v>
      </c>
      <c r="D184" s="272"/>
      <c r="E184" s="271"/>
      <c r="F184" s="260">
        <v>1</v>
      </c>
      <c r="G184" s="38" t="s">
        <v>194</v>
      </c>
      <c r="I184" s="38">
        <v>0</v>
      </c>
      <c r="AL184" t="str">
        <f>TRIM(MID(SUBSTITUTE($G184, ",", REPT(" ", 100)), (COLUMNS($AJ$2:AL184)-1)*100+1, 100))</f>
        <v/>
      </c>
      <c r="AM184" s="1">
        <v>45840</v>
      </c>
      <c r="AN184" s="2">
        <v>4.0999999999999996</v>
      </c>
      <c r="AO184" s="2">
        <v>4</v>
      </c>
      <c r="AQ184" t="str">
        <f>TRIM(MID(SUBSTITUTE($G184, ",", REPT(" ", 100)), (COLUMNS($AJ$2:AQ184)-1)*100+1, 100))</f>
        <v/>
      </c>
      <c r="AR184" t="str">
        <f>TRIM(MID(SUBSTITUTE($G184, ",", REPT(" ", 100)), (COLUMNS($AJ$2:AR184)-1)*100+1, 100))</f>
        <v/>
      </c>
      <c r="AS184" t="str">
        <f>TRIM(MID(SUBSTITUTE($G184, ",", REPT(" ", 100)), (COLUMNS($AJ$2:AS184)-1)*100+1, 100))</f>
        <v/>
      </c>
      <c r="AT184" t="str">
        <f>TRIM(MID(SUBSTITUTE($G184, ",", REPT(" ", 100)), (COLUMNS($AJ$2:AT184)-1)*100+1, 100))</f>
        <v/>
      </c>
      <c r="AU184" t="str">
        <f>TRIM(MID(SUBSTITUTE($G184, ",", REPT(" ", 100)), (COLUMNS($AJ$2:AU184)-1)*100+1, 100))</f>
        <v/>
      </c>
      <c r="AV184" t="str">
        <f>TRIM(MID(SUBSTITUTE($G184, ",", REPT(" ", 100)), (COLUMNS($AJ$2:AV184)-1)*100+1, 100))</f>
        <v/>
      </c>
      <c r="AW184" t="str">
        <f>TRIM(MID(SUBSTITUTE($G184, ",", REPT(" ", 100)), (COLUMNS($AJ$2:AW184)-1)*100+1, 100))</f>
        <v/>
      </c>
      <c r="AX184" t="str">
        <f>TRIM(MID(SUBSTITUTE($G184, ",", REPT(" ", 100)), (COLUMNS($AJ$2:AX184)-1)*100+1, 100))</f>
        <v/>
      </c>
      <c r="AY184" t="str">
        <f>TRIM(MID(SUBSTITUTE($G184, ",", REPT(" ", 100)), (COLUMNS($AJ$2:AY184)-1)*100+1, 100))</f>
        <v/>
      </c>
      <c r="AZ184" t="str">
        <f>TRIM(MID(SUBSTITUTE($G184, ",", REPT(" ", 100)), (COLUMNS($AJ$2:AZ184)-1)*100+1, 100))</f>
        <v/>
      </c>
      <c r="BA184" t="str">
        <f>TRIM(MID(SUBSTITUTE($G184, ",", REPT(" ", 100)), (COLUMNS($AJ$2:BA184)-1)*100+1, 100))</f>
        <v/>
      </c>
      <c r="BB184" t="str">
        <f>TRIM(MID(SUBSTITUTE($G184, ",", REPT(" ", 100)), (COLUMNS($AJ$2:BB184)-1)*100+1, 100))</f>
        <v/>
      </c>
      <c r="BC184" t="str">
        <f>TRIM(MID(SUBSTITUTE($G184, ",", REPT(" ", 100)), (COLUMNS($AJ$2:BC184)-1)*100+1, 100))</f>
        <v/>
      </c>
      <c r="BH184">
        <f t="shared" si="4"/>
        <v>1</v>
      </c>
    </row>
    <row r="185" spans="1:60" ht="14.7" thickBot="1" x14ac:dyDescent="0.55000000000000004">
      <c r="A185" s="32" t="s">
        <v>432</v>
      </c>
      <c r="B185" s="258">
        <v>46206</v>
      </c>
      <c r="C185" s="2">
        <v>6.3</v>
      </c>
      <c r="D185" s="272"/>
      <c r="E185" s="271"/>
      <c r="F185" s="260">
        <v>1</v>
      </c>
      <c r="G185" s="38" t="s">
        <v>194</v>
      </c>
      <c r="I185" s="38">
        <v>0</v>
      </c>
      <c r="AL185" t="str">
        <f>TRIM(MID(SUBSTITUTE($G185, ",", REPT(" ", 100)), (COLUMNS($AJ$2:AL185)-1)*100+1, 100))</f>
        <v/>
      </c>
      <c r="AM185" s="1">
        <v>45841</v>
      </c>
      <c r="AN185" s="2">
        <v>4.2</v>
      </c>
      <c r="AO185" s="2">
        <v>2</v>
      </c>
      <c r="AQ185" t="str">
        <f>TRIM(MID(SUBSTITUTE($G185, ",", REPT(" ", 100)), (COLUMNS($AJ$2:AQ185)-1)*100+1, 100))</f>
        <v/>
      </c>
      <c r="AR185" t="str">
        <f>TRIM(MID(SUBSTITUTE($G185, ",", REPT(" ", 100)), (COLUMNS($AJ$2:AR185)-1)*100+1, 100))</f>
        <v/>
      </c>
      <c r="AS185" t="str">
        <f>TRIM(MID(SUBSTITUTE($G185, ",", REPT(" ", 100)), (COLUMNS($AJ$2:AS185)-1)*100+1, 100))</f>
        <v/>
      </c>
      <c r="AT185" t="str">
        <f>TRIM(MID(SUBSTITUTE($G185, ",", REPT(" ", 100)), (COLUMNS($AJ$2:AT185)-1)*100+1, 100))</f>
        <v/>
      </c>
      <c r="AU185" t="str">
        <f>TRIM(MID(SUBSTITUTE($G185, ",", REPT(" ", 100)), (COLUMNS($AJ$2:AU185)-1)*100+1, 100))</f>
        <v/>
      </c>
      <c r="AV185" t="str">
        <f>TRIM(MID(SUBSTITUTE($G185, ",", REPT(" ", 100)), (COLUMNS($AJ$2:AV185)-1)*100+1, 100))</f>
        <v/>
      </c>
      <c r="AW185" t="str">
        <f>TRIM(MID(SUBSTITUTE($G185, ",", REPT(" ", 100)), (COLUMNS($AJ$2:AW185)-1)*100+1, 100))</f>
        <v/>
      </c>
      <c r="AX185" t="str">
        <f>TRIM(MID(SUBSTITUTE($G185, ",", REPT(" ", 100)), (COLUMNS($AJ$2:AX185)-1)*100+1, 100))</f>
        <v/>
      </c>
      <c r="AY185" t="str">
        <f>TRIM(MID(SUBSTITUTE($G185, ",", REPT(" ", 100)), (COLUMNS($AJ$2:AY185)-1)*100+1, 100))</f>
        <v/>
      </c>
      <c r="AZ185" t="str">
        <f>TRIM(MID(SUBSTITUTE($G185, ",", REPT(" ", 100)), (COLUMNS($AJ$2:AZ185)-1)*100+1, 100))</f>
        <v/>
      </c>
      <c r="BA185" t="str">
        <f>TRIM(MID(SUBSTITUTE($G185, ",", REPT(" ", 100)), (COLUMNS($AJ$2:BA185)-1)*100+1, 100))</f>
        <v/>
      </c>
      <c r="BB185" t="str">
        <f>TRIM(MID(SUBSTITUTE($G185, ",", REPT(" ", 100)), (COLUMNS($AJ$2:BB185)-1)*100+1, 100))</f>
        <v/>
      </c>
      <c r="BC185" t="str">
        <f>TRIM(MID(SUBSTITUTE($G185, ",", REPT(" ", 100)), (COLUMNS($AJ$2:BC185)-1)*100+1, 100))</f>
        <v/>
      </c>
      <c r="BH185">
        <f t="shared" si="4"/>
        <v>1</v>
      </c>
    </row>
    <row r="186" spans="1:60" x14ac:dyDescent="0.5">
      <c r="A186" s="32" t="s">
        <v>433</v>
      </c>
      <c r="B186" s="257">
        <v>46207</v>
      </c>
      <c r="C186" s="2">
        <v>7</v>
      </c>
      <c r="D186" s="272"/>
      <c r="E186" s="271"/>
      <c r="F186" s="260">
        <v>1</v>
      </c>
      <c r="G186" s="38" t="s">
        <v>278</v>
      </c>
      <c r="I186" s="38">
        <v>0</v>
      </c>
      <c r="AL186" t="str">
        <f>TRIM(MID(SUBSTITUTE($G186, ",", REPT(" ", 100)), (COLUMNS($AJ$2:AL186)-1)*100+1, 100))</f>
        <v/>
      </c>
      <c r="AM186" s="1">
        <v>45842</v>
      </c>
      <c r="AN186" s="2">
        <v>8.8000000000000007</v>
      </c>
      <c r="AO186" s="2">
        <v>4</v>
      </c>
      <c r="AQ186" t="str">
        <f>TRIM(MID(SUBSTITUTE($G186, ",", REPT(" ", 100)), (COLUMNS($AJ$2:AQ186)-1)*100+1, 100))</f>
        <v/>
      </c>
      <c r="AR186" t="str">
        <f>TRIM(MID(SUBSTITUTE($G186, ",", REPT(" ", 100)), (COLUMNS($AJ$2:AR186)-1)*100+1, 100))</f>
        <v/>
      </c>
      <c r="AS186" t="str">
        <f>TRIM(MID(SUBSTITUTE($G186, ",", REPT(" ", 100)), (COLUMNS($AJ$2:AS186)-1)*100+1, 100))</f>
        <v/>
      </c>
      <c r="AT186" t="str">
        <f>TRIM(MID(SUBSTITUTE($G186, ",", REPT(" ", 100)), (COLUMNS($AJ$2:AT186)-1)*100+1, 100))</f>
        <v/>
      </c>
      <c r="AU186" t="str">
        <f>TRIM(MID(SUBSTITUTE($G186, ",", REPT(" ", 100)), (COLUMNS($AJ$2:AU186)-1)*100+1, 100))</f>
        <v/>
      </c>
      <c r="AV186" t="str">
        <f>TRIM(MID(SUBSTITUTE($G186, ",", REPT(" ", 100)), (COLUMNS($AJ$2:AV186)-1)*100+1, 100))</f>
        <v/>
      </c>
      <c r="AW186" t="str">
        <f>TRIM(MID(SUBSTITUTE($G186, ",", REPT(" ", 100)), (COLUMNS($AJ$2:AW186)-1)*100+1, 100))</f>
        <v/>
      </c>
      <c r="AX186" t="str">
        <f>TRIM(MID(SUBSTITUTE($G186, ",", REPT(" ", 100)), (COLUMNS($AJ$2:AX186)-1)*100+1, 100))</f>
        <v/>
      </c>
      <c r="AY186" t="str">
        <f>TRIM(MID(SUBSTITUTE($G186, ",", REPT(" ", 100)), (COLUMNS($AJ$2:AY186)-1)*100+1, 100))</f>
        <v/>
      </c>
      <c r="AZ186" t="str">
        <f>TRIM(MID(SUBSTITUTE($G186, ",", REPT(" ", 100)), (COLUMNS($AJ$2:AZ186)-1)*100+1, 100))</f>
        <v/>
      </c>
      <c r="BA186" t="str">
        <f>TRIM(MID(SUBSTITUTE($G186, ",", REPT(" ", 100)), (COLUMNS($AJ$2:BA186)-1)*100+1, 100))</f>
        <v/>
      </c>
      <c r="BB186" t="str">
        <f>TRIM(MID(SUBSTITUTE($G186, ",", REPT(" ", 100)), (COLUMNS($AJ$2:BB186)-1)*100+1, 100))</f>
        <v/>
      </c>
      <c r="BC186" t="str">
        <f>TRIM(MID(SUBSTITUTE($G186, ",", REPT(" ", 100)), (COLUMNS($AJ$2:BC186)-1)*100+1, 100))</f>
        <v/>
      </c>
      <c r="BH186">
        <f t="shared" si="4"/>
        <v>0.5</v>
      </c>
    </row>
    <row r="187" spans="1:60" ht="14.7" thickBot="1" x14ac:dyDescent="0.55000000000000004">
      <c r="A187" s="32" t="s">
        <v>434</v>
      </c>
      <c r="B187" s="258">
        <v>46208</v>
      </c>
      <c r="C187" s="2">
        <v>6.6</v>
      </c>
      <c r="D187" s="272"/>
      <c r="E187" s="271"/>
      <c r="F187" s="260">
        <v>1</v>
      </c>
      <c r="G187" s="38" t="s">
        <v>358</v>
      </c>
      <c r="I187" s="38">
        <v>0</v>
      </c>
      <c r="AL187" t="str">
        <f>TRIM(MID(SUBSTITUTE($G187, ",", REPT(" ", 100)), (COLUMNS($AJ$2:AL187)-1)*100+1, 100))</f>
        <v/>
      </c>
      <c r="AM187" s="1">
        <v>45843</v>
      </c>
      <c r="AN187" s="2">
        <v>9</v>
      </c>
      <c r="AO187" s="2">
        <v>4</v>
      </c>
      <c r="AQ187" t="str">
        <f>TRIM(MID(SUBSTITUTE($G187, ",", REPT(" ", 100)), (COLUMNS($AJ$2:AQ187)-1)*100+1, 100))</f>
        <v/>
      </c>
      <c r="AR187" t="str">
        <f>TRIM(MID(SUBSTITUTE($G187, ",", REPT(" ", 100)), (COLUMNS($AJ$2:AR187)-1)*100+1, 100))</f>
        <v/>
      </c>
      <c r="AS187" t="str">
        <f>TRIM(MID(SUBSTITUTE($G187, ",", REPT(" ", 100)), (COLUMNS($AJ$2:AS187)-1)*100+1, 100))</f>
        <v/>
      </c>
      <c r="AT187" t="str">
        <f>TRIM(MID(SUBSTITUTE($G187, ",", REPT(" ", 100)), (COLUMNS($AJ$2:AT187)-1)*100+1, 100))</f>
        <v/>
      </c>
      <c r="AU187" t="str">
        <f>TRIM(MID(SUBSTITUTE($G187, ",", REPT(" ", 100)), (COLUMNS($AJ$2:AU187)-1)*100+1, 100))</f>
        <v/>
      </c>
      <c r="AV187" t="str">
        <f>TRIM(MID(SUBSTITUTE($G187, ",", REPT(" ", 100)), (COLUMNS($AJ$2:AV187)-1)*100+1, 100))</f>
        <v/>
      </c>
      <c r="AW187" t="str">
        <f>TRIM(MID(SUBSTITUTE($G187, ",", REPT(" ", 100)), (COLUMNS($AJ$2:AW187)-1)*100+1, 100))</f>
        <v/>
      </c>
      <c r="AX187" t="str">
        <f>TRIM(MID(SUBSTITUTE($G187, ",", REPT(" ", 100)), (COLUMNS($AJ$2:AX187)-1)*100+1, 100))</f>
        <v/>
      </c>
      <c r="AY187" t="str">
        <f>TRIM(MID(SUBSTITUTE($G187, ",", REPT(" ", 100)), (COLUMNS($AJ$2:AY187)-1)*100+1, 100))</f>
        <v/>
      </c>
      <c r="AZ187" t="str">
        <f>TRIM(MID(SUBSTITUTE($G187, ",", REPT(" ", 100)), (COLUMNS($AJ$2:AZ187)-1)*100+1, 100))</f>
        <v/>
      </c>
      <c r="BA187" t="str">
        <f>TRIM(MID(SUBSTITUTE($G187, ",", REPT(" ", 100)), (COLUMNS($AJ$2:BA187)-1)*100+1, 100))</f>
        <v/>
      </c>
      <c r="BB187" t="str">
        <f>TRIM(MID(SUBSTITUTE($G187, ",", REPT(" ", 100)), (COLUMNS($AJ$2:BB187)-1)*100+1, 100))</f>
        <v/>
      </c>
      <c r="BC187" t="str">
        <f>TRIM(MID(SUBSTITUTE($G187, ",", REPT(" ", 100)), (COLUMNS($AJ$2:BC187)-1)*100+1, 100))</f>
        <v/>
      </c>
      <c r="BH187">
        <f t="shared" si="4"/>
        <v>0.5</v>
      </c>
    </row>
    <row r="188" spans="1:60" x14ac:dyDescent="0.5">
      <c r="A188" s="32" t="s">
        <v>435</v>
      </c>
      <c r="B188" s="257">
        <v>46209</v>
      </c>
      <c r="C188" s="2">
        <v>6</v>
      </c>
      <c r="D188" s="272"/>
      <c r="E188" s="271"/>
      <c r="F188" s="260">
        <v>0</v>
      </c>
      <c r="G188" s="38" t="s">
        <v>194</v>
      </c>
      <c r="H188" s="38" t="s">
        <v>577</v>
      </c>
      <c r="I188" s="38">
        <v>0</v>
      </c>
      <c r="AL188" t="str">
        <f>TRIM(MID(SUBSTITUTE($G188, ",", REPT(" ", 100)), (COLUMNS($AJ$2:AL188)-1)*100+1, 100))</f>
        <v/>
      </c>
      <c r="AM188" s="1">
        <v>45844</v>
      </c>
      <c r="AN188" s="2">
        <v>4.3</v>
      </c>
      <c r="AO188" s="2">
        <v>10</v>
      </c>
      <c r="AQ188" t="str">
        <f>TRIM(MID(SUBSTITUTE($G188, ",", REPT(" ", 100)), (COLUMNS($AJ$2:AQ188)-1)*100+1, 100))</f>
        <v/>
      </c>
      <c r="AR188" t="str">
        <f>TRIM(MID(SUBSTITUTE($G188, ",", REPT(" ", 100)), (COLUMNS($AJ$2:AR188)-1)*100+1, 100))</f>
        <v/>
      </c>
      <c r="AS188" t="str">
        <f>TRIM(MID(SUBSTITUTE($G188, ",", REPT(" ", 100)), (COLUMNS($AJ$2:AS188)-1)*100+1, 100))</f>
        <v/>
      </c>
      <c r="AT188" t="str">
        <f>TRIM(MID(SUBSTITUTE($G188, ",", REPT(" ", 100)), (COLUMNS($AJ$2:AT188)-1)*100+1, 100))</f>
        <v/>
      </c>
      <c r="AU188" t="str">
        <f>TRIM(MID(SUBSTITUTE($G188, ",", REPT(" ", 100)), (COLUMNS($AJ$2:AU188)-1)*100+1, 100))</f>
        <v/>
      </c>
      <c r="AV188" t="str">
        <f>TRIM(MID(SUBSTITUTE($G188, ",", REPT(" ", 100)), (COLUMNS($AJ$2:AV188)-1)*100+1, 100))</f>
        <v/>
      </c>
      <c r="AW188" t="str">
        <f>TRIM(MID(SUBSTITUTE($G188, ",", REPT(" ", 100)), (COLUMNS($AJ$2:AW188)-1)*100+1, 100))</f>
        <v/>
      </c>
      <c r="AX188" t="str">
        <f>TRIM(MID(SUBSTITUTE($G188, ",", REPT(" ", 100)), (COLUMNS($AJ$2:AX188)-1)*100+1, 100))</f>
        <v/>
      </c>
      <c r="AY188" t="str">
        <f>TRIM(MID(SUBSTITUTE($G188, ",", REPT(" ", 100)), (COLUMNS($AJ$2:AY188)-1)*100+1, 100))</f>
        <v/>
      </c>
      <c r="AZ188" t="str">
        <f>TRIM(MID(SUBSTITUTE($G188, ",", REPT(" ", 100)), (COLUMNS($AJ$2:AZ188)-1)*100+1, 100))</f>
        <v/>
      </c>
      <c r="BA188" t="str">
        <f>TRIM(MID(SUBSTITUTE($G188, ",", REPT(" ", 100)), (COLUMNS($AJ$2:BA188)-1)*100+1, 100))</f>
        <v/>
      </c>
      <c r="BB188" t="str">
        <f>TRIM(MID(SUBSTITUTE($G188, ",", REPT(" ", 100)), (COLUMNS($AJ$2:BB188)-1)*100+1, 100))</f>
        <v/>
      </c>
      <c r="BC188" t="str">
        <f>TRIM(MID(SUBSTITUTE($G188, ",", REPT(" ", 100)), (COLUMNS($AJ$2:BC188)-1)*100+1, 100))</f>
        <v/>
      </c>
      <c r="BH188">
        <f t="shared" si="4"/>
        <v>1</v>
      </c>
    </row>
    <row r="189" spans="1:60" ht="14.7" thickBot="1" x14ac:dyDescent="0.55000000000000004">
      <c r="A189" s="32" t="s">
        <v>436</v>
      </c>
      <c r="B189" s="258">
        <v>46210</v>
      </c>
      <c r="C189" s="2">
        <v>6.5</v>
      </c>
      <c r="D189" s="272"/>
      <c r="E189" s="271"/>
      <c r="F189" s="260">
        <v>1</v>
      </c>
      <c r="G189" s="38" t="s">
        <v>194</v>
      </c>
      <c r="H189" s="38" t="s">
        <v>578</v>
      </c>
      <c r="I189" s="38">
        <v>0</v>
      </c>
      <c r="AL189" t="str">
        <f>TRIM(MID(SUBSTITUTE($G189, ",", REPT(" ", 100)), (COLUMNS($AJ$2:AL189)-1)*100+1, 100))</f>
        <v/>
      </c>
      <c r="AM189" s="1">
        <v>45845</v>
      </c>
      <c r="AN189" s="2">
        <v>4.4000000000000004</v>
      </c>
      <c r="AO189" s="2">
        <v>6</v>
      </c>
      <c r="AQ189" t="str">
        <f>TRIM(MID(SUBSTITUTE($G189, ",", REPT(" ", 100)), (COLUMNS($AJ$2:AQ189)-1)*100+1, 100))</f>
        <v/>
      </c>
      <c r="AR189" t="str">
        <f>TRIM(MID(SUBSTITUTE($G189, ",", REPT(" ", 100)), (COLUMNS($AJ$2:AR189)-1)*100+1, 100))</f>
        <v/>
      </c>
      <c r="AS189" t="str">
        <f>TRIM(MID(SUBSTITUTE($G189, ",", REPT(" ", 100)), (COLUMNS($AJ$2:AS189)-1)*100+1, 100))</f>
        <v/>
      </c>
      <c r="AT189" t="str">
        <f>TRIM(MID(SUBSTITUTE($G189, ",", REPT(" ", 100)), (COLUMNS($AJ$2:AT189)-1)*100+1, 100))</f>
        <v/>
      </c>
      <c r="AU189" t="str">
        <f>TRIM(MID(SUBSTITUTE($G189, ",", REPT(" ", 100)), (COLUMNS($AJ$2:AU189)-1)*100+1, 100))</f>
        <v/>
      </c>
      <c r="AV189" t="str">
        <f>TRIM(MID(SUBSTITUTE($G189, ",", REPT(" ", 100)), (COLUMNS($AJ$2:AV189)-1)*100+1, 100))</f>
        <v/>
      </c>
      <c r="AW189" t="str">
        <f>TRIM(MID(SUBSTITUTE($G189, ",", REPT(" ", 100)), (COLUMNS($AJ$2:AW189)-1)*100+1, 100))</f>
        <v/>
      </c>
      <c r="AX189" t="str">
        <f>TRIM(MID(SUBSTITUTE($G189, ",", REPT(" ", 100)), (COLUMNS($AJ$2:AX189)-1)*100+1, 100))</f>
        <v/>
      </c>
      <c r="AY189" t="str">
        <f>TRIM(MID(SUBSTITUTE($G189, ",", REPT(" ", 100)), (COLUMNS($AJ$2:AY189)-1)*100+1, 100))</f>
        <v/>
      </c>
      <c r="AZ189" t="str">
        <f>TRIM(MID(SUBSTITUTE($G189, ",", REPT(" ", 100)), (COLUMNS($AJ$2:AZ189)-1)*100+1, 100))</f>
        <v/>
      </c>
      <c r="BA189" t="str">
        <f>TRIM(MID(SUBSTITUTE($G189, ",", REPT(" ", 100)), (COLUMNS($AJ$2:BA189)-1)*100+1, 100))</f>
        <v/>
      </c>
      <c r="BB189" t="str">
        <f>TRIM(MID(SUBSTITUTE($G189, ",", REPT(" ", 100)), (COLUMNS($AJ$2:BB189)-1)*100+1, 100))</f>
        <v/>
      </c>
      <c r="BC189" t="str">
        <f>TRIM(MID(SUBSTITUTE($G189, ",", REPT(" ", 100)), (COLUMNS($AJ$2:BC189)-1)*100+1, 100))</f>
        <v/>
      </c>
      <c r="BH189">
        <f t="shared" si="4"/>
        <v>1</v>
      </c>
    </row>
    <row r="190" spans="1:60" x14ac:dyDescent="0.5">
      <c r="A190" s="32" t="s">
        <v>437</v>
      </c>
      <c r="B190" s="257">
        <v>46211</v>
      </c>
      <c r="C190" s="2">
        <v>6.8</v>
      </c>
      <c r="D190" s="272"/>
      <c r="E190" s="271"/>
      <c r="F190" s="260">
        <v>0</v>
      </c>
      <c r="G190" s="38" t="s">
        <v>194</v>
      </c>
      <c r="I190" s="38">
        <v>0</v>
      </c>
      <c r="AL190" t="str">
        <f>TRIM(MID(SUBSTITUTE($G190, ",", REPT(" ", 100)), (COLUMNS($AJ$2:AL190)-1)*100+1, 100))</f>
        <v/>
      </c>
      <c r="AM190" s="1">
        <v>45846</v>
      </c>
      <c r="AN190" s="2">
        <v>5</v>
      </c>
      <c r="AO190" s="2">
        <v>4</v>
      </c>
      <c r="AQ190" t="str">
        <f>TRIM(MID(SUBSTITUTE($G190, ",", REPT(" ", 100)), (COLUMNS($AJ$2:AQ190)-1)*100+1, 100))</f>
        <v/>
      </c>
      <c r="AR190" t="str">
        <f>TRIM(MID(SUBSTITUTE($G190, ",", REPT(" ", 100)), (COLUMNS($AJ$2:AR190)-1)*100+1, 100))</f>
        <v/>
      </c>
      <c r="AS190" t="str">
        <f>TRIM(MID(SUBSTITUTE($G190, ",", REPT(" ", 100)), (COLUMNS($AJ$2:AS190)-1)*100+1, 100))</f>
        <v/>
      </c>
      <c r="AT190" t="str">
        <f>TRIM(MID(SUBSTITUTE($G190, ",", REPT(" ", 100)), (COLUMNS($AJ$2:AT190)-1)*100+1, 100))</f>
        <v/>
      </c>
      <c r="AU190" t="str">
        <f>TRIM(MID(SUBSTITUTE($G190, ",", REPT(" ", 100)), (COLUMNS($AJ$2:AU190)-1)*100+1, 100))</f>
        <v/>
      </c>
      <c r="AV190" t="str">
        <f>TRIM(MID(SUBSTITUTE($G190, ",", REPT(" ", 100)), (COLUMNS($AJ$2:AV190)-1)*100+1, 100))</f>
        <v/>
      </c>
      <c r="AW190" t="str">
        <f>TRIM(MID(SUBSTITUTE($G190, ",", REPT(" ", 100)), (COLUMNS($AJ$2:AW190)-1)*100+1, 100))</f>
        <v/>
      </c>
      <c r="AX190" t="str">
        <f>TRIM(MID(SUBSTITUTE($G190, ",", REPT(" ", 100)), (COLUMNS($AJ$2:AX190)-1)*100+1, 100))</f>
        <v/>
      </c>
      <c r="AY190" t="str">
        <f>TRIM(MID(SUBSTITUTE($G190, ",", REPT(" ", 100)), (COLUMNS($AJ$2:AY190)-1)*100+1, 100))</f>
        <v/>
      </c>
      <c r="AZ190" t="str">
        <f>TRIM(MID(SUBSTITUTE($G190, ",", REPT(" ", 100)), (COLUMNS($AJ$2:AZ190)-1)*100+1, 100))</f>
        <v/>
      </c>
      <c r="BA190" t="str">
        <f>TRIM(MID(SUBSTITUTE($G190, ",", REPT(" ", 100)), (COLUMNS($AJ$2:BA190)-1)*100+1, 100))</f>
        <v/>
      </c>
      <c r="BB190" t="str">
        <f>TRIM(MID(SUBSTITUTE($G190, ",", REPT(" ", 100)), (COLUMNS($AJ$2:BB190)-1)*100+1, 100))</f>
        <v/>
      </c>
      <c r="BC190" t="str">
        <f>TRIM(MID(SUBSTITUTE($G190, ",", REPT(" ", 100)), (COLUMNS($AJ$2:BC190)-1)*100+1, 100))</f>
        <v/>
      </c>
      <c r="BH190">
        <f t="shared" si="4"/>
        <v>1</v>
      </c>
    </row>
    <row r="191" spans="1:60" ht="14.7" thickBot="1" x14ac:dyDescent="0.55000000000000004">
      <c r="A191" s="32" t="s">
        <v>431</v>
      </c>
      <c r="B191" s="258">
        <v>46212</v>
      </c>
      <c r="C191" s="2">
        <v>8</v>
      </c>
      <c r="D191" s="272"/>
      <c r="E191" s="271"/>
      <c r="F191" s="260">
        <v>1</v>
      </c>
      <c r="G191" s="38" t="s">
        <v>194</v>
      </c>
      <c r="I191" s="38">
        <v>0</v>
      </c>
      <c r="AL191" t="str">
        <f>TRIM(MID(SUBSTITUTE($G191, ",", REPT(" ", 100)), (COLUMNS($AJ$2:AL191)-1)*100+1, 100))</f>
        <v/>
      </c>
      <c r="AM191" s="1">
        <v>45847</v>
      </c>
      <c r="AN191" s="2">
        <v>1</v>
      </c>
      <c r="AO191" s="2">
        <v>4</v>
      </c>
      <c r="AQ191" t="str">
        <f>TRIM(MID(SUBSTITUTE($G191, ",", REPT(" ", 100)), (COLUMNS($AJ$2:AQ191)-1)*100+1, 100))</f>
        <v/>
      </c>
      <c r="AR191" t="str">
        <f>TRIM(MID(SUBSTITUTE($G191, ",", REPT(" ", 100)), (COLUMNS($AJ$2:AR191)-1)*100+1, 100))</f>
        <v/>
      </c>
      <c r="AS191" t="str">
        <f>TRIM(MID(SUBSTITUTE($G191, ",", REPT(" ", 100)), (COLUMNS($AJ$2:AS191)-1)*100+1, 100))</f>
        <v/>
      </c>
      <c r="AT191" t="str">
        <f>TRIM(MID(SUBSTITUTE($G191, ",", REPT(" ", 100)), (COLUMNS($AJ$2:AT191)-1)*100+1, 100))</f>
        <v/>
      </c>
      <c r="AU191" t="str">
        <f>TRIM(MID(SUBSTITUTE($G191, ",", REPT(" ", 100)), (COLUMNS($AJ$2:AU191)-1)*100+1, 100))</f>
        <v/>
      </c>
      <c r="AV191" t="str">
        <f>TRIM(MID(SUBSTITUTE($G191, ",", REPT(" ", 100)), (COLUMNS($AJ$2:AV191)-1)*100+1, 100))</f>
        <v/>
      </c>
      <c r="AW191" t="str">
        <f>TRIM(MID(SUBSTITUTE($G191, ",", REPT(" ", 100)), (COLUMNS($AJ$2:AW191)-1)*100+1, 100))</f>
        <v/>
      </c>
      <c r="AX191" t="str">
        <f>TRIM(MID(SUBSTITUTE($G191, ",", REPT(" ", 100)), (COLUMNS($AJ$2:AX191)-1)*100+1, 100))</f>
        <v/>
      </c>
      <c r="AY191" t="str">
        <f>TRIM(MID(SUBSTITUTE($G191, ",", REPT(" ", 100)), (COLUMNS($AJ$2:AY191)-1)*100+1, 100))</f>
        <v/>
      </c>
      <c r="AZ191" t="str">
        <f>TRIM(MID(SUBSTITUTE($G191, ",", REPT(" ", 100)), (COLUMNS($AJ$2:AZ191)-1)*100+1, 100))</f>
        <v/>
      </c>
      <c r="BA191" t="str">
        <f>TRIM(MID(SUBSTITUTE($G191, ",", REPT(" ", 100)), (COLUMNS($AJ$2:BA191)-1)*100+1, 100))</f>
        <v/>
      </c>
      <c r="BB191" t="str">
        <f>TRIM(MID(SUBSTITUTE($G191, ",", REPT(" ", 100)), (COLUMNS($AJ$2:BB191)-1)*100+1, 100))</f>
        <v/>
      </c>
      <c r="BC191" t="str">
        <f>TRIM(MID(SUBSTITUTE($G191, ",", REPT(" ", 100)), (COLUMNS($AJ$2:BC191)-1)*100+1, 100))</f>
        <v/>
      </c>
      <c r="BH191">
        <f t="shared" si="4"/>
        <v>1</v>
      </c>
    </row>
    <row r="192" spans="1:60" x14ac:dyDescent="0.5">
      <c r="A192" s="32" t="s">
        <v>432</v>
      </c>
      <c r="B192" s="257">
        <v>46213</v>
      </c>
      <c r="C192" s="2">
        <v>7.5</v>
      </c>
      <c r="D192" s="272"/>
      <c r="E192" s="271"/>
      <c r="F192" s="260">
        <v>1</v>
      </c>
      <c r="G192" s="38" t="s">
        <v>194</v>
      </c>
      <c r="I192" s="38">
        <v>0</v>
      </c>
      <c r="AL192" t="str">
        <f>TRIM(MID(SUBSTITUTE($G192, ",", REPT(" ", 100)), (COLUMNS($AJ$2:AL192)-1)*100+1, 100))</f>
        <v/>
      </c>
      <c r="AM192" s="1">
        <v>45848</v>
      </c>
      <c r="AN192" s="2">
        <v>6.5</v>
      </c>
      <c r="AO192" s="2">
        <v>4</v>
      </c>
      <c r="AQ192" t="str">
        <f>TRIM(MID(SUBSTITUTE($G192, ",", REPT(" ", 100)), (COLUMNS($AJ$2:AQ192)-1)*100+1, 100))</f>
        <v/>
      </c>
      <c r="AR192" t="str">
        <f>TRIM(MID(SUBSTITUTE($G192, ",", REPT(" ", 100)), (COLUMNS($AJ$2:AR192)-1)*100+1, 100))</f>
        <v/>
      </c>
      <c r="AS192" t="str">
        <f>TRIM(MID(SUBSTITUTE($G192, ",", REPT(" ", 100)), (COLUMNS($AJ$2:AS192)-1)*100+1, 100))</f>
        <v/>
      </c>
      <c r="AT192" t="str">
        <f>TRIM(MID(SUBSTITUTE($G192, ",", REPT(" ", 100)), (COLUMNS($AJ$2:AT192)-1)*100+1, 100))</f>
        <v/>
      </c>
      <c r="AU192" t="str">
        <f>TRIM(MID(SUBSTITUTE($G192, ",", REPT(" ", 100)), (COLUMNS($AJ$2:AU192)-1)*100+1, 100))</f>
        <v/>
      </c>
      <c r="AV192" t="str">
        <f>TRIM(MID(SUBSTITUTE($G192, ",", REPT(" ", 100)), (COLUMNS($AJ$2:AV192)-1)*100+1, 100))</f>
        <v/>
      </c>
      <c r="AW192" t="str">
        <f>TRIM(MID(SUBSTITUTE($G192, ",", REPT(" ", 100)), (COLUMNS($AJ$2:AW192)-1)*100+1, 100))</f>
        <v/>
      </c>
      <c r="AX192" t="str">
        <f>TRIM(MID(SUBSTITUTE($G192, ",", REPT(" ", 100)), (COLUMNS($AJ$2:AX192)-1)*100+1, 100))</f>
        <v/>
      </c>
      <c r="AY192" t="str">
        <f>TRIM(MID(SUBSTITUTE($G192, ",", REPT(" ", 100)), (COLUMNS($AJ$2:AY192)-1)*100+1, 100))</f>
        <v/>
      </c>
      <c r="AZ192" t="str">
        <f>TRIM(MID(SUBSTITUTE($G192, ",", REPT(" ", 100)), (COLUMNS($AJ$2:AZ192)-1)*100+1, 100))</f>
        <v/>
      </c>
      <c r="BA192" t="str">
        <f>TRIM(MID(SUBSTITUTE($G192, ",", REPT(" ", 100)), (COLUMNS($AJ$2:BA192)-1)*100+1, 100))</f>
        <v/>
      </c>
      <c r="BB192" t="str">
        <f>TRIM(MID(SUBSTITUTE($G192, ",", REPT(" ", 100)), (COLUMNS($AJ$2:BB192)-1)*100+1, 100))</f>
        <v/>
      </c>
      <c r="BC192" t="str">
        <f>TRIM(MID(SUBSTITUTE($G192, ",", REPT(" ", 100)), (COLUMNS($AJ$2:BC192)-1)*100+1, 100))</f>
        <v/>
      </c>
      <c r="BH192">
        <f t="shared" si="4"/>
        <v>1</v>
      </c>
    </row>
    <row r="193" spans="1:60" ht="14.7" thickBot="1" x14ac:dyDescent="0.55000000000000004">
      <c r="A193" s="32" t="s">
        <v>433</v>
      </c>
      <c r="B193" s="258">
        <v>46214</v>
      </c>
      <c r="C193" s="2">
        <v>10</v>
      </c>
      <c r="D193" s="272"/>
      <c r="E193" s="271"/>
      <c r="F193" s="260">
        <v>1</v>
      </c>
      <c r="G193" s="38" t="s">
        <v>575</v>
      </c>
      <c r="H193" s="38" t="s">
        <v>579</v>
      </c>
      <c r="I193" s="38">
        <v>0</v>
      </c>
      <c r="AL193" t="str">
        <f>TRIM(MID(SUBSTITUTE($G193, ",", REPT(" ", 100)), (COLUMNS($AJ$2:AL193)-1)*100+1, 100))</f>
        <v/>
      </c>
      <c r="AM193" s="1">
        <v>45849</v>
      </c>
      <c r="AN193" s="2">
        <v>9.1999999999999993</v>
      </c>
      <c r="AO193" s="2">
        <v>6</v>
      </c>
      <c r="AQ193" t="str">
        <f>TRIM(MID(SUBSTITUTE($G193, ",", REPT(" ", 100)), (COLUMNS($AJ$2:AQ193)-1)*100+1, 100))</f>
        <v/>
      </c>
      <c r="AR193" t="str">
        <f>TRIM(MID(SUBSTITUTE($G193, ",", REPT(" ", 100)), (COLUMNS($AJ$2:AR193)-1)*100+1, 100))</f>
        <v/>
      </c>
      <c r="AS193" t="str">
        <f>TRIM(MID(SUBSTITUTE($G193, ",", REPT(" ", 100)), (COLUMNS($AJ$2:AS193)-1)*100+1, 100))</f>
        <v/>
      </c>
      <c r="AT193" t="str">
        <f>TRIM(MID(SUBSTITUTE($G193, ",", REPT(" ", 100)), (COLUMNS($AJ$2:AT193)-1)*100+1, 100))</f>
        <v/>
      </c>
      <c r="AU193" t="str">
        <f>TRIM(MID(SUBSTITUTE($G193, ",", REPT(" ", 100)), (COLUMNS($AJ$2:AU193)-1)*100+1, 100))</f>
        <v/>
      </c>
      <c r="AV193" t="str">
        <f>TRIM(MID(SUBSTITUTE($G193, ",", REPT(" ", 100)), (COLUMNS($AJ$2:AV193)-1)*100+1, 100))</f>
        <v/>
      </c>
      <c r="AW193" t="str">
        <f>TRIM(MID(SUBSTITUTE($G193, ",", REPT(" ", 100)), (COLUMNS($AJ$2:AW193)-1)*100+1, 100))</f>
        <v/>
      </c>
      <c r="AX193" t="str">
        <f>TRIM(MID(SUBSTITUTE($G193, ",", REPT(" ", 100)), (COLUMNS($AJ$2:AX193)-1)*100+1, 100))</f>
        <v/>
      </c>
      <c r="AY193" t="str">
        <f>TRIM(MID(SUBSTITUTE($G193, ",", REPT(" ", 100)), (COLUMNS($AJ$2:AY193)-1)*100+1, 100))</f>
        <v/>
      </c>
      <c r="AZ193" t="str">
        <f>TRIM(MID(SUBSTITUTE($G193, ",", REPT(" ", 100)), (COLUMNS($AJ$2:AZ193)-1)*100+1, 100))</f>
        <v/>
      </c>
      <c r="BA193" t="str">
        <f>TRIM(MID(SUBSTITUTE($G193, ",", REPT(" ", 100)), (COLUMNS($AJ$2:BA193)-1)*100+1, 100))</f>
        <v/>
      </c>
      <c r="BB193" t="str">
        <f>TRIM(MID(SUBSTITUTE($G193, ",", REPT(" ", 100)), (COLUMNS($AJ$2:BB193)-1)*100+1, 100))</f>
        <v/>
      </c>
      <c r="BC193" t="str">
        <f>TRIM(MID(SUBSTITUTE($G193, ",", REPT(" ", 100)), (COLUMNS($AJ$2:BC193)-1)*100+1, 100))</f>
        <v/>
      </c>
      <c r="BH193">
        <f t="shared" si="4"/>
        <v>0.5</v>
      </c>
    </row>
    <row r="194" spans="1:60" x14ac:dyDescent="0.5">
      <c r="A194" s="32" t="s">
        <v>434</v>
      </c>
      <c r="B194" s="257">
        <v>46215</v>
      </c>
      <c r="C194" s="2">
        <v>7.5</v>
      </c>
      <c r="D194" s="272"/>
      <c r="E194" s="271"/>
      <c r="F194" s="260">
        <v>0</v>
      </c>
      <c r="G194" s="38" t="s">
        <v>576</v>
      </c>
      <c r="I194" s="38">
        <v>0</v>
      </c>
      <c r="AL194" t="str">
        <f>TRIM(MID(SUBSTITUTE($G194, ",", REPT(" ", 100)), (COLUMNS($AJ$2:AL194)-1)*100+1, 100))</f>
        <v/>
      </c>
      <c r="AM194" s="1">
        <v>45850</v>
      </c>
      <c r="AN194" s="2">
        <v>4.5</v>
      </c>
      <c r="AO194" s="2">
        <v>4</v>
      </c>
      <c r="AQ194" t="str">
        <f>TRIM(MID(SUBSTITUTE($G194, ",", REPT(" ", 100)), (COLUMNS($AJ$2:AQ194)-1)*100+1, 100))</f>
        <v/>
      </c>
      <c r="AR194" t="str">
        <f>TRIM(MID(SUBSTITUTE($G194, ",", REPT(" ", 100)), (COLUMNS($AJ$2:AR194)-1)*100+1, 100))</f>
        <v/>
      </c>
      <c r="AS194" t="str">
        <f>TRIM(MID(SUBSTITUTE($G194, ",", REPT(" ", 100)), (COLUMNS($AJ$2:AS194)-1)*100+1, 100))</f>
        <v/>
      </c>
      <c r="AT194" t="str">
        <f>TRIM(MID(SUBSTITUTE($G194, ",", REPT(" ", 100)), (COLUMNS($AJ$2:AT194)-1)*100+1, 100))</f>
        <v/>
      </c>
      <c r="AU194" t="str">
        <f>TRIM(MID(SUBSTITUTE($G194, ",", REPT(" ", 100)), (COLUMNS($AJ$2:AU194)-1)*100+1, 100))</f>
        <v/>
      </c>
      <c r="AV194" t="str">
        <f>TRIM(MID(SUBSTITUTE($G194, ",", REPT(" ", 100)), (COLUMNS($AJ$2:AV194)-1)*100+1, 100))</f>
        <v/>
      </c>
      <c r="AW194" t="str">
        <f>TRIM(MID(SUBSTITUTE($G194, ",", REPT(" ", 100)), (COLUMNS($AJ$2:AW194)-1)*100+1, 100))</f>
        <v/>
      </c>
      <c r="AX194" t="str">
        <f>TRIM(MID(SUBSTITUTE($G194, ",", REPT(" ", 100)), (COLUMNS($AJ$2:AX194)-1)*100+1, 100))</f>
        <v/>
      </c>
      <c r="AY194" t="str">
        <f>TRIM(MID(SUBSTITUTE($G194, ",", REPT(" ", 100)), (COLUMNS($AJ$2:AY194)-1)*100+1, 100))</f>
        <v/>
      </c>
      <c r="AZ194" t="str">
        <f>TRIM(MID(SUBSTITUTE($G194, ",", REPT(" ", 100)), (COLUMNS($AJ$2:AZ194)-1)*100+1, 100))</f>
        <v/>
      </c>
      <c r="BA194" t="str">
        <f>TRIM(MID(SUBSTITUTE($G194, ",", REPT(" ", 100)), (COLUMNS($AJ$2:BA194)-1)*100+1, 100))</f>
        <v/>
      </c>
      <c r="BB194" t="str">
        <f>TRIM(MID(SUBSTITUTE($G194, ",", REPT(" ", 100)), (COLUMNS($AJ$2:BB194)-1)*100+1, 100))</f>
        <v/>
      </c>
      <c r="BC194" t="str">
        <f>TRIM(MID(SUBSTITUTE($G194, ",", REPT(" ", 100)), (COLUMNS($AJ$2:BC194)-1)*100+1, 100))</f>
        <v/>
      </c>
      <c r="BH194">
        <f t="shared" si="4"/>
        <v>0.5</v>
      </c>
    </row>
    <row r="195" spans="1:60" ht="14.7" thickBot="1" x14ac:dyDescent="0.55000000000000004">
      <c r="A195" s="32" t="s">
        <v>435</v>
      </c>
      <c r="B195" s="258">
        <v>46216</v>
      </c>
      <c r="C195" s="2">
        <v>5.5</v>
      </c>
      <c r="D195" s="272"/>
      <c r="E195" s="271"/>
      <c r="F195" s="260">
        <v>1</v>
      </c>
      <c r="G195" s="38" t="s">
        <v>194</v>
      </c>
      <c r="I195" s="38">
        <v>0</v>
      </c>
      <c r="AL195" t="str">
        <f>TRIM(MID(SUBSTITUTE($G195, ",", REPT(" ", 100)), (COLUMNS($AJ$2:AL195)-1)*100+1, 100))</f>
        <v/>
      </c>
      <c r="AM195" s="1">
        <v>45851</v>
      </c>
      <c r="AN195" s="2">
        <v>3</v>
      </c>
      <c r="AO195" s="2">
        <v>10</v>
      </c>
      <c r="AQ195" t="str">
        <f>TRIM(MID(SUBSTITUTE($G195, ",", REPT(" ", 100)), (COLUMNS($AJ$2:AQ195)-1)*100+1, 100))</f>
        <v/>
      </c>
      <c r="AR195" t="str">
        <f>TRIM(MID(SUBSTITUTE($G195, ",", REPT(" ", 100)), (COLUMNS($AJ$2:AR195)-1)*100+1, 100))</f>
        <v/>
      </c>
      <c r="AS195" t="str">
        <f>TRIM(MID(SUBSTITUTE($G195, ",", REPT(" ", 100)), (COLUMNS($AJ$2:AS195)-1)*100+1, 100))</f>
        <v/>
      </c>
      <c r="AT195" t="str">
        <f>TRIM(MID(SUBSTITUTE($G195, ",", REPT(" ", 100)), (COLUMNS($AJ$2:AT195)-1)*100+1, 100))</f>
        <v/>
      </c>
      <c r="AU195" t="str">
        <f>TRIM(MID(SUBSTITUTE($G195, ",", REPT(" ", 100)), (COLUMNS($AJ$2:AU195)-1)*100+1, 100))</f>
        <v/>
      </c>
      <c r="AV195" t="str">
        <f>TRIM(MID(SUBSTITUTE($G195, ",", REPT(" ", 100)), (COLUMNS($AJ$2:AV195)-1)*100+1, 100))</f>
        <v/>
      </c>
      <c r="AW195" t="str">
        <f>TRIM(MID(SUBSTITUTE($G195, ",", REPT(" ", 100)), (COLUMNS($AJ$2:AW195)-1)*100+1, 100))</f>
        <v/>
      </c>
      <c r="AX195" t="str">
        <f>TRIM(MID(SUBSTITUTE($G195, ",", REPT(" ", 100)), (COLUMNS($AJ$2:AX195)-1)*100+1, 100))</f>
        <v/>
      </c>
      <c r="AY195" t="str">
        <f>TRIM(MID(SUBSTITUTE($G195, ",", REPT(" ", 100)), (COLUMNS($AJ$2:AY195)-1)*100+1, 100))</f>
        <v/>
      </c>
      <c r="AZ195" t="str">
        <f>TRIM(MID(SUBSTITUTE($G195, ",", REPT(" ", 100)), (COLUMNS($AJ$2:AZ195)-1)*100+1, 100))</f>
        <v/>
      </c>
      <c r="BA195" t="str">
        <f>TRIM(MID(SUBSTITUTE($G195, ",", REPT(" ", 100)), (COLUMNS($AJ$2:BA195)-1)*100+1, 100))</f>
        <v/>
      </c>
      <c r="BB195" t="str">
        <f>TRIM(MID(SUBSTITUTE($G195, ",", REPT(" ", 100)), (COLUMNS($AJ$2:BB195)-1)*100+1, 100))</f>
        <v/>
      </c>
      <c r="BC195" t="str">
        <f>TRIM(MID(SUBSTITUTE($G195, ",", REPT(" ", 100)), (COLUMNS($AJ$2:BC195)-1)*100+1, 100))</f>
        <v/>
      </c>
      <c r="BH195">
        <f t="shared" ref="BH195:BH258" si="5">1/(LEN(G195)-LEN(SUBSTITUTE(G195,",",""))+1)</f>
        <v>1</v>
      </c>
    </row>
    <row r="196" spans="1:60" x14ac:dyDescent="0.5">
      <c r="A196" s="32" t="s">
        <v>436</v>
      </c>
      <c r="B196" s="257">
        <v>46217</v>
      </c>
      <c r="C196" s="2">
        <v>5</v>
      </c>
      <c r="D196" s="272"/>
      <c r="E196" s="271"/>
      <c r="F196" s="260">
        <v>1</v>
      </c>
      <c r="G196" s="38" t="s">
        <v>562</v>
      </c>
      <c r="I196" s="38">
        <v>0</v>
      </c>
      <c r="AL196" t="str">
        <f>TRIM(MID(SUBSTITUTE($G196, ",", REPT(" ", 100)), (COLUMNS($AJ$2:AL196)-1)*100+1, 100))</f>
        <v>Banglore</v>
      </c>
      <c r="AM196" s="1">
        <v>45852</v>
      </c>
      <c r="AN196" s="2">
        <v>7.5</v>
      </c>
      <c r="AO196" s="2">
        <v>6</v>
      </c>
      <c r="AQ196" t="str">
        <f>TRIM(MID(SUBSTITUTE($G196, ",", REPT(" ", 100)), (COLUMNS($AJ$2:AQ196)-1)*100+1, 100))</f>
        <v/>
      </c>
      <c r="AR196" t="str">
        <f>TRIM(MID(SUBSTITUTE($G196, ",", REPT(" ", 100)), (COLUMNS($AJ$2:AR196)-1)*100+1, 100))</f>
        <v/>
      </c>
      <c r="AS196" t="str">
        <f>TRIM(MID(SUBSTITUTE($G196, ",", REPT(" ", 100)), (COLUMNS($AJ$2:AS196)-1)*100+1, 100))</f>
        <v/>
      </c>
      <c r="AT196" t="str">
        <f>TRIM(MID(SUBSTITUTE($G196, ",", REPT(" ", 100)), (COLUMNS($AJ$2:AT196)-1)*100+1, 100))</f>
        <v/>
      </c>
      <c r="AU196" t="str">
        <f>TRIM(MID(SUBSTITUTE($G196, ",", REPT(" ", 100)), (COLUMNS($AJ$2:AU196)-1)*100+1, 100))</f>
        <v/>
      </c>
      <c r="AV196" t="str">
        <f>TRIM(MID(SUBSTITUTE($G196, ",", REPT(" ", 100)), (COLUMNS($AJ$2:AV196)-1)*100+1, 100))</f>
        <v/>
      </c>
      <c r="AW196" t="str">
        <f>TRIM(MID(SUBSTITUTE($G196, ",", REPT(" ", 100)), (COLUMNS($AJ$2:AW196)-1)*100+1, 100))</f>
        <v/>
      </c>
      <c r="AX196" t="str">
        <f>TRIM(MID(SUBSTITUTE($G196, ",", REPT(" ", 100)), (COLUMNS($AJ$2:AX196)-1)*100+1, 100))</f>
        <v/>
      </c>
      <c r="AY196" t="str">
        <f>TRIM(MID(SUBSTITUTE($G196, ",", REPT(" ", 100)), (COLUMNS($AJ$2:AY196)-1)*100+1, 100))</f>
        <v/>
      </c>
      <c r="AZ196" t="str">
        <f>TRIM(MID(SUBSTITUTE($G196, ",", REPT(" ", 100)), (COLUMNS($AJ$2:AZ196)-1)*100+1, 100))</f>
        <v/>
      </c>
      <c r="BA196" t="str">
        <f>TRIM(MID(SUBSTITUTE($G196, ",", REPT(" ", 100)), (COLUMNS($AJ$2:BA196)-1)*100+1, 100))</f>
        <v/>
      </c>
      <c r="BB196" t="str">
        <f>TRIM(MID(SUBSTITUTE($G196, ",", REPT(" ", 100)), (COLUMNS($AJ$2:BB196)-1)*100+1, 100))</f>
        <v/>
      </c>
      <c r="BC196" t="str">
        <f>TRIM(MID(SUBSTITUTE($G196, ",", REPT(" ", 100)), (COLUMNS($AJ$2:BC196)-1)*100+1, 100))</f>
        <v/>
      </c>
      <c r="BH196">
        <f t="shared" si="5"/>
        <v>0.33333333333333331</v>
      </c>
    </row>
    <row r="197" spans="1:60" ht="14.7" thickBot="1" x14ac:dyDescent="0.55000000000000004">
      <c r="A197" s="32" t="s">
        <v>437</v>
      </c>
      <c r="B197" s="258">
        <v>46218</v>
      </c>
      <c r="C197" s="2">
        <v>1</v>
      </c>
      <c r="D197" s="272"/>
      <c r="E197" s="271"/>
      <c r="F197" s="260">
        <v>0</v>
      </c>
      <c r="G197" s="38" t="s">
        <v>462</v>
      </c>
      <c r="H197" s="38" t="s">
        <v>580</v>
      </c>
      <c r="I197" s="38">
        <v>0</v>
      </c>
      <c r="AL197" t="str">
        <f>TRIM(MID(SUBSTITUTE($G197, ",", REPT(" ", 100)), (COLUMNS($AJ$2:AL197)-1)*100+1, 100))</f>
        <v/>
      </c>
      <c r="AM197" s="1">
        <v>45853</v>
      </c>
      <c r="AN197" s="2">
        <v>7</v>
      </c>
      <c r="AO197" s="2">
        <v>4</v>
      </c>
      <c r="AQ197" t="str">
        <f>TRIM(MID(SUBSTITUTE($G197, ",", REPT(" ", 100)), (COLUMNS($AJ$2:AQ197)-1)*100+1, 100))</f>
        <v/>
      </c>
      <c r="AR197" t="str">
        <f>TRIM(MID(SUBSTITUTE($G197, ",", REPT(" ", 100)), (COLUMNS($AJ$2:AR197)-1)*100+1, 100))</f>
        <v/>
      </c>
      <c r="AS197" t="str">
        <f>TRIM(MID(SUBSTITUTE($G197, ",", REPT(" ", 100)), (COLUMNS($AJ$2:AS197)-1)*100+1, 100))</f>
        <v/>
      </c>
      <c r="AT197" t="str">
        <f>TRIM(MID(SUBSTITUTE($G197, ",", REPT(" ", 100)), (COLUMNS($AJ$2:AT197)-1)*100+1, 100))</f>
        <v/>
      </c>
      <c r="AU197" t="str">
        <f>TRIM(MID(SUBSTITUTE($G197, ",", REPT(" ", 100)), (COLUMNS($AJ$2:AU197)-1)*100+1, 100))</f>
        <v/>
      </c>
      <c r="AV197" t="str">
        <f>TRIM(MID(SUBSTITUTE($G197, ",", REPT(" ", 100)), (COLUMNS($AJ$2:AV197)-1)*100+1, 100))</f>
        <v/>
      </c>
      <c r="AW197" t="str">
        <f>TRIM(MID(SUBSTITUTE($G197, ",", REPT(" ", 100)), (COLUMNS($AJ$2:AW197)-1)*100+1, 100))</f>
        <v/>
      </c>
      <c r="AX197" t="str">
        <f>TRIM(MID(SUBSTITUTE($G197, ",", REPT(" ", 100)), (COLUMNS($AJ$2:AX197)-1)*100+1, 100))</f>
        <v/>
      </c>
      <c r="AY197" t="str">
        <f>TRIM(MID(SUBSTITUTE($G197, ",", REPT(" ", 100)), (COLUMNS($AJ$2:AY197)-1)*100+1, 100))</f>
        <v/>
      </c>
      <c r="AZ197" t="str">
        <f>TRIM(MID(SUBSTITUTE($G197, ",", REPT(" ", 100)), (COLUMNS($AJ$2:AZ197)-1)*100+1, 100))</f>
        <v/>
      </c>
      <c r="BA197" t="str">
        <f>TRIM(MID(SUBSTITUTE($G197, ",", REPT(" ", 100)), (COLUMNS($AJ$2:BA197)-1)*100+1, 100))</f>
        <v/>
      </c>
      <c r="BB197" t="str">
        <f>TRIM(MID(SUBSTITUTE($G197, ",", REPT(" ", 100)), (COLUMNS($AJ$2:BB197)-1)*100+1, 100))</f>
        <v/>
      </c>
      <c r="BC197" t="str">
        <f>TRIM(MID(SUBSTITUTE($G197, ",", REPT(" ", 100)), (COLUMNS($AJ$2:BC197)-1)*100+1, 100))</f>
        <v/>
      </c>
      <c r="BH197">
        <f t="shared" si="5"/>
        <v>1</v>
      </c>
    </row>
    <row r="198" spans="1:60" x14ac:dyDescent="0.5">
      <c r="A198" s="32" t="s">
        <v>431</v>
      </c>
      <c r="B198" s="257">
        <v>46219</v>
      </c>
      <c r="C198" s="2">
        <v>5.5</v>
      </c>
      <c r="D198" s="272"/>
      <c r="E198" s="271"/>
      <c r="F198" s="260">
        <v>0</v>
      </c>
      <c r="G198" s="38" t="s">
        <v>462</v>
      </c>
      <c r="I198" s="38">
        <v>0.1</v>
      </c>
      <c r="AL198" t="str">
        <f>TRIM(MID(SUBSTITUTE($G198, ",", REPT(" ", 100)), (COLUMNS($AJ$2:AL198)-1)*100+1, 100))</f>
        <v/>
      </c>
      <c r="AM198" s="1">
        <v>45854</v>
      </c>
      <c r="AN198" s="2">
        <v>4.5</v>
      </c>
      <c r="AO198" s="2">
        <v>4</v>
      </c>
      <c r="AQ198" t="str">
        <f>TRIM(MID(SUBSTITUTE($G198, ",", REPT(" ", 100)), (COLUMNS($AJ$2:AQ198)-1)*100+1, 100))</f>
        <v/>
      </c>
      <c r="AR198" t="str">
        <f>TRIM(MID(SUBSTITUTE($G198, ",", REPT(" ", 100)), (COLUMNS($AJ$2:AR198)-1)*100+1, 100))</f>
        <v/>
      </c>
      <c r="AS198" t="str">
        <f>TRIM(MID(SUBSTITUTE($G198, ",", REPT(" ", 100)), (COLUMNS($AJ$2:AS198)-1)*100+1, 100))</f>
        <v/>
      </c>
      <c r="AT198" t="str">
        <f>TRIM(MID(SUBSTITUTE($G198, ",", REPT(" ", 100)), (COLUMNS($AJ$2:AT198)-1)*100+1, 100))</f>
        <v/>
      </c>
      <c r="AU198" t="str">
        <f>TRIM(MID(SUBSTITUTE($G198, ",", REPT(" ", 100)), (COLUMNS($AJ$2:AU198)-1)*100+1, 100))</f>
        <v/>
      </c>
      <c r="AV198" t="str">
        <f>TRIM(MID(SUBSTITUTE($G198, ",", REPT(" ", 100)), (COLUMNS($AJ$2:AV198)-1)*100+1, 100))</f>
        <v/>
      </c>
      <c r="AW198" t="str">
        <f>TRIM(MID(SUBSTITUTE($G198, ",", REPT(" ", 100)), (COLUMNS($AJ$2:AW198)-1)*100+1, 100))</f>
        <v/>
      </c>
      <c r="AX198" t="str">
        <f>TRIM(MID(SUBSTITUTE($G198, ",", REPT(" ", 100)), (COLUMNS($AJ$2:AX198)-1)*100+1, 100))</f>
        <v/>
      </c>
      <c r="AY198" t="str">
        <f>TRIM(MID(SUBSTITUTE($G198, ",", REPT(" ", 100)), (COLUMNS($AJ$2:AY198)-1)*100+1, 100))</f>
        <v/>
      </c>
      <c r="AZ198" t="str">
        <f>TRIM(MID(SUBSTITUTE($G198, ",", REPT(" ", 100)), (COLUMNS($AJ$2:AZ198)-1)*100+1, 100))</f>
        <v/>
      </c>
      <c r="BA198" t="str">
        <f>TRIM(MID(SUBSTITUTE($G198, ",", REPT(" ", 100)), (COLUMNS($AJ$2:BA198)-1)*100+1, 100))</f>
        <v/>
      </c>
      <c r="BB198" t="str">
        <f>TRIM(MID(SUBSTITUTE($G198, ",", REPT(" ", 100)), (COLUMNS($AJ$2:BB198)-1)*100+1, 100))</f>
        <v/>
      </c>
      <c r="BC198" t="str">
        <f>TRIM(MID(SUBSTITUTE($G198, ",", REPT(" ", 100)), (COLUMNS($AJ$2:BC198)-1)*100+1, 100))</f>
        <v/>
      </c>
      <c r="BH198">
        <f t="shared" si="5"/>
        <v>1</v>
      </c>
    </row>
    <row r="199" spans="1:60" ht="14.7" thickBot="1" x14ac:dyDescent="0.55000000000000004">
      <c r="A199" s="32" t="s">
        <v>432</v>
      </c>
      <c r="B199" s="258">
        <v>46220</v>
      </c>
      <c r="C199" s="2">
        <v>6</v>
      </c>
      <c r="D199" s="272"/>
      <c r="E199" s="271"/>
      <c r="F199" s="260">
        <v>0</v>
      </c>
      <c r="G199" s="38" t="s">
        <v>462</v>
      </c>
      <c r="I199" s="38">
        <v>0</v>
      </c>
      <c r="AL199" t="str">
        <f>TRIM(MID(SUBSTITUTE($G199, ",", REPT(" ", 100)), (COLUMNS($AJ$2:AL199)-1)*100+1, 100))</f>
        <v/>
      </c>
      <c r="AM199" s="1">
        <v>45855</v>
      </c>
      <c r="AN199" s="2">
        <v>4.5</v>
      </c>
      <c r="AO199" s="2">
        <v>6</v>
      </c>
      <c r="AQ199" t="str">
        <f>TRIM(MID(SUBSTITUTE($G199, ",", REPT(" ", 100)), (COLUMNS($AJ$2:AQ199)-1)*100+1, 100))</f>
        <v/>
      </c>
      <c r="AR199" t="str">
        <f>TRIM(MID(SUBSTITUTE($G199, ",", REPT(" ", 100)), (COLUMNS($AJ$2:AR199)-1)*100+1, 100))</f>
        <v/>
      </c>
      <c r="AS199" t="str">
        <f>TRIM(MID(SUBSTITUTE($G199, ",", REPT(" ", 100)), (COLUMNS($AJ$2:AS199)-1)*100+1, 100))</f>
        <v/>
      </c>
      <c r="AT199" t="str">
        <f>TRIM(MID(SUBSTITUTE($G199, ",", REPT(" ", 100)), (COLUMNS($AJ$2:AT199)-1)*100+1, 100))</f>
        <v/>
      </c>
      <c r="AU199" t="str">
        <f>TRIM(MID(SUBSTITUTE($G199, ",", REPT(" ", 100)), (COLUMNS($AJ$2:AU199)-1)*100+1, 100))</f>
        <v/>
      </c>
      <c r="AV199" t="str">
        <f>TRIM(MID(SUBSTITUTE($G199, ",", REPT(" ", 100)), (COLUMNS($AJ$2:AV199)-1)*100+1, 100))</f>
        <v/>
      </c>
      <c r="AW199" t="str">
        <f>TRIM(MID(SUBSTITUTE($G199, ",", REPT(" ", 100)), (COLUMNS($AJ$2:AW199)-1)*100+1, 100))</f>
        <v/>
      </c>
      <c r="AX199" t="str">
        <f>TRIM(MID(SUBSTITUTE($G199, ",", REPT(" ", 100)), (COLUMNS($AJ$2:AX199)-1)*100+1, 100))</f>
        <v/>
      </c>
      <c r="AY199" t="str">
        <f>TRIM(MID(SUBSTITUTE($G199, ",", REPT(" ", 100)), (COLUMNS($AJ$2:AY199)-1)*100+1, 100))</f>
        <v/>
      </c>
      <c r="AZ199" t="str">
        <f>TRIM(MID(SUBSTITUTE($G199, ",", REPT(" ", 100)), (COLUMNS($AJ$2:AZ199)-1)*100+1, 100))</f>
        <v/>
      </c>
      <c r="BA199" t="str">
        <f>TRIM(MID(SUBSTITUTE($G199, ",", REPT(" ", 100)), (COLUMNS($AJ$2:BA199)-1)*100+1, 100))</f>
        <v/>
      </c>
      <c r="BB199" t="str">
        <f>TRIM(MID(SUBSTITUTE($G199, ",", REPT(" ", 100)), (COLUMNS($AJ$2:BB199)-1)*100+1, 100))</f>
        <v/>
      </c>
      <c r="BC199" t="str">
        <f>TRIM(MID(SUBSTITUTE($G199, ",", REPT(" ", 100)), (COLUMNS($AJ$2:BC199)-1)*100+1, 100))</f>
        <v/>
      </c>
      <c r="BH199">
        <f t="shared" si="5"/>
        <v>1</v>
      </c>
    </row>
    <row r="200" spans="1:60" x14ac:dyDescent="0.5">
      <c r="A200" s="32" t="s">
        <v>433</v>
      </c>
      <c r="B200" s="257">
        <v>46221</v>
      </c>
      <c r="C200" s="2">
        <v>5.3</v>
      </c>
      <c r="D200" s="272"/>
      <c r="E200" s="271"/>
      <c r="F200" s="260">
        <v>1</v>
      </c>
      <c r="G200" s="38" t="s">
        <v>462</v>
      </c>
      <c r="I200" s="38">
        <v>0</v>
      </c>
      <c r="AL200" t="str">
        <f>TRIM(MID(SUBSTITUTE($G200, ",", REPT(" ", 100)), (COLUMNS($AJ$2:AL200)-1)*100+1, 100))</f>
        <v/>
      </c>
      <c r="AM200" s="1">
        <v>45856</v>
      </c>
      <c r="AN200" s="2">
        <v>4.5</v>
      </c>
      <c r="AO200" s="2">
        <v>4</v>
      </c>
      <c r="AQ200" t="str">
        <f>TRIM(MID(SUBSTITUTE($G200, ",", REPT(" ", 100)), (COLUMNS($AJ$2:AQ200)-1)*100+1, 100))</f>
        <v/>
      </c>
      <c r="AR200" t="str">
        <f>TRIM(MID(SUBSTITUTE($G200, ",", REPT(" ", 100)), (COLUMNS($AJ$2:AR200)-1)*100+1, 100))</f>
        <v/>
      </c>
      <c r="AS200" t="str">
        <f>TRIM(MID(SUBSTITUTE($G200, ",", REPT(" ", 100)), (COLUMNS($AJ$2:AS200)-1)*100+1, 100))</f>
        <v/>
      </c>
      <c r="AT200" t="str">
        <f>TRIM(MID(SUBSTITUTE($G200, ",", REPT(" ", 100)), (COLUMNS($AJ$2:AT200)-1)*100+1, 100))</f>
        <v/>
      </c>
      <c r="AU200" t="str">
        <f>TRIM(MID(SUBSTITUTE($G200, ",", REPT(" ", 100)), (COLUMNS($AJ$2:AU200)-1)*100+1, 100))</f>
        <v/>
      </c>
      <c r="AV200" t="str">
        <f>TRIM(MID(SUBSTITUTE($G200, ",", REPT(" ", 100)), (COLUMNS($AJ$2:AV200)-1)*100+1, 100))</f>
        <v/>
      </c>
      <c r="AW200" t="str">
        <f>TRIM(MID(SUBSTITUTE($G200, ",", REPT(" ", 100)), (COLUMNS($AJ$2:AW200)-1)*100+1, 100))</f>
        <v/>
      </c>
      <c r="AX200" t="str">
        <f>TRIM(MID(SUBSTITUTE($G200, ",", REPT(" ", 100)), (COLUMNS($AJ$2:AX200)-1)*100+1, 100))</f>
        <v/>
      </c>
      <c r="AY200" t="str">
        <f>TRIM(MID(SUBSTITUTE($G200, ",", REPT(" ", 100)), (COLUMNS($AJ$2:AY200)-1)*100+1, 100))</f>
        <v/>
      </c>
      <c r="AZ200" t="str">
        <f>TRIM(MID(SUBSTITUTE($G200, ",", REPT(" ", 100)), (COLUMNS($AJ$2:AZ200)-1)*100+1, 100))</f>
        <v/>
      </c>
      <c r="BA200" t="str">
        <f>TRIM(MID(SUBSTITUTE($G200, ",", REPT(" ", 100)), (COLUMNS($AJ$2:BA200)-1)*100+1, 100))</f>
        <v/>
      </c>
      <c r="BB200" t="str">
        <f>TRIM(MID(SUBSTITUTE($G200, ",", REPT(" ", 100)), (COLUMNS($AJ$2:BB200)-1)*100+1, 100))</f>
        <v/>
      </c>
      <c r="BC200" t="str">
        <f>TRIM(MID(SUBSTITUTE($G200, ",", REPT(" ", 100)), (COLUMNS($AJ$2:BC200)-1)*100+1, 100))</f>
        <v/>
      </c>
      <c r="BH200">
        <f t="shared" si="5"/>
        <v>1</v>
      </c>
    </row>
    <row r="201" spans="1:60" ht="14.7" thickBot="1" x14ac:dyDescent="0.55000000000000004">
      <c r="A201" s="32" t="s">
        <v>434</v>
      </c>
      <c r="B201" s="258">
        <v>46222</v>
      </c>
      <c r="C201" s="2">
        <v>5.8</v>
      </c>
      <c r="D201" s="272"/>
      <c r="E201" s="271"/>
      <c r="F201" s="260">
        <v>1</v>
      </c>
      <c r="G201" s="38" t="s">
        <v>462</v>
      </c>
      <c r="I201" s="38">
        <v>0</v>
      </c>
      <c r="AL201" t="str">
        <f>TRIM(MID(SUBSTITUTE($G201, ",", REPT(" ", 100)), (COLUMNS($AJ$2:AL201)-1)*100+1, 100))</f>
        <v/>
      </c>
      <c r="AM201" s="1">
        <v>45857</v>
      </c>
      <c r="AN201" s="2">
        <v>6</v>
      </c>
      <c r="AO201" s="2">
        <v>2</v>
      </c>
      <c r="AQ201" t="str">
        <f>TRIM(MID(SUBSTITUTE($G201, ",", REPT(" ", 100)), (COLUMNS($AJ$2:AQ201)-1)*100+1, 100))</f>
        <v/>
      </c>
      <c r="AR201" t="str">
        <f>TRIM(MID(SUBSTITUTE($G201, ",", REPT(" ", 100)), (COLUMNS($AJ$2:AR201)-1)*100+1, 100))</f>
        <v/>
      </c>
      <c r="AS201" t="str">
        <f>TRIM(MID(SUBSTITUTE($G201, ",", REPT(" ", 100)), (COLUMNS($AJ$2:AS201)-1)*100+1, 100))</f>
        <v/>
      </c>
      <c r="AT201" t="str">
        <f>TRIM(MID(SUBSTITUTE($G201, ",", REPT(" ", 100)), (COLUMNS($AJ$2:AT201)-1)*100+1, 100))</f>
        <v/>
      </c>
      <c r="AU201" t="str">
        <f>TRIM(MID(SUBSTITUTE($G201, ",", REPT(" ", 100)), (COLUMNS($AJ$2:AU201)-1)*100+1, 100))</f>
        <v/>
      </c>
      <c r="AV201" t="str">
        <f>TRIM(MID(SUBSTITUTE($G201, ",", REPT(" ", 100)), (COLUMNS($AJ$2:AV201)-1)*100+1, 100))</f>
        <v/>
      </c>
      <c r="AW201" t="str">
        <f>TRIM(MID(SUBSTITUTE($G201, ",", REPT(" ", 100)), (COLUMNS($AJ$2:AW201)-1)*100+1, 100))</f>
        <v/>
      </c>
      <c r="AX201" t="str">
        <f>TRIM(MID(SUBSTITUTE($G201, ",", REPT(" ", 100)), (COLUMNS($AJ$2:AX201)-1)*100+1, 100))</f>
        <v/>
      </c>
      <c r="AY201" t="str">
        <f>TRIM(MID(SUBSTITUTE($G201, ",", REPT(" ", 100)), (COLUMNS($AJ$2:AY201)-1)*100+1, 100))</f>
        <v/>
      </c>
      <c r="AZ201" t="str">
        <f>TRIM(MID(SUBSTITUTE($G201, ",", REPT(" ", 100)), (COLUMNS($AJ$2:AZ201)-1)*100+1, 100))</f>
        <v/>
      </c>
      <c r="BA201" t="str">
        <f>TRIM(MID(SUBSTITUTE($G201, ",", REPT(" ", 100)), (COLUMNS($AJ$2:BA201)-1)*100+1, 100))</f>
        <v/>
      </c>
      <c r="BB201" t="str">
        <f>TRIM(MID(SUBSTITUTE($G201, ",", REPT(" ", 100)), (COLUMNS($AJ$2:BB201)-1)*100+1, 100))</f>
        <v/>
      </c>
      <c r="BC201" t="str">
        <f>TRIM(MID(SUBSTITUTE($G201, ",", REPT(" ", 100)), (COLUMNS($AJ$2:BC201)-1)*100+1, 100))</f>
        <v/>
      </c>
      <c r="BH201">
        <f t="shared" si="5"/>
        <v>1</v>
      </c>
    </row>
    <row r="202" spans="1:60" x14ac:dyDescent="0.5">
      <c r="A202" s="32" t="s">
        <v>435</v>
      </c>
      <c r="B202" s="257">
        <v>46223</v>
      </c>
      <c r="C202" s="2">
        <v>5.3</v>
      </c>
      <c r="D202" s="272"/>
      <c r="E202" s="271"/>
      <c r="F202" s="260">
        <v>0</v>
      </c>
      <c r="G202" s="38" t="s">
        <v>462</v>
      </c>
      <c r="I202" s="38">
        <v>0</v>
      </c>
      <c r="AL202" t="str">
        <f>TRIM(MID(SUBSTITUTE($G202, ",", REPT(" ", 100)), (COLUMNS($AJ$2:AL202)-1)*100+1, 100))</f>
        <v/>
      </c>
      <c r="AM202" s="1">
        <v>45858</v>
      </c>
      <c r="AN202" s="2">
        <v>6</v>
      </c>
      <c r="AO202" s="2">
        <v>8</v>
      </c>
      <c r="AQ202" t="str">
        <f>TRIM(MID(SUBSTITUTE($G202, ",", REPT(" ", 100)), (COLUMNS($AJ$2:AQ202)-1)*100+1, 100))</f>
        <v/>
      </c>
      <c r="AR202" t="str">
        <f>TRIM(MID(SUBSTITUTE($G202, ",", REPT(" ", 100)), (COLUMNS($AJ$2:AR202)-1)*100+1, 100))</f>
        <v/>
      </c>
      <c r="AS202" t="str">
        <f>TRIM(MID(SUBSTITUTE($G202, ",", REPT(" ", 100)), (COLUMNS($AJ$2:AS202)-1)*100+1, 100))</f>
        <v/>
      </c>
      <c r="AT202" t="str">
        <f>TRIM(MID(SUBSTITUTE($G202, ",", REPT(" ", 100)), (COLUMNS($AJ$2:AT202)-1)*100+1, 100))</f>
        <v/>
      </c>
      <c r="AU202" t="str">
        <f>TRIM(MID(SUBSTITUTE($G202, ",", REPT(" ", 100)), (COLUMNS($AJ$2:AU202)-1)*100+1, 100))</f>
        <v/>
      </c>
      <c r="AV202" t="str">
        <f>TRIM(MID(SUBSTITUTE($G202, ",", REPT(" ", 100)), (COLUMNS($AJ$2:AV202)-1)*100+1, 100))</f>
        <v/>
      </c>
      <c r="AW202" t="str">
        <f>TRIM(MID(SUBSTITUTE($G202, ",", REPT(" ", 100)), (COLUMNS($AJ$2:AW202)-1)*100+1, 100))</f>
        <v/>
      </c>
      <c r="AX202" t="str">
        <f>TRIM(MID(SUBSTITUTE($G202, ",", REPT(" ", 100)), (COLUMNS($AJ$2:AX202)-1)*100+1, 100))</f>
        <v/>
      </c>
      <c r="AY202" t="str">
        <f>TRIM(MID(SUBSTITUTE($G202, ",", REPT(" ", 100)), (COLUMNS($AJ$2:AY202)-1)*100+1, 100))</f>
        <v/>
      </c>
      <c r="AZ202" t="str">
        <f>TRIM(MID(SUBSTITUTE($G202, ",", REPT(" ", 100)), (COLUMNS($AJ$2:AZ202)-1)*100+1, 100))</f>
        <v/>
      </c>
      <c r="BA202" t="str">
        <f>TRIM(MID(SUBSTITUTE($G202, ",", REPT(" ", 100)), (COLUMNS($AJ$2:BA202)-1)*100+1, 100))</f>
        <v/>
      </c>
      <c r="BB202" t="str">
        <f>TRIM(MID(SUBSTITUTE($G202, ",", REPT(" ", 100)), (COLUMNS($AJ$2:BB202)-1)*100+1, 100))</f>
        <v/>
      </c>
      <c r="BC202" t="str">
        <f>TRIM(MID(SUBSTITUTE($G202, ",", REPT(" ", 100)), (COLUMNS($AJ$2:BC202)-1)*100+1, 100))</f>
        <v/>
      </c>
      <c r="BH202">
        <f t="shared" si="5"/>
        <v>1</v>
      </c>
    </row>
    <row r="203" spans="1:60" ht="14.7" thickBot="1" x14ac:dyDescent="0.55000000000000004">
      <c r="A203" s="32" t="s">
        <v>436</v>
      </c>
      <c r="B203" s="258">
        <v>46224</v>
      </c>
      <c r="C203" s="2">
        <v>5.4</v>
      </c>
      <c r="D203" s="272"/>
      <c r="E203" s="271"/>
      <c r="F203" s="260">
        <v>1</v>
      </c>
      <c r="G203" s="38" t="s">
        <v>462</v>
      </c>
      <c r="I203" s="38">
        <v>0</v>
      </c>
      <c r="AL203" t="str">
        <f>TRIM(MID(SUBSTITUTE($G203, ",", REPT(" ", 100)), (COLUMNS($AJ$2:AL203)-1)*100+1, 100))</f>
        <v/>
      </c>
      <c r="AM203" s="1">
        <v>45859</v>
      </c>
      <c r="AN203" s="2">
        <v>4</v>
      </c>
      <c r="AO203" s="2">
        <v>6</v>
      </c>
      <c r="AQ203" t="str">
        <f>TRIM(MID(SUBSTITUTE($G203, ",", REPT(" ", 100)), (COLUMNS($AJ$2:AQ203)-1)*100+1, 100))</f>
        <v/>
      </c>
      <c r="AR203" t="str">
        <f>TRIM(MID(SUBSTITUTE($G203, ",", REPT(" ", 100)), (COLUMNS($AJ$2:AR203)-1)*100+1, 100))</f>
        <v/>
      </c>
      <c r="AS203" t="str">
        <f>TRIM(MID(SUBSTITUTE($G203, ",", REPT(" ", 100)), (COLUMNS($AJ$2:AS203)-1)*100+1, 100))</f>
        <v/>
      </c>
      <c r="AT203" t="str">
        <f>TRIM(MID(SUBSTITUTE($G203, ",", REPT(" ", 100)), (COLUMNS($AJ$2:AT203)-1)*100+1, 100))</f>
        <v/>
      </c>
      <c r="AU203" t="str">
        <f>TRIM(MID(SUBSTITUTE($G203, ",", REPT(" ", 100)), (COLUMNS($AJ$2:AU203)-1)*100+1, 100))</f>
        <v/>
      </c>
      <c r="AV203" t="str">
        <f>TRIM(MID(SUBSTITUTE($G203, ",", REPT(" ", 100)), (COLUMNS($AJ$2:AV203)-1)*100+1, 100))</f>
        <v/>
      </c>
      <c r="AW203" t="str">
        <f>TRIM(MID(SUBSTITUTE($G203, ",", REPT(" ", 100)), (COLUMNS($AJ$2:AW203)-1)*100+1, 100))</f>
        <v/>
      </c>
      <c r="AX203" t="str">
        <f>TRIM(MID(SUBSTITUTE($G203, ",", REPT(" ", 100)), (COLUMNS($AJ$2:AX203)-1)*100+1, 100))</f>
        <v/>
      </c>
      <c r="AY203" t="str">
        <f>TRIM(MID(SUBSTITUTE($G203, ",", REPT(" ", 100)), (COLUMNS($AJ$2:AY203)-1)*100+1, 100))</f>
        <v/>
      </c>
      <c r="AZ203" t="str">
        <f>TRIM(MID(SUBSTITUTE($G203, ",", REPT(" ", 100)), (COLUMNS($AJ$2:AZ203)-1)*100+1, 100))</f>
        <v/>
      </c>
      <c r="BA203" t="str">
        <f>TRIM(MID(SUBSTITUTE($G203, ",", REPT(" ", 100)), (COLUMNS($AJ$2:BA203)-1)*100+1, 100))</f>
        <v/>
      </c>
      <c r="BB203" t="str">
        <f>TRIM(MID(SUBSTITUTE($G203, ",", REPT(" ", 100)), (COLUMNS($AJ$2:BB203)-1)*100+1, 100))</f>
        <v/>
      </c>
      <c r="BC203" t="str">
        <f>TRIM(MID(SUBSTITUTE($G203, ",", REPT(" ", 100)), (COLUMNS($AJ$2:BC203)-1)*100+1, 100))</f>
        <v/>
      </c>
      <c r="BH203">
        <f t="shared" si="5"/>
        <v>1</v>
      </c>
    </row>
    <row r="204" spans="1:60" x14ac:dyDescent="0.5">
      <c r="A204" s="32" t="s">
        <v>437</v>
      </c>
      <c r="B204" s="257">
        <v>46225</v>
      </c>
      <c r="C204" s="2">
        <v>5.2</v>
      </c>
      <c r="D204" s="272"/>
      <c r="E204" s="271"/>
      <c r="F204" s="260">
        <v>1</v>
      </c>
      <c r="G204" s="38" t="s">
        <v>462</v>
      </c>
      <c r="I204" s="38">
        <v>0</v>
      </c>
      <c r="AL204" t="str">
        <f>TRIM(MID(SUBSTITUTE($G204, ",", REPT(" ", 100)), (COLUMNS($AJ$2:AL204)-1)*100+1, 100))</f>
        <v/>
      </c>
      <c r="AM204" s="1">
        <v>45860</v>
      </c>
      <c r="AN204" s="2">
        <v>3.5</v>
      </c>
      <c r="AO204" s="2">
        <v>4</v>
      </c>
      <c r="AQ204" t="str">
        <f>TRIM(MID(SUBSTITUTE($G204, ",", REPT(" ", 100)), (COLUMNS($AJ$2:AQ204)-1)*100+1, 100))</f>
        <v/>
      </c>
      <c r="AR204" t="str">
        <f>TRIM(MID(SUBSTITUTE($G204, ",", REPT(" ", 100)), (COLUMNS($AJ$2:AR204)-1)*100+1, 100))</f>
        <v/>
      </c>
      <c r="AS204" t="str">
        <f>TRIM(MID(SUBSTITUTE($G204, ",", REPT(" ", 100)), (COLUMNS($AJ$2:AS204)-1)*100+1, 100))</f>
        <v/>
      </c>
      <c r="AT204" t="str">
        <f>TRIM(MID(SUBSTITUTE($G204, ",", REPT(" ", 100)), (COLUMNS($AJ$2:AT204)-1)*100+1, 100))</f>
        <v/>
      </c>
      <c r="AU204" t="str">
        <f>TRIM(MID(SUBSTITUTE($G204, ",", REPT(" ", 100)), (COLUMNS($AJ$2:AU204)-1)*100+1, 100))</f>
        <v/>
      </c>
      <c r="AV204" t="str">
        <f>TRIM(MID(SUBSTITUTE($G204, ",", REPT(" ", 100)), (COLUMNS($AJ$2:AV204)-1)*100+1, 100))</f>
        <v/>
      </c>
      <c r="AW204" t="str">
        <f>TRIM(MID(SUBSTITUTE($G204, ",", REPT(" ", 100)), (COLUMNS($AJ$2:AW204)-1)*100+1, 100))</f>
        <v/>
      </c>
      <c r="AX204" t="str">
        <f>TRIM(MID(SUBSTITUTE($G204, ",", REPT(" ", 100)), (COLUMNS($AJ$2:AX204)-1)*100+1, 100))</f>
        <v/>
      </c>
      <c r="AY204" t="str">
        <f>TRIM(MID(SUBSTITUTE($G204, ",", REPT(" ", 100)), (COLUMNS($AJ$2:AY204)-1)*100+1, 100))</f>
        <v/>
      </c>
      <c r="AZ204" t="str">
        <f>TRIM(MID(SUBSTITUTE($G204, ",", REPT(" ", 100)), (COLUMNS($AJ$2:AZ204)-1)*100+1, 100))</f>
        <v/>
      </c>
      <c r="BA204" t="str">
        <f>TRIM(MID(SUBSTITUTE($G204, ",", REPT(" ", 100)), (COLUMNS($AJ$2:BA204)-1)*100+1, 100))</f>
        <v/>
      </c>
      <c r="BB204" t="str">
        <f>TRIM(MID(SUBSTITUTE($G204, ",", REPT(" ", 100)), (COLUMNS($AJ$2:BB204)-1)*100+1, 100))</f>
        <v/>
      </c>
      <c r="BC204" t="str">
        <f>TRIM(MID(SUBSTITUTE($G204, ",", REPT(" ", 100)), (COLUMNS($AJ$2:BC204)-1)*100+1, 100))</f>
        <v/>
      </c>
      <c r="BH204">
        <f t="shared" si="5"/>
        <v>1</v>
      </c>
    </row>
    <row r="205" spans="1:60" ht="14.7" thickBot="1" x14ac:dyDescent="0.55000000000000004">
      <c r="A205" s="32" t="s">
        <v>431</v>
      </c>
      <c r="B205" s="258">
        <v>46226</v>
      </c>
      <c r="C205" s="2">
        <v>5.3</v>
      </c>
      <c r="D205" s="272"/>
      <c r="E205" s="271"/>
      <c r="F205" s="260">
        <v>0</v>
      </c>
      <c r="G205" s="38" t="s">
        <v>462</v>
      </c>
      <c r="I205" s="38">
        <v>0</v>
      </c>
      <c r="AL205" t="str">
        <f>TRIM(MID(SUBSTITUTE($G205, ",", REPT(" ", 100)), (COLUMNS($AJ$2:AL205)-1)*100+1, 100))</f>
        <v/>
      </c>
      <c r="AM205" s="1">
        <v>45861</v>
      </c>
      <c r="AN205" s="2">
        <v>4</v>
      </c>
      <c r="AO205" s="2">
        <v>4</v>
      </c>
      <c r="AQ205" t="str">
        <f>TRIM(MID(SUBSTITUTE($G205, ",", REPT(" ", 100)), (COLUMNS($AJ$2:AQ205)-1)*100+1, 100))</f>
        <v/>
      </c>
      <c r="AR205" t="str">
        <f>TRIM(MID(SUBSTITUTE($G205, ",", REPT(" ", 100)), (COLUMNS($AJ$2:AR205)-1)*100+1, 100))</f>
        <v/>
      </c>
      <c r="AS205" t="str">
        <f>TRIM(MID(SUBSTITUTE($G205, ",", REPT(" ", 100)), (COLUMNS($AJ$2:AS205)-1)*100+1, 100))</f>
        <v/>
      </c>
      <c r="AT205" t="str">
        <f>TRIM(MID(SUBSTITUTE($G205, ",", REPT(" ", 100)), (COLUMNS($AJ$2:AT205)-1)*100+1, 100))</f>
        <v/>
      </c>
      <c r="AU205" t="str">
        <f>TRIM(MID(SUBSTITUTE($G205, ",", REPT(" ", 100)), (COLUMNS($AJ$2:AU205)-1)*100+1, 100))</f>
        <v/>
      </c>
      <c r="AV205" t="str">
        <f>TRIM(MID(SUBSTITUTE($G205, ",", REPT(" ", 100)), (COLUMNS($AJ$2:AV205)-1)*100+1, 100))</f>
        <v/>
      </c>
      <c r="AW205" t="str">
        <f>TRIM(MID(SUBSTITUTE($G205, ",", REPT(" ", 100)), (COLUMNS($AJ$2:AW205)-1)*100+1, 100))</f>
        <v/>
      </c>
      <c r="AX205" t="str">
        <f>TRIM(MID(SUBSTITUTE($G205, ",", REPT(" ", 100)), (COLUMNS($AJ$2:AX205)-1)*100+1, 100))</f>
        <v/>
      </c>
      <c r="AY205" t="str">
        <f>TRIM(MID(SUBSTITUTE($G205, ",", REPT(" ", 100)), (COLUMNS($AJ$2:AY205)-1)*100+1, 100))</f>
        <v/>
      </c>
      <c r="AZ205" t="str">
        <f>TRIM(MID(SUBSTITUTE($G205, ",", REPT(" ", 100)), (COLUMNS($AJ$2:AZ205)-1)*100+1, 100))</f>
        <v/>
      </c>
      <c r="BA205" t="str">
        <f>TRIM(MID(SUBSTITUTE($G205, ",", REPT(" ", 100)), (COLUMNS($AJ$2:BA205)-1)*100+1, 100))</f>
        <v/>
      </c>
      <c r="BB205" t="str">
        <f>TRIM(MID(SUBSTITUTE($G205, ",", REPT(" ", 100)), (COLUMNS($AJ$2:BB205)-1)*100+1, 100))</f>
        <v/>
      </c>
      <c r="BC205" t="str">
        <f>TRIM(MID(SUBSTITUTE($G205, ",", REPT(" ", 100)), (COLUMNS($AJ$2:BC205)-1)*100+1, 100))</f>
        <v/>
      </c>
      <c r="BH205">
        <f t="shared" si="5"/>
        <v>1</v>
      </c>
    </row>
    <row r="206" spans="1:60" x14ac:dyDescent="0.5">
      <c r="A206" s="32" t="s">
        <v>432</v>
      </c>
      <c r="B206" s="257">
        <v>46227</v>
      </c>
      <c r="C206" s="2">
        <v>5.5</v>
      </c>
      <c r="D206" s="272"/>
      <c r="E206" s="271"/>
      <c r="F206" s="260">
        <v>1</v>
      </c>
      <c r="G206" s="38" t="s">
        <v>462</v>
      </c>
      <c r="I206" s="38">
        <v>0</v>
      </c>
      <c r="AL206" t="str">
        <f>TRIM(MID(SUBSTITUTE($G206, ",", REPT(" ", 100)), (COLUMNS($AJ$2:AL206)-1)*100+1, 100))</f>
        <v/>
      </c>
      <c r="AM206" s="1">
        <v>45862</v>
      </c>
      <c r="AN206" s="2">
        <v>4.5</v>
      </c>
      <c r="AO206" s="2">
        <v>2</v>
      </c>
      <c r="AQ206" t="str">
        <f>TRIM(MID(SUBSTITUTE($G206, ",", REPT(" ", 100)), (COLUMNS($AJ$2:AQ206)-1)*100+1, 100))</f>
        <v/>
      </c>
      <c r="AR206" t="str">
        <f>TRIM(MID(SUBSTITUTE($G206, ",", REPT(" ", 100)), (COLUMNS($AJ$2:AR206)-1)*100+1, 100))</f>
        <v/>
      </c>
      <c r="AS206" t="str">
        <f>TRIM(MID(SUBSTITUTE($G206, ",", REPT(" ", 100)), (COLUMNS($AJ$2:AS206)-1)*100+1, 100))</f>
        <v/>
      </c>
      <c r="AT206" t="str">
        <f>TRIM(MID(SUBSTITUTE($G206, ",", REPT(" ", 100)), (COLUMNS($AJ$2:AT206)-1)*100+1, 100))</f>
        <v/>
      </c>
      <c r="AU206" t="str">
        <f>TRIM(MID(SUBSTITUTE($G206, ",", REPT(" ", 100)), (COLUMNS($AJ$2:AU206)-1)*100+1, 100))</f>
        <v/>
      </c>
      <c r="AV206" t="str">
        <f>TRIM(MID(SUBSTITUTE($G206, ",", REPT(" ", 100)), (COLUMNS($AJ$2:AV206)-1)*100+1, 100))</f>
        <v/>
      </c>
      <c r="AW206" t="str">
        <f>TRIM(MID(SUBSTITUTE($G206, ",", REPT(" ", 100)), (COLUMNS($AJ$2:AW206)-1)*100+1, 100))</f>
        <v/>
      </c>
      <c r="AX206" t="str">
        <f>TRIM(MID(SUBSTITUTE($G206, ",", REPT(" ", 100)), (COLUMNS($AJ$2:AX206)-1)*100+1, 100))</f>
        <v/>
      </c>
      <c r="AY206" t="str">
        <f>TRIM(MID(SUBSTITUTE($G206, ",", REPT(" ", 100)), (COLUMNS($AJ$2:AY206)-1)*100+1, 100))</f>
        <v/>
      </c>
      <c r="AZ206" t="str">
        <f>TRIM(MID(SUBSTITUTE($G206, ",", REPT(" ", 100)), (COLUMNS($AJ$2:AZ206)-1)*100+1, 100))</f>
        <v/>
      </c>
      <c r="BA206" t="str">
        <f>TRIM(MID(SUBSTITUTE($G206, ",", REPT(" ", 100)), (COLUMNS($AJ$2:BA206)-1)*100+1, 100))</f>
        <v/>
      </c>
      <c r="BB206" t="str">
        <f>TRIM(MID(SUBSTITUTE($G206, ",", REPT(" ", 100)), (COLUMNS($AJ$2:BB206)-1)*100+1, 100))</f>
        <v/>
      </c>
      <c r="BC206" t="str">
        <f>TRIM(MID(SUBSTITUTE($G206, ",", REPT(" ", 100)), (COLUMNS($AJ$2:BC206)-1)*100+1, 100))</f>
        <v/>
      </c>
      <c r="BH206">
        <f t="shared" si="5"/>
        <v>1</v>
      </c>
    </row>
    <row r="207" spans="1:60" ht="14.7" thickBot="1" x14ac:dyDescent="0.55000000000000004">
      <c r="A207" s="32" t="s">
        <v>433</v>
      </c>
      <c r="B207" s="258">
        <v>46228</v>
      </c>
      <c r="C207" s="2">
        <v>5.7</v>
      </c>
      <c r="D207" s="272"/>
      <c r="E207" s="271"/>
      <c r="F207" s="260">
        <v>0</v>
      </c>
      <c r="G207" s="38" t="s">
        <v>462</v>
      </c>
      <c r="I207" s="38">
        <v>0</v>
      </c>
      <c r="AL207" t="str">
        <f>TRIM(MID(SUBSTITUTE($G207, ",", REPT(" ", 100)), (COLUMNS($AJ$2:AL207)-1)*100+1, 100))</f>
        <v/>
      </c>
      <c r="AM207" s="1">
        <v>45863</v>
      </c>
      <c r="AN207" s="2">
        <v>4.5999999999999996</v>
      </c>
      <c r="AO207" s="2">
        <v>4</v>
      </c>
      <c r="AQ207" t="str">
        <f>TRIM(MID(SUBSTITUTE($G207, ",", REPT(" ", 100)), (COLUMNS($AJ$2:AQ207)-1)*100+1, 100))</f>
        <v/>
      </c>
      <c r="AR207" t="str">
        <f>TRIM(MID(SUBSTITUTE($G207, ",", REPT(" ", 100)), (COLUMNS($AJ$2:AR207)-1)*100+1, 100))</f>
        <v/>
      </c>
      <c r="AS207" t="str">
        <f>TRIM(MID(SUBSTITUTE($G207, ",", REPT(" ", 100)), (COLUMNS($AJ$2:AS207)-1)*100+1, 100))</f>
        <v/>
      </c>
      <c r="AT207" t="str">
        <f>TRIM(MID(SUBSTITUTE($G207, ",", REPT(" ", 100)), (COLUMNS($AJ$2:AT207)-1)*100+1, 100))</f>
        <v/>
      </c>
      <c r="AU207" t="str">
        <f>TRIM(MID(SUBSTITUTE($G207, ",", REPT(" ", 100)), (COLUMNS($AJ$2:AU207)-1)*100+1, 100))</f>
        <v/>
      </c>
      <c r="AV207" t="str">
        <f>TRIM(MID(SUBSTITUTE($G207, ",", REPT(" ", 100)), (COLUMNS($AJ$2:AV207)-1)*100+1, 100))</f>
        <v/>
      </c>
      <c r="AW207" t="str">
        <f>TRIM(MID(SUBSTITUTE($G207, ",", REPT(" ", 100)), (COLUMNS($AJ$2:AW207)-1)*100+1, 100))</f>
        <v/>
      </c>
      <c r="AX207" t="str">
        <f>TRIM(MID(SUBSTITUTE($G207, ",", REPT(" ", 100)), (COLUMNS($AJ$2:AX207)-1)*100+1, 100))</f>
        <v/>
      </c>
      <c r="AY207" t="str">
        <f>TRIM(MID(SUBSTITUTE($G207, ",", REPT(" ", 100)), (COLUMNS($AJ$2:AY207)-1)*100+1, 100))</f>
        <v/>
      </c>
      <c r="AZ207" t="str">
        <f>TRIM(MID(SUBSTITUTE($G207, ",", REPT(" ", 100)), (COLUMNS($AJ$2:AZ207)-1)*100+1, 100))</f>
        <v/>
      </c>
      <c r="BA207" t="str">
        <f>TRIM(MID(SUBSTITUTE($G207, ",", REPT(" ", 100)), (COLUMNS($AJ$2:BA207)-1)*100+1, 100))</f>
        <v/>
      </c>
      <c r="BB207" t="str">
        <f>TRIM(MID(SUBSTITUTE($G207, ",", REPT(" ", 100)), (COLUMNS($AJ$2:BB207)-1)*100+1, 100))</f>
        <v/>
      </c>
      <c r="BC207" t="str">
        <f>TRIM(MID(SUBSTITUTE($G207, ",", REPT(" ", 100)), (COLUMNS($AJ$2:BC207)-1)*100+1, 100))</f>
        <v/>
      </c>
      <c r="BH207">
        <f t="shared" si="5"/>
        <v>1</v>
      </c>
    </row>
    <row r="208" spans="1:60" x14ac:dyDescent="0.5">
      <c r="A208" s="32" t="s">
        <v>434</v>
      </c>
      <c r="B208" s="257">
        <v>46229</v>
      </c>
      <c r="C208" s="2">
        <v>5.6</v>
      </c>
      <c r="D208" s="272"/>
      <c r="E208" s="271"/>
      <c r="F208" s="260">
        <v>0</v>
      </c>
      <c r="G208" s="38" t="s">
        <v>462</v>
      </c>
      <c r="I208" s="38">
        <v>0</v>
      </c>
      <c r="AL208" t="str">
        <f>TRIM(MID(SUBSTITUTE($G208, ",", REPT(" ", 100)), (COLUMNS($AJ$2:AL208)-1)*100+1, 100))</f>
        <v/>
      </c>
      <c r="AM208" s="1">
        <v>45864</v>
      </c>
      <c r="AN208" s="2">
        <v>8</v>
      </c>
      <c r="AO208" s="2">
        <v>4</v>
      </c>
      <c r="AQ208" t="str">
        <f>TRIM(MID(SUBSTITUTE($G208, ",", REPT(" ", 100)), (COLUMNS($AJ$2:AQ208)-1)*100+1, 100))</f>
        <v/>
      </c>
      <c r="AR208" t="str">
        <f>TRIM(MID(SUBSTITUTE($G208, ",", REPT(" ", 100)), (COLUMNS($AJ$2:AR208)-1)*100+1, 100))</f>
        <v/>
      </c>
      <c r="AS208" t="str">
        <f>TRIM(MID(SUBSTITUTE($G208, ",", REPT(" ", 100)), (COLUMNS($AJ$2:AS208)-1)*100+1, 100))</f>
        <v/>
      </c>
      <c r="AT208" t="str">
        <f>TRIM(MID(SUBSTITUTE($G208, ",", REPT(" ", 100)), (COLUMNS($AJ$2:AT208)-1)*100+1, 100))</f>
        <v/>
      </c>
      <c r="AU208" t="str">
        <f>TRIM(MID(SUBSTITUTE($G208, ",", REPT(" ", 100)), (COLUMNS($AJ$2:AU208)-1)*100+1, 100))</f>
        <v/>
      </c>
      <c r="AV208" t="str">
        <f>TRIM(MID(SUBSTITUTE($G208, ",", REPT(" ", 100)), (COLUMNS($AJ$2:AV208)-1)*100+1, 100))</f>
        <v/>
      </c>
      <c r="AW208" t="str">
        <f>TRIM(MID(SUBSTITUTE($G208, ",", REPT(" ", 100)), (COLUMNS($AJ$2:AW208)-1)*100+1, 100))</f>
        <v/>
      </c>
      <c r="AX208" t="str">
        <f>TRIM(MID(SUBSTITUTE($G208, ",", REPT(" ", 100)), (COLUMNS($AJ$2:AX208)-1)*100+1, 100))</f>
        <v/>
      </c>
      <c r="AY208" t="str">
        <f>TRIM(MID(SUBSTITUTE($G208, ",", REPT(" ", 100)), (COLUMNS($AJ$2:AY208)-1)*100+1, 100))</f>
        <v/>
      </c>
      <c r="AZ208" t="str">
        <f>TRIM(MID(SUBSTITUTE($G208, ",", REPT(" ", 100)), (COLUMNS($AJ$2:AZ208)-1)*100+1, 100))</f>
        <v/>
      </c>
      <c r="BA208" t="str">
        <f>TRIM(MID(SUBSTITUTE($G208, ",", REPT(" ", 100)), (COLUMNS($AJ$2:BA208)-1)*100+1, 100))</f>
        <v/>
      </c>
      <c r="BB208" t="str">
        <f>TRIM(MID(SUBSTITUTE($G208, ",", REPT(" ", 100)), (COLUMNS($AJ$2:BB208)-1)*100+1, 100))</f>
        <v/>
      </c>
      <c r="BC208" t="str">
        <f>TRIM(MID(SUBSTITUTE($G208, ",", REPT(" ", 100)), (COLUMNS($AJ$2:BC208)-1)*100+1, 100))</f>
        <v/>
      </c>
      <c r="BH208">
        <f t="shared" si="5"/>
        <v>1</v>
      </c>
    </row>
    <row r="209" spans="1:60" ht="14.7" thickBot="1" x14ac:dyDescent="0.55000000000000004">
      <c r="A209" s="32" t="s">
        <v>435</v>
      </c>
      <c r="B209" s="258">
        <v>46230</v>
      </c>
      <c r="C209" s="2">
        <v>5.3</v>
      </c>
      <c r="D209" s="272"/>
      <c r="E209" s="271"/>
      <c r="F209" s="260">
        <v>0</v>
      </c>
      <c r="G209" s="38" t="s">
        <v>462</v>
      </c>
      <c r="I209" s="38">
        <v>0</v>
      </c>
      <c r="AL209" t="str">
        <f>TRIM(MID(SUBSTITUTE($G209, ",", REPT(" ", 100)), (COLUMNS($AJ$2:AL209)-1)*100+1, 100))</f>
        <v/>
      </c>
      <c r="AM209" s="1">
        <v>45865</v>
      </c>
      <c r="AN209" s="2">
        <v>7.5</v>
      </c>
      <c r="AO209" s="2">
        <v>6</v>
      </c>
      <c r="AQ209" t="str">
        <f>TRIM(MID(SUBSTITUTE($G209, ",", REPT(" ", 100)), (COLUMNS($AJ$2:AQ209)-1)*100+1, 100))</f>
        <v/>
      </c>
      <c r="AR209" t="str">
        <f>TRIM(MID(SUBSTITUTE($G209, ",", REPT(" ", 100)), (COLUMNS($AJ$2:AR209)-1)*100+1, 100))</f>
        <v/>
      </c>
      <c r="AS209" t="str">
        <f>TRIM(MID(SUBSTITUTE($G209, ",", REPT(" ", 100)), (COLUMNS($AJ$2:AS209)-1)*100+1, 100))</f>
        <v/>
      </c>
      <c r="AT209" t="str">
        <f>TRIM(MID(SUBSTITUTE($G209, ",", REPT(" ", 100)), (COLUMNS($AJ$2:AT209)-1)*100+1, 100))</f>
        <v/>
      </c>
      <c r="AU209" t="str">
        <f>TRIM(MID(SUBSTITUTE($G209, ",", REPT(" ", 100)), (COLUMNS($AJ$2:AU209)-1)*100+1, 100))</f>
        <v/>
      </c>
      <c r="AV209" t="str">
        <f>TRIM(MID(SUBSTITUTE($G209, ",", REPT(" ", 100)), (COLUMNS($AJ$2:AV209)-1)*100+1, 100))</f>
        <v/>
      </c>
      <c r="AW209" t="str">
        <f>TRIM(MID(SUBSTITUTE($G209, ",", REPT(" ", 100)), (COLUMNS($AJ$2:AW209)-1)*100+1, 100))</f>
        <v/>
      </c>
      <c r="AX209" t="str">
        <f>TRIM(MID(SUBSTITUTE($G209, ",", REPT(" ", 100)), (COLUMNS($AJ$2:AX209)-1)*100+1, 100))</f>
        <v/>
      </c>
      <c r="AY209" t="str">
        <f>TRIM(MID(SUBSTITUTE($G209, ",", REPT(" ", 100)), (COLUMNS($AJ$2:AY209)-1)*100+1, 100))</f>
        <v/>
      </c>
      <c r="AZ209" t="str">
        <f>TRIM(MID(SUBSTITUTE($G209, ",", REPT(" ", 100)), (COLUMNS($AJ$2:AZ209)-1)*100+1, 100))</f>
        <v/>
      </c>
      <c r="BA209" t="str">
        <f>TRIM(MID(SUBSTITUTE($G209, ",", REPT(" ", 100)), (COLUMNS($AJ$2:BA209)-1)*100+1, 100))</f>
        <v/>
      </c>
      <c r="BB209" t="str">
        <f>TRIM(MID(SUBSTITUTE($G209, ",", REPT(" ", 100)), (COLUMNS($AJ$2:BB209)-1)*100+1, 100))</f>
        <v/>
      </c>
      <c r="BC209" t="str">
        <f>TRIM(MID(SUBSTITUTE($G209, ",", REPT(" ", 100)), (COLUMNS($AJ$2:BC209)-1)*100+1, 100))</f>
        <v/>
      </c>
      <c r="BH209">
        <f t="shared" si="5"/>
        <v>1</v>
      </c>
    </row>
    <row r="210" spans="1:60" x14ac:dyDescent="0.5">
      <c r="A210" s="32" t="s">
        <v>436</v>
      </c>
      <c r="B210" s="257">
        <v>46231</v>
      </c>
      <c r="C210" s="2">
        <v>6.5</v>
      </c>
      <c r="D210" s="272"/>
      <c r="E210" s="271"/>
      <c r="F210" s="260">
        <v>1</v>
      </c>
      <c r="G210" s="38" t="s">
        <v>462</v>
      </c>
      <c r="I210" s="38">
        <v>0</v>
      </c>
      <c r="AL210" t="str">
        <f>TRIM(MID(SUBSTITUTE($G210, ",", REPT(" ", 100)), (COLUMNS($AJ$2:AL210)-1)*100+1, 100))</f>
        <v/>
      </c>
      <c r="AM210" s="1">
        <v>45866</v>
      </c>
      <c r="AN210" s="2">
        <v>4.5</v>
      </c>
      <c r="AO210" s="2">
        <v>6</v>
      </c>
      <c r="AQ210" t="str">
        <f>TRIM(MID(SUBSTITUTE($G210, ",", REPT(" ", 100)), (COLUMNS($AJ$2:AQ210)-1)*100+1, 100))</f>
        <v/>
      </c>
      <c r="AR210" t="str">
        <f>TRIM(MID(SUBSTITUTE($G210, ",", REPT(" ", 100)), (COLUMNS($AJ$2:AR210)-1)*100+1, 100))</f>
        <v/>
      </c>
      <c r="AS210" t="str">
        <f>TRIM(MID(SUBSTITUTE($G210, ",", REPT(" ", 100)), (COLUMNS($AJ$2:AS210)-1)*100+1, 100))</f>
        <v/>
      </c>
      <c r="AT210" t="str">
        <f>TRIM(MID(SUBSTITUTE($G210, ",", REPT(" ", 100)), (COLUMNS($AJ$2:AT210)-1)*100+1, 100))</f>
        <v/>
      </c>
      <c r="AU210" t="str">
        <f>TRIM(MID(SUBSTITUTE($G210, ",", REPT(" ", 100)), (COLUMNS($AJ$2:AU210)-1)*100+1, 100))</f>
        <v/>
      </c>
      <c r="AV210" t="str">
        <f>TRIM(MID(SUBSTITUTE($G210, ",", REPT(" ", 100)), (COLUMNS($AJ$2:AV210)-1)*100+1, 100))</f>
        <v/>
      </c>
      <c r="AW210" t="str">
        <f>TRIM(MID(SUBSTITUTE($G210, ",", REPT(" ", 100)), (COLUMNS($AJ$2:AW210)-1)*100+1, 100))</f>
        <v/>
      </c>
      <c r="AX210" t="str">
        <f>TRIM(MID(SUBSTITUTE($G210, ",", REPT(" ", 100)), (COLUMNS($AJ$2:AX210)-1)*100+1, 100))</f>
        <v/>
      </c>
      <c r="AY210" t="str">
        <f>TRIM(MID(SUBSTITUTE($G210, ",", REPT(" ", 100)), (COLUMNS($AJ$2:AY210)-1)*100+1, 100))</f>
        <v/>
      </c>
      <c r="AZ210" t="str">
        <f>TRIM(MID(SUBSTITUTE($G210, ",", REPT(" ", 100)), (COLUMNS($AJ$2:AZ210)-1)*100+1, 100))</f>
        <v/>
      </c>
      <c r="BA210" t="str">
        <f>TRIM(MID(SUBSTITUTE($G210, ",", REPT(" ", 100)), (COLUMNS($AJ$2:BA210)-1)*100+1, 100))</f>
        <v/>
      </c>
      <c r="BB210" t="str">
        <f>TRIM(MID(SUBSTITUTE($G210, ",", REPT(" ", 100)), (COLUMNS($AJ$2:BB210)-1)*100+1, 100))</f>
        <v/>
      </c>
      <c r="BC210" t="str">
        <f>TRIM(MID(SUBSTITUTE($G210, ",", REPT(" ", 100)), (COLUMNS($AJ$2:BC210)-1)*100+1, 100))</f>
        <v/>
      </c>
      <c r="BH210">
        <f t="shared" si="5"/>
        <v>1</v>
      </c>
    </row>
    <row r="211" spans="1:60" ht="14.7" thickBot="1" x14ac:dyDescent="0.55000000000000004">
      <c r="A211" s="32" t="s">
        <v>437</v>
      </c>
      <c r="B211" s="258">
        <v>46232</v>
      </c>
      <c r="C211" s="2">
        <v>5.6</v>
      </c>
      <c r="D211" s="272"/>
      <c r="E211" s="271"/>
      <c r="F211" s="260">
        <v>1</v>
      </c>
      <c r="G211" s="38" t="s">
        <v>462</v>
      </c>
      <c r="I211" s="38">
        <v>0</v>
      </c>
      <c r="AL211" t="str">
        <f>TRIM(MID(SUBSTITUTE($G211, ",", REPT(" ", 100)), (COLUMNS($AJ$2:AL211)-1)*100+1, 100))</f>
        <v/>
      </c>
      <c r="AM211" s="1">
        <v>45867</v>
      </c>
      <c r="AN211" s="2">
        <v>5</v>
      </c>
      <c r="AO211" s="2">
        <v>6</v>
      </c>
      <c r="AQ211" t="str">
        <f>TRIM(MID(SUBSTITUTE($G211, ",", REPT(" ", 100)), (COLUMNS($AJ$2:AQ211)-1)*100+1, 100))</f>
        <v/>
      </c>
      <c r="AR211" t="str">
        <f>TRIM(MID(SUBSTITUTE($G211, ",", REPT(" ", 100)), (COLUMNS($AJ$2:AR211)-1)*100+1, 100))</f>
        <v/>
      </c>
      <c r="AS211" t="str">
        <f>TRIM(MID(SUBSTITUTE($G211, ",", REPT(" ", 100)), (COLUMNS($AJ$2:AS211)-1)*100+1, 100))</f>
        <v/>
      </c>
      <c r="AT211" t="str">
        <f>TRIM(MID(SUBSTITUTE($G211, ",", REPT(" ", 100)), (COLUMNS($AJ$2:AT211)-1)*100+1, 100))</f>
        <v/>
      </c>
      <c r="AU211" t="str">
        <f>TRIM(MID(SUBSTITUTE($G211, ",", REPT(" ", 100)), (COLUMNS($AJ$2:AU211)-1)*100+1, 100))</f>
        <v/>
      </c>
      <c r="AV211" t="str">
        <f>TRIM(MID(SUBSTITUTE($G211, ",", REPT(" ", 100)), (COLUMNS($AJ$2:AV211)-1)*100+1, 100))</f>
        <v/>
      </c>
      <c r="AW211" t="str">
        <f>TRIM(MID(SUBSTITUTE($G211, ",", REPT(" ", 100)), (COLUMNS($AJ$2:AW211)-1)*100+1, 100))</f>
        <v/>
      </c>
      <c r="AX211" t="str">
        <f>TRIM(MID(SUBSTITUTE($G211, ",", REPT(" ", 100)), (COLUMNS($AJ$2:AX211)-1)*100+1, 100))</f>
        <v/>
      </c>
      <c r="AY211" t="str">
        <f>TRIM(MID(SUBSTITUTE($G211, ",", REPT(" ", 100)), (COLUMNS($AJ$2:AY211)-1)*100+1, 100))</f>
        <v/>
      </c>
      <c r="AZ211" t="str">
        <f>TRIM(MID(SUBSTITUTE($G211, ",", REPT(" ", 100)), (COLUMNS($AJ$2:AZ211)-1)*100+1, 100))</f>
        <v/>
      </c>
      <c r="BA211" t="str">
        <f>TRIM(MID(SUBSTITUTE($G211, ",", REPT(" ", 100)), (COLUMNS($AJ$2:BA211)-1)*100+1, 100))</f>
        <v/>
      </c>
      <c r="BB211" t="str">
        <f>TRIM(MID(SUBSTITUTE($G211, ",", REPT(" ", 100)), (COLUMNS($AJ$2:BB211)-1)*100+1, 100))</f>
        <v/>
      </c>
      <c r="BC211" t="str">
        <f>TRIM(MID(SUBSTITUTE($G211, ",", REPT(" ", 100)), (COLUMNS($AJ$2:BC211)-1)*100+1, 100))</f>
        <v/>
      </c>
      <c r="BH211">
        <f t="shared" si="5"/>
        <v>1</v>
      </c>
    </row>
    <row r="212" spans="1:60" x14ac:dyDescent="0.5">
      <c r="A212" s="32" t="s">
        <v>431</v>
      </c>
      <c r="B212" s="257">
        <v>46233</v>
      </c>
      <c r="C212" s="2">
        <v>10</v>
      </c>
      <c r="D212" s="272"/>
      <c r="E212" s="271"/>
      <c r="F212" s="260">
        <v>1</v>
      </c>
      <c r="G212" s="38" t="s">
        <v>462</v>
      </c>
      <c r="H212" s="38" t="s">
        <v>586</v>
      </c>
      <c r="I212" s="38">
        <v>0</v>
      </c>
      <c r="AL212" t="str">
        <f>TRIM(MID(SUBSTITUTE($G212, ",", REPT(" ", 100)), (COLUMNS($AJ$2:AL212)-1)*100+1, 100))</f>
        <v/>
      </c>
      <c r="AM212" s="1">
        <v>45868</v>
      </c>
      <c r="AN212" s="2">
        <v>3.5</v>
      </c>
      <c r="AO212" s="2">
        <v>6</v>
      </c>
      <c r="AQ212" t="str">
        <f>TRIM(MID(SUBSTITUTE($G212, ",", REPT(" ", 100)), (COLUMNS($AJ$2:AQ212)-1)*100+1, 100))</f>
        <v/>
      </c>
      <c r="AR212" t="str">
        <f>TRIM(MID(SUBSTITUTE($G212, ",", REPT(" ", 100)), (COLUMNS($AJ$2:AR212)-1)*100+1, 100))</f>
        <v/>
      </c>
      <c r="AS212" t="str">
        <f>TRIM(MID(SUBSTITUTE($G212, ",", REPT(" ", 100)), (COLUMNS($AJ$2:AS212)-1)*100+1, 100))</f>
        <v/>
      </c>
      <c r="AT212" t="str">
        <f>TRIM(MID(SUBSTITUTE($G212, ",", REPT(" ", 100)), (COLUMNS($AJ$2:AT212)-1)*100+1, 100))</f>
        <v/>
      </c>
      <c r="AU212" t="str">
        <f>TRIM(MID(SUBSTITUTE($G212, ",", REPT(" ", 100)), (COLUMNS($AJ$2:AU212)-1)*100+1, 100))</f>
        <v/>
      </c>
      <c r="AV212" t="str">
        <f>TRIM(MID(SUBSTITUTE($G212, ",", REPT(" ", 100)), (COLUMNS($AJ$2:AV212)-1)*100+1, 100))</f>
        <v/>
      </c>
      <c r="AW212" t="str">
        <f>TRIM(MID(SUBSTITUTE($G212, ",", REPT(" ", 100)), (COLUMNS($AJ$2:AW212)-1)*100+1, 100))</f>
        <v/>
      </c>
      <c r="AX212" t="str">
        <f>TRIM(MID(SUBSTITUTE($G212, ",", REPT(" ", 100)), (COLUMNS($AJ$2:AX212)-1)*100+1, 100))</f>
        <v/>
      </c>
      <c r="AY212" t="str">
        <f>TRIM(MID(SUBSTITUTE($G212, ",", REPT(" ", 100)), (COLUMNS($AJ$2:AY212)-1)*100+1, 100))</f>
        <v/>
      </c>
      <c r="AZ212" t="str">
        <f>TRIM(MID(SUBSTITUTE($G212, ",", REPT(" ", 100)), (COLUMNS($AJ$2:AZ212)-1)*100+1, 100))</f>
        <v/>
      </c>
      <c r="BA212" t="str">
        <f>TRIM(MID(SUBSTITUTE($G212, ",", REPT(" ", 100)), (COLUMNS($AJ$2:BA212)-1)*100+1, 100))</f>
        <v/>
      </c>
      <c r="BB212" t="str">
        <f>TRIM(MID(SUBSTITUTE($G212, ",", REPT(" ", 100)), (COLUMNS($AJ$2:BB212)-1)*100+1, 100))</f>
        <v/>
      </c>
      <c r="BC212" t="str">
        <f>TRIM(MID(SUBSTITUTE($G212, ",", REPT(" ", 100)), (COLUMNS($AJ$2:BC212)-1)*100+1, 100))</f>
        <v/>
      </c>
      <c r="BH212">
        <f t="shared" si="5"/>
        <v>1</v>
      </c>
    </row>
    <row r="213" spans="1:60" ht="14.7" thickBot="1" x14ac:dyDescent="0.55000000000000004">
      <c r="A213" s="32" t="s">
        <v>432</v>
      </c>
      <c r="B213" s="258">
        <v>46234</v>
      </c>
      <c r="C213" s="2">
        <v>5.2</v>
      </c>
      <c r="D213" s="272"/>
      <c r="E213" s="271"/>
      <c r="F213" s="260">
        <v>0</v>
      </c>
      <c r="G213" s="38" t="s">
        <v>462</v>
      </c>
      <c r="I213" s="38">
        <v>0</v>
      </c>
      <c r="AL213" t="str">
        <f>TRIM(MID(SUBSTITUTE($G213, ",", REPT(" ", 100)), (COLUMNS($AJ$2:AL213)-1)*100+1, 100))</f>
        <v/>
      </c>
      <c r="AM213" s="1">
        <v>45869</v>
      </c>
      <c r="AN213" s="2">
        <v>10</v>
      </c>
      <c r="AO213" s="2">
        <v>6</v>
      </c>
      <c r="AQ213" t="str">
        <f>TRIM(MID(SUBSTITUTE($G213, ",", REPT(" ", 100)), (COLUMNS($AJ$2:AQ213)-1)*100+1, 100))</f>
        <v/>
      </c>
      <c r="AR213" t="str">
        <f>TRIM(MID(SUBSTITUTE($G213, ",", REPT(" ", 100)), (COLUMNS($AJ$2:AR213)-1)*100+1, 100))</f>
        <v/>
      </c>
      <c r="AS213" t="str">
        <f>TRIM(MID(SUBSTITUTE($G213, ",", REPT(" ", 100)), (COLUMNS($AJ$2:AS213)-1)*100+1, 100))</f>
        <v/>
      </c>
      <c r="AT213" t="str">
        <f>TRIM(MID(SUBSTITUTE($G213, ",", REPT(" ", 100)), (COLUMNS($AJ$2:AT213)-1)*100+1, 100))</f>
        <v/>
      </c>
      <c r="AU213" t="str">
        <f>TRIM(MID(SUBSTITUTE($G213, ",", REPT(" ", 100)), (COLUMNS($AJ$2:AU213)-1)*100+1, 100))</f>
        <v/>
      </c>
      <c r="AV213" t="str">
        <f>TRIM(MID(SUBSTITUTE($G213, ",", REPT(" ", 100)), (COLUMNS($AJ$2:AV213)-1)*100+1, 100))</f>
        <v/>
      </c>
      <c r="AW213" t="str">
        <f>TRIM(MID(SUBSTITUTE($G213, ",", REPT(" ", 100)), (COLUMNS($AJ$2:AW213)-1)*100+1, 100))</f>
        <v/>
      </c>
      <c r="AX213" t="str">
        <f>TRIM(MID(SUBSTITUTE($G213, ",", REPT(" ", 100)), (COLUMNS($AJ$2:AX213)-1)*100+1, 100))</f>
        <v/>
      </c>
      <c r="AY213" t="str">
        <f>TRIM(MID(SUBSTITUTE($G213, ",", REPT(" ", 100)), (COLUMNS($AJ$2:AY213)-1)*100+1, 100))</f>
        <v/>
      </c>
      <c r="AZ213" t="str">
        <f>TRIM(MID(SUBSTITUTE($G213, ",", REPT(" ", 100)), (COLUMNS($AJ$2:AZ213)-1)*100+1, 100))</f>
        <v/>
      </c>
      <c r="BA213" t="str">
        <f>TRIM(MID(SUBSTITUTE($G213, ",", REPT(" ", 100)), (COLUMNS($AJ$2:BA213)-1)*100+1, 100))</f>
        <v/>
      </c>
      <c r="BB213" t="str">
        <f>TRIM(MID(SUBSTITUTE($G213, ",", REPT(" ", 100)), (COLUMNS($AJ$2:BB213)-1)*100+1, 100))</f>
        <v/>
      </c>
      <c r="BC213" t="str">
        <f>TRIM(MID(SUBSTITUTE($G213, ",", REPT(" ", 100)), (COLUMNS($AJ$2:BC213)-1)*100+1, 100))</f>
        <v/>
      </c>
      <c r="BH213">
        <f t="shared" si="5"/>
        <v>1</v>
      </c>
    </row>
    <row r="214" spans="1:60" x14ac:dyDescent="0.5">
      <c r="A214" s="32" t="s">
        <v>433</v>
      </c>
      <c r="B214" s="257">
        <v>46235</v>
      </c>
      <c r="C214" s="2">
        <v>5.5</v>
      </c>
      <c r="D214" s="272">
        <f>AVERAGE(C214:C244)</f>
        <v>6.3258064516129027</v>
      </c>
      <c r="E214" s="271"/>
      <c r="F214" s="260">
        <v>1</v>
      </c>
      <c r="G214" s="38" t="s">
        <v>462</v>
      </c>
      <c r="I214" s="38">
        <v>0</v>
      </c>
      <c r="AL214" t="str">
        <f>TRIM(MID(SUBSTITUTE($G214, ",", REPT(" ", 100)), (COLUMNS($AJ$2:AL214)-1)*100+1, 100))</f>
        <v/>
      </c>
      <c r="AM214" s="1">
        <v>45870</v>
      </c>
      <c r="AN214" s="2">
        <v>7</v>
      </c>
      <c r="AO214" s="2">
        <v>6</v>
      </c>
      <c r="AQ214" t="str">
        <f>TRIM(MID(SUBSTITUTE($G214, ",", REPT(" ", 100)), (COLUMNS($AJ$2:AQ214)-1)*100+1, 100))</f>
        <v/>
      </c>
      <c r="AR214" t="str">
        <f>TRIM(MID(SUBSTITUTE($G214, ",", REPT(" ", 100)), (COLUMNS($AJ$2:AR214)-1)*100+1, 100))</f>
        <v/>
      </c>
      <c r="AS214" t="str">
        <f>TRIM(MID(SUBSTITUTE($G214, ",", REPT(" ", 100)), (COLUMNS($AJ$2:AS214)-1)*100+1, 100))</f>
        <v/>
      </c>
      <c r="AT214" t="str">
        <f>TRIM(MID(SUBSTITUTE($G214, ",", REPT(" ", 100)), (COLUMNS($AJ$2:AT214)-1)*100+1, 100))</f>
        <v/>
      </c>
      <c r="AU214" t="str">
        <f>TRIM(MID(SUBSTITUTE($G214, ",", REPT(" ", 100)), (COLUMNS($AJ$2:AU214)-1)*100+1, 100))</f>
        <v/>
      </c>
      <c r="AV214" t="str">
        <f>TRIM(MID(SUBSTITUTE($G214, ",", REPT(" ", 100)), (COLUMNS($AJ$2:AV214)-1)*100+1, 100))</f>
        <v/>
      </c>
      <c r="AW214" t="str">
        <f>TRIM(MID(SUBSTITUTE($G214, ",", REPT(" ", 100)), (COLUMNS($AJ$2:AW214)-1)*100+1, 100))</f>
        <v/>
      </c>
      <c r="AX214" t="str">
        <f>TRIM(MID(SUBSTITUTE($G214, ",", REPT(" ", 100)), (COLUMNS($AJ$2:AX214)-1)*100+1, 100))</f>
        <v/>
      </c>
      <c r="AY214" t="str">
        <f>TRIM(MID(SUBSTITUTE($G214, ",", REPT(" ", 100)), (COLUMNS($AJ$2:AY214)-1)*100+1, 100))</f>
        <v/>
      </c>
      <c r="AZ214" t="str">
        <f>TRIM(MID(SUBSTITUTE($G214, ",", REPT(" ", 100)), (COLUMNS($AJ$2:AZ214)-1)*100+1, 100))</f>
        <v/>
      </c>
      <c r="BA214" t="str">
        <f>TRIM(MID(SUBSTITUTE($G214, ",", REPT(" ", 100)), (COLUMNS($AJ$2:BA214)-1)*100+1, 100))</f>
        <v/>
      </c>
      <c r="BB214" t="str">
        <f>TRIM(MID(SUBSTITUTE($G214, ",", REPT(" ", 100)), (COLUMNS($AJ$2:BB214)-1)*100+1, 100))</f>
        <v/>
      </c>
      <c r="BC214" t="str">
        <f>TRIM(MID(SUBSTITUTE($G214, ",", REPT(" ", 100)), (COLUMNS($AJ$2:BC214)-1)*100+1, 100))</f>
        <v/>
      </c>
      <c r="BH214">
        <f t="shared" si="5"/>
        <v>1</v>
      </c>
    </row>
    <row r="215" spans="1:60" ht="14.7" thickBot="1" x14ac:dyDescent="0.55000000000000004">
      <c r="A215" s="32" t="s">
        <v>434</v>
      </c>
      <c r="B215" s="258">
        <v>46236</v>
      </c>
      <c r="C215" s="2">
        <v>6.5</v>
      </c>
      <c r="D215" s="272"/>
      <c r="E215" s="271"/>
      <c r="F215" s="260">
        <v>1</v>
      </c>
      <c r="G215" s="38" t="s">
        <v>462</v>
      </c>
      <c r="I215" s="38">
        <v>0</v>
      </c>
      <c r="AL215" t="str">
        <f>TRIM(MID(SUBSTITUTE($G215, ",", REPT(" ", 100)), (COLUMNS($AJ$2:AL215)-1)*100+1, 100))</f>
        <v/>
      </c>
      <c r="AM215" s="1">
        <v>45871</v>
      </c>
      <c r="AN215" s="2">
        <v>4</v>
      </c>
      <c r="AO215" s="2">
        <v>6</v>
      </c>
      <c r="AQ215" t="str">
        <f>TRIM(MID(SUBSTITUTE($G215, ",", REPT(" ", 100)), (COLUMNS($AJ$2:AQ215)-1)*100+1, 100))</f>
        <v/>
      </c>
      <c r="AR215" t="str">
        <f>TRIM(MID(SUBSTITUTE($G215, ",", REPT(" ", 100)), (COLUMNS($AJ$2:AR215)-1)*100+1, 100))</f>
        <v/>
      </c>
      <c r="AS215" t="str">
        <f>TRIM(MID(SUBSTITUTE($G215, ",", REPT(" ", 100)), (COLUMNS($AJ$2:AS215)-1)*100+1, 100))</f>
        <v/>
      </c>
      <c r="AT215" t="str">
        <f>TRIM(MID(SUBSTITUTE($G215, ",", REPT(" ", 100)), (COLUMNS($AJ$2:AT215)-1)*100+1, 100))</f>
        <v/>
      </c>
      <c r="AU215" t="str">
        <f>TRIM(MID(SUBSTITUTE($G215, ",", REPT(" ", 100)), (COLUMNS($AJ$2:AU215)-1)*100+1, 100))</f>
        <v/>
      </c>
      <c r="AV215" t="str">
        <f>TRIM(MID(SUBSTITUTE($G215, ",", REPT(" ", 100)), (COLUMNS($AJ$2:AV215)-1)*100+1, 100))</f>
        <v/>
      </c>
      <c r="AW215" t="str">
        <f>TRIM(MID(SUBSTITUTE($G215, ",", REPT(" ", 100)), (COLUMNS($AJ$2:AW215)-1)*100+1, 100))</f>
        <v/>
      </c>
      <c r="AX215" t="str">
        <f>TRIM(MID(SUBSTITUTE($G215, ",", REPT(" ", 100)), (COLUMNS($AJ$2:AX215)-1)*100+1, 100))</f>
        <v/>
      </c>
      <c r="AY215" t="str">
        <f>TRIM(MID(SUBSTITUTE($G215, ",", REPT(" ", 100)), (COLUMNS($AJ$2:AY215)-1)*100+1, 100))</f>
        <v/>
      </c>
      <c r="AZ215" t="str">
        <f>TRIM(MID(SUBSTITUTE($G215, ",", REPT(" ", 100)), (COLUMNS($AJ$2:AZ215)-1)*100+1, 100))</f>
        <v/>
      </c>
      <c r="BA215" t="str">
        <f>TRIM(MID(SUBSTITUTE($G215, ",", REPT(" ", 100)), (COLUMNS($AJ$2:BA215)-1)*100+1, 100))</f>
        <v/>
      </c>
      <c r="BB215" t="str">
        <f>TRIM(MID(SUBSTITUTE($G215, ",", REPT(" ", 100)), (COLUMNS($AJ$2:BB215)-1)*100+1, 100))</f>
        <v/>
      </c>
      <c r="BC215" t="str">
        <f>TRIM(MID(SUBSTITUTE($G215, ",", REPT(" ", 100)), (COLUMNS($AJ$2:BC215)-1)*100+1, 100))</f>
        <v/>
      </c>
      <c r="BH215">
        <f t="shared" si="5"/>
        <v>1</v>
      </c>
    </row>
    <row r="216" spans="1:60" x14ac:dyDescent="0.5">
      <c r="A216" s="32" t="s">
        <v>435</v>
      </c>
      <c r="B216" s="257">
        <v>46237</v>
      </c>
      <c r="C216" s="2">
        <v>5.3</v>
      </c>
      <c r="D216" s="272"/>
      <c r="E216" s="271"/>
      <c r="F216" s="260">
        <v>0</v>
      </c>
      <c r="G216" s="38" t="s">
        <v>462</v>
      </c>
      <c r="I216" s="38">
        <v>0</v>
      </c>
      <c r="AL216" t="str">
        <f>TRIM(MID(SUBSTITUTE($G216, ",", REPT(" ", 100)), (COLUMNS($AJ$2:AL216)-1)*100+1, 100))</f>
        <v/>
      </c>
      <c r="AM216" s="1">
        <v>45872</v>
      </c>
      <c r="AN216" s="2">
        <v>2</v>
      </c>
      <c r="AO216" s="2">
        <v>6</v>
      </c>
      <c r="AQ216" t="str">
        <f>TRIM(MID(SUBSTITUTE($G216, ",", REPT(" ", 100)), (COLUMNS($AJ$2:AQ216)-1)*100+1, 100))</f>
        <v/>
      </c>
      <c r="AR216" t="str">
        <f>TRIM(MID(SUBSTITUTE($G216, ",", REPT(" ", 100)), (COLUMNS($AJ$2:AR216)-1)*100+1, 100))</f>
        <v/>
      </c>
      <c r="AS216" t="str">
        <f>TRIM(MID(SUBSTITUTE($G216, ",", REPT(" ", 100)), (COLUMNS($AJ$2:AS216)-1)*100+1, 100))</f>
        <v/>
      </c>
      <c r="AT216" t="str">
        <f>TRIM(MID(SUBSTITUTE($G216, ",", REPT(" ", 100)), (COLUMNS($AJ$2:AT216)-1)*100+1, 100))</f>
        <v/>
      </c>
      <c r="AU216" t="str">
        <f>TRIM(MID(SUBSTITUTE($G216, ",", REPT(" ", 100)), (COLUMNS($AJ$2:AU216)-1)*100+1, 100))</f>
        <v/>
      </c>
      <c r="AV216" t="str">
        <f>TRIM(MID(SUBSTITUTE($G216, ",", REPT(" ", 100)), (COLUMNS($AJ$2:AV216)-1)*100+1, 100))</f>
        <v/>
      </c>
      <c r="AW216" t="str">
        <f>TRIM(MID(SUBSTITUTE($G216, ",", REPT(" ", 100)), (COLUMNS($AJ$2:AW216)-1)*100+1, 100))</f>
        <v/>
      </c>
      <c r="AX216" t="str">
        <f>TRIM(MID(SUBSTITUTE($G216, ",", REPT(" ", 100)), (COLUMNS($AJ$2:AX216)-1)*100+1, 100))</f>
        <v/>
      </c>
      <c r="AY216" t="str">
        <f>TRIM(MID(SUBSTITUTE($G216, ",", REPT(" ", 100)), (COLUMNS($AJ$2:AY216)-1)*100+1, 100))</f>
        <v/>
      </c>
      <c r="AZ216" t="str">
        <f>TRIM(MID(SUBSTITUTE($G216, ",", REPT(" ", 100)), (COLUMNS($AJ$2:AZ216)-1)*100+1, 100))</f>
        <v/>
      </c>
      <c r="BA216" t="str">
        <f>TRIM(MID(SUBSTITUTE($G216, ",", REPT(" ", 100)), (COLUMNS($AJ$2:BA216)-1)*100+1, 100))</f>
        <v/>
      </c>
      <c r="BB216" t="str">
        <f>TRIM(MID(SUBSTITUTE($G216, ",", REPT(" ", 100)), (COLUMNS($AJ$2:BB216)-1)*100+1, 100))</f>
        <v/>
      </c>
      <c r="BC216" t="str">
        <f>TRIM(MID(SUBSTITUTE($G216, ",", REPT(" ", 100)), (COLUMNS($AJ$2:BC216)-1)*100+1, 100))</f>
        <v/>
      </c>
      <c r="BH216">
        <f t="shared" si="5"/>
        <v>1</v>
      </c>
    </row>
    <row r="217" spans="1:60" ht="14.7" thickBot="1" x14ac:dyDescent="0.55000000000000004">
      <c r="A217" s="32" t="s">
        <v>436</v>
      </c>
      <c r="B217" s="258">
        <v>46238</v>
      </c>
      <c r="C217" s="2">
        <v>5.2</v>
      </c>
      <c r="D217" s="272"/>
      <c r="E217" s="271"/>
      <c r="F217" s="260">
        <v>0</v>
      </c>
      <c r="G217" s="38" t="s">
        <v>462</v>
      </c>
      <c r="I217" s="38">
        <v>0</v>
      </c>
      <c r="AL217" t="str">
        <f>TRIM(MID(SUBSTITUTE($G217, ",", REPT(" ", 100)), (COLUMNS($AJ$2:AL217)-1)*100+1, 100))</f>
        <v/>
      </c>
      <c r="AM217" s="1">
        <v>45873</v>
      </c>
      <c r="AN217" s="2">
        <v>4</v>
      </c>
      <c r="AO217" s="2">
        <v>8</v>
      </c>
      <c r="AQ217" t="str">
        <f>TRIM(MID(SUBSTITUTE($G217, ",", REPT(" ", 100)), (COLUMNS($AJ$2:AQ217)-1)*100+1, 100))</f>
        <v/>
      </c>
      <c r="AR217" t="str">
        <f>TRIM(MID(SUBSTITUTE($G217, ",", REPT(" ", 100)), (COLUMNS($AJ$2:AR217)-1)*100+1, 100))</f>
        <v/>
      </c>
      <c r="AS217" t="str">
        <f>TRIM(MID(SUBSTITUTE($G217, ",", REPT(" ", 100)), (COLUMNS($AJ$2:AS217)-1)*100+1, 100))</f>
        <v/>
      </c>
      <c r="AT217" t="str">
        <f>TRIM(MID(SUBSTITUTE($G217, ",", REPT(" ", 100)), (COLUMNS($AJ$2:AT217)-1)*100+1, 100))</f>
        <v/>
      </c>
      <c r="AU217" t="str">
        <f>TRIM(MID(SUBSTITUTE($G217, ",", REPT(" ", 100)), (COLUMNS($AJ$2:AU217)-1)*100+1, 100))</f>
        <v/>
      </c>
      <c r="AV217" t="str">
        <f>TRIM(MID(SUBSTITUTE($G217, ",", REPT(" ", 100)), (COLUMNS($AJ$2:AV217)-1)*100+1, 100))</f>
        <v/>
      </c>
      <c r="AW217" t="str">
        <f>TRIM(MID(SUBSTITUTE($G217, ",", REPT(" ", 100)), (COLUMNS($AJ$2:AW217)-1)*100+1, 100))</f>
        <v/>
      </c>
      <c r="AX217" t="str">
        <f>TRIM(MID(SUBSTITUTE($G217, ",", REPT(" ", 100)), (COLUMNS($AJ$2:AX217)-1)*100+1, 100))</f>
        <v/>
      </c>
      <c r="AY217" t="str">
        <f>TRIM(MID(SUBSTITUTE($G217, ",", REPT(" ", 100)), (COLUMNS($AJ$2:AY217)-1)*100+1, 100))</f>
        <v/>
      </c>
      <c r="AZ217" t="str">
        <f>TRIM(MID(SUBSTITUTE($G217, ",", REPT(" ", 100)), (COLUMNS($AJ$2:AZ217)-1)*100+1, 100))</f>
        <v/>
      </c>
      <c r="BA217" t="str">
        <f>TRIM(MID(SUBSTITUTE($G217, ",", REPT(" ", 100)), (COLUMNS($AJ$2:BA217)-1)*100+1, 100))</f>
        <v/>
      </c>
      <c r="BB217" t="str">
        <f>TRIM(MID(SUBSTITUTE($G217, ",", REPT(" ", 100)), (COLUMNS($AJ$2:BB217)-1)*100+1, 100))</f>
        <v/>
      </c>
      <c r="BC217" t="str">
        <f>TRIM(MID(SUBSTITUTE($G217, ",", REPT(" ", 100)), (COLUMNS($AJ$2:BC217)-1)*100+1, 100))</f>
        <v/>
      </c>
      <c r="BH217">
        <f t="shared" si="5"/>
        <v>1</v>
      </c>
    </row>
    <row r="218" spans="1:60" x14ac:dyDescent="0.5">
      <c r="A218" s="32" t="s">
        <v>437</v>
      </c>
      <c r="B218" s="257">
        <v>46239</v>
      </c>
      <c r="C218" s="2">
        <v>6.1</v>
      </c>
      <c r="D218" s="272"/>
      <c r="E218" s="271"/>
      <c r="F218" s="260">
        <v>1</v>
      </c>
      <c r="G218" s="38" t="s">
        <v>462</v>
      </c>
      <c r="I218" s="38">
        <v>0</v>
      </c>
      <c r="AL218" t="str">
        <f>TRIM(MID(SUBSTITUTE($G218, ",", REPT(" ", 100)), (COLUMNS($AJ$2:AL218)-1)*100+1, 100))</f>
        <v/>
      </c>
      <c r="AM218" s="1">
        <v>45874</v>
      </c>
      <c r="AN218" s="2">
        <v>3.9</v>
      </c>
      <c r="AO218" s="2">
        <v>4</v>
      </c>
      <c r="AQ218" t="str">
        <f>TRIM(MID(SUBSTITUTE($G218, ",", REPT(" ", 100)), (COLUMNS($AJ$2:AQ218)-1)*100+1, 100))</f>
        <v/>
      </c>
      <c r="AR218" t="str">
        <f>TRIM(MID(SUBSTITUTE($G218, ",", REPT(" ", 100)), (COLUMNS($AJ$2:AR218)-1)*100+1, 100))</f>
        <v/>
      </c>
      <c r="AS218" t="str">
        <f>TRIM(MID(SUBSTITUTE($G218, ",", REPT(" ", 100)), (COLUMNS($AJ$2:AS218)-1)*100+1, 100))</f>
        <v/>
      </c>
      <c r="AT218" t="str">
        <f>TRIM(MID(SUBSTITUTE($G218, ",", REPT(" ", 100)), (COLUMNS($AJ$2:AT218)-1)*100+1, 100))</f>
        <v/>
      </c>
      <c r="AU218" t="str">
        <f>TRIM(MID(SUBSTITUTE($G218, ",", REPT(" ", 100)), (COLUMNS($AJ$2:AU218)-1)*100+1, 100))</f>
        <v/>
      </c>
      <c r="AV218" t="str">
        <f>TRIM(MID(SUBSTITUTE($G218, ",", REPT(" ", 100)), (COLUMNS($AJ$2:AV218)-1)*100+1, 100))</f>
        <v/>
      </c>
      <c r="AW218" t="str">
        <f>TRIM(MID(SUBSTITUTE($G218, ",", REPT(" ", 100)), (COLUMNS($AJ$2:AW218)-1)*100+1, 100))</f>
        <v/>
      </c>
      <c r="AX218" t="str">
        <f>TRIM(MID(SUBSTITUTE($G218, ",", REPT(" ", 100)), (COLUMNS($AJ$2:AX218)-1)*100+1, 100))</f>
        <v/>
      </c>
      <c r="AY218" t="str">
        <f>TRIM(MID(SUBSTITUTE($G218, ",", REPT(" ", 100)), (COLUMNS($AJ$2:AY218)-1)*100+1, 100))</f>
        <v/>
      </c>
      <c r="AZ218" t="str">
        <f>TRIM(MID(SUBSTITUTE($G218, ",", REPT(" ", 100)), (COLUMNS($AJ$2:AZ218)-1)*100+1, 100))</f>
        <v/>
      </c>
      <c r="BA218" t="str">
        <f>TRIM(MID(SUBSTITUTE($G218, ",", REPT(" ", 100)), (COLUMNS($AJ$2:BA218)-1)*100+1, 100))</f>
        <v/>
      </c>
      <c r="BB218" t="str">
        <f>TRIM(MID(SUBSTITUTE($G218, ",", REPT(" ", 100)), (COLUMNS($AJ$2:BB218)-1)*100+1, 100))</f>
        <v/>
      </c>
      <c r="BC218" t="str">
        <f>TRIM(MID(SUBSTITUTE($G218, ",", REPT(" ", 100)), (COLUMNS($AJ$2:BC218)-1)*100+1, 100))</f>
        <v/>
      </c>
      <c r="BH218">
        <f t="shared" si="5"/>
        <v>1</v>
      </c>
    </row>
    <row r="219" spans="1:60" ht="14.7" thickBot="1" x14ac:dyDescent="0.55000000000000004">
      <c r="A219" s="32" t="s">
        <v>431</v>
      </c>
      <c r="B219" s="258">
        <v>46240</v>
      </c>
      <c r="C219" s="2">
        <v>6.2</v>
      </c>
      <c r="D219" s="272"/>
      <c r="E219" s="271"/>
      <c r="F219" s="260">
        <v>1</v>
      </c>
      <c r="G219" s="38" t="s">
        <v>462</v>
      </c>
      <c r="I219" s="38">
        <v>0</v>
      </c>
      <c r="AL219" t="str">
        <f>TRIM(MID(SUBSTITUTE($G219, ",", REPT(" ", 100)), (COLUMNS($AJ$2:AL219)-1)*100+1, 100))</f>
        <v/>
      </c>
      <c r="AM219" s="1">
        <v>45875</v>
      </c>
      <c r="AN219" s="2">
        <v>4</v>
      </c>
      <c r="AO219" s="2">
        <v>4</v>
      </c>
      <c r="AQ219" t="str">
        <f>TRIM(MID(SUBSTITUTE($G219, ",", REPT(" ", 100)), (COLUMNS($AJ$2:AQ219)-1)*100+1, 100))</f>
        <v/>
      </c>
      <c r="AR219" t="str">
        <f>TRIM(MID(SUBSTITUTE($G219, ",", REPT(" ", 100)), (COLUMNS($AJ$2:AR219)-1)*100+1, 100))</f>
        <v/>
      </c>
      <c r="AS219" t="str">
        <f>TRIM(MID(SUBSTITUTE($G219, ",", REPT(" ", 100)), (COLUMNS($AJ$2:AS219)-1)*100+1, 100))</f>
        <v/>
      </c>
      <c r="AT219" t="str">
        <f>TRIM(MID(SUBSTITUTE($G219, ",", REPT(" ", 100)), (COLUMNS($AJ$2:AT219)-1)*100+1, 100))</f>
        <v/>
      </c>
      <c r="AU219" t="str">
        <f>TRIM(MID(SUBSTITUTE($G219, ",", REPT(" ", 100)), (COLUMNS($AJ$2:AU219)-1)*100+1, 100))</f>
        <v/>
      </c>
      <c r="AV219" t="str">
        <f>TRIM(MID(SUBSTITUTE($G219, ",", REPT(" ", 100)), (COLUMNS($AJ$2:AV219)-1)*100+1, 100))</f>
        <v/>
      </c>
      <c r="AW219" t="str">
        <f>TRIM(MID(SUBSTITUTE($G219, ",", REPT(" ", 100)), (COLUMNS($AJ$2:AW219)-1)*100+1, 100))</f>
        <v/>
      </c>
      <c r="AX219" t="str">
        <f>TRIM(MID(SUBSTITUTE($G219, ",", REPT(" ", 100)), (COLUMNS($AJ$2:AX219)-1)*100+1, 100))</f>
        <v/>
      </c>
      <c r="AY219" t="str">
        <f>TRIM(MID(SUBSTITUTE($G219, ",", REPT(" ", 100)), (COLUMNS($AJ$2:AY219)-1)*100+1, 100))</f>
        <v/>
      </c>
      <c r="AZ219" t="str">
        <f>TRIM(MID(SUBSTITUTE($G219, ",", REPT(" ", 100)), (COLUMNS($AJ$2:AZ219)-1)*100+1, 100))</f>
        <v/>
      </c>
      <c r="BA219" t="str">
        <f>TRIM(MID(SUBSTITUTE($G219, ",", REPT(" ", 100)), (COLUMNS($AJ$2:BA219)-1)*100+1, 100))</f>
        <v/>
      </c>
      <c r="BB219" t="str">
        <f>TRIM(MID(SUBSTITUTE($G219, ",", REPT(" ", 100)), (COLUMNS($AJ$2:BB219)-1)*100+1, 100))</f>
        <v/>
      </c>
      <c r="BC219" t="str">
        <f>TRIM(MID(SUBSTITUTE($G219, ",", REPT(" ", 100)), (COLUMNS($AJ$2:BC219)-1)*100+1, 100))</f>
        <v/>
      </c>
      <c r="BH219">
        <f t="shared" si="5"/>
        <v>1</v>
      </c>
    </row>
    <row r="220" spans="1:60" x14ac:dyDescent="0.5">
      <c r="A220" s="32" t="s">
        <v>432</v>
      </c>
      <c r="B220" s="257">
        <v>46241</v>
      </c>
      <c r="C220" s="2">
        <v>5.8</v>
      </c>
      <c r="D220" s="272"/>
      <c r="E220" s="271"/>
      <c r="F220" s="260">
        <v>1</v>
      </c>
      <c r="G220" s="38" t="s">
        <v>462</v>
      </c>
      <c r="I220" s="38">
        <v>0</v>
      </c>
      <c r="AL220" t="str">
        <f>TRIM(MID(SUBSTITUTE($G220, ",", REPT(" ", 100)), (COLUMNS($AJ$2:AL220)-1)*100+1, 100))</f>
        <v/>
      </c>
      <c r="AM220" s="1">
        <v>45876</v>
      </c>
      <c r="AN220" s="2">
        <v>5.5</v>
      </c>
      <c r="AO220" s="2">
        <v>6</v>
      </c>
      <c r="AQ220" t="str">
        <f>TRIM(MID(SUBSTITUTE($G220, ",", REPT(" ", 100)), (COLUMNS($AJ$2:AQ220)-1)*100+1, 100))</f>
        <v/>
      </c>
      <c r="AR220" t="str">
        <f>TRIM(MID(SUBSTITUTE($G220, ",", REPT(" ", 100)), (COLUMNS($AJ$2:AR220)-1)*100+1, 100))</f>
        <v/>
      </c>
      <c r="AS220" t="str">
        <f>TRIM(MID(SUBSTITUTE($G220, ",", REPT(" ", 100)), (COLUMNS($AJ$2:AS220)-1)*100+1, 100))</f>
        <v/>
      </c>
      <c r="AT220" t="str">
        <f>TRIM(MID(SUBSTITUTE($G220, ",", REPT(" ", 100)), (COLUMNS($AJ$2:AT220)-1)*100+1, 100))</f>
        <v/>
      </c>
      <c r="AU220" t="str">
        <f>TRIM(MID(SUBSTITUTE($G220, ",", REPT(" ", 100)), (COLUMNS($AJ$2:AU220)-1)*100+1, 100))</f>
        <v/>
      </c>
      <c r="AV220" t="str">
        <f>TRIM(MID(SUBSTITUTE($G220, ",", REPT(" ", 100)), (COLUMNS($AJ$2:AV220)-1)*100+1, 100))</f>
        <v/>
      </c>
      <c r="AW220" t="str">
        <f>TRIM(MID(SUBSTITUTE($G220, ",", REPT(" ", 100)), (COLUMNS($AJ$2:AW220)-1)*100+1, 100))</f>
        <v/>
      </c>
      <c r="AX220" t="str">
        <f>TRIM(MID(SUBSTITUTE($G220, ",", REPT(" ", 100)), (COLUMNS($AJ$2:AX220)-1)*100+1, 100))</f>
        <v/>
      </c>
      <c r="AY220" t="str">
        <f>TRIM(MID(SUBSTITUTE($G220, ",", REPT(" ", 100)), (COLUMNS($AJ$2:AY220)-1)*100+1, 100))</f>
        <v/>
      </c>
      <c r="AZ220" t="str">
        <f>TRIM(MID(SUBSTITUTE($G220, ",", REPT(" ", 100)), (COLUMNS($AJ$2:AZ220)-1)*100+1, 100))</f>
        <v/>
      </c>
      <c r="BA220" t="str">
        <f>TRIM(MID(SUBSTITUTE($G220, ",", REPT(" ", 100)), (COLUMNS($AJ$2:BA220)-1)*100+1, 100))</f>
        <v/>
      </c>
      <c r="BB220" t="str">
        <f>TRIM(MID(SUBSTITUTE($G220, ",", REPT(" ", 100)), (COLUMNS($AJ$2:BB220)-1)*100+1, 100))</f>
        <v/>
      </c>
      <c r="BC220" t="str">
        <f>TRIM(MID(SUBSTITUTE($G220, ",", REPT(" ", 100)), (COLUMNS($AJ$2:BC220)-1)*100+1, 100))</f>
        <v/>
      </c>
      <c r="BH220">
        <f t="shared" si="5"/>
        <v>1</v>
      </c>
    </row>
    <row r="221" spans="1:60" ht="14.7" thickBot="1" x14ac:dyDescent="0.55000000000000004">
      <c r="A221" s="32" t="s">
        <v>433</v>
      </c>
      <c r="B221" s="258">
        <v>46242</v>
      </c>
      <c r="C221" s="2">
        <v>6</v>
      </c>
      <c r="D221" s="272"/>
      <c r="E221" s="271"/>
      <c r="F221" s="260">
        <v>0</v>
      </c>
      <c r="G221" s="38" t="s">
        <v>462</v>
      </c>
      <c r="I221" s="38">
        <v>0</v>
      </c>
      <c r="AL221" t="str">
        <f>TRIM(MID(SUBSTITUTE($G221, ",", REPT(" ", 100)), (COLUMNS($AJ$2:AL221)-1)*100+1, 100))</f>
        <v/>
      </c>
      <c r="AM221" s="1">
        <v>45877</v>
      </c>
      <c r="AN221" s="2">
        <v>6</v>
      </c>
      <c r="AO221" s="2">
        <v>4</v>
      </c>
      <c r="AQ221" t="str">
        <f>TRIM(MID(SUBSTITUTE($G221, ",", REPT(" ", 100)), (COLUMNS($AJ$2:AQ221)-1)*100+1, 100))</f>
        <v/>
      </c>
      <c r="AR221" t="str">
        <f>TRIM(MID(SUBSTITUTE($G221, ",", REPT(" ", 100)), (COLUMNS($AJ$2:AR221)-1)*100+1, 100))</f>
        <v/>
      </c>
      <c r="AS221" t="str">
        <f>TRIM(MID(SUBSTITUTE($G221, ",", REPT(" ", 100)), (COLUMNS($AJ$2:AS221)-1)*100+1, 100))</f>
        <v/>
      </c>
      <c r="AT221" t="str">
        <f>TRIM(MID(SUBSTITUTE($G221, ",", REPT(" ", 100)), (COLUMNS($AJ$2:AT221)-1)*100+1, 100))</f>
        <v/>
      </c>
      <c r="AU221" t="str">
        <f>TRIM(MID(SUBSTITUTE($G221, ",", REPT(" ", 100)), (COLUMNS($AJ$2:AU221)-1)*100+1, 100))</f>
        <v/>
      </c>
      <c r="AV221" t="str">
        <f>TRIM(MID(SUBSTITUTE($G221, ",", REPT(" ", 100)), (COLUMNS($AJ$2:AV221)-1)*100+1, 100))</f>
        <v/>
      </c>
      <c r="AW221" t="str">
        <f>TRIM(MID(SUBSTITUTE($G221, ",", REPT(" ", 100)), (COLUMNS($AJ$2:AW221)-1)*100+1, 100))</f>
        <v/>
      </c>
      <c r="AX221" t="str">
        <f>TRIM(MID(SUBSTITUTE($G221, ",", REPT(" ", 100)), (COLUMNS($AJ$2:AX221)-1)*100+1, 100))</f>
        <v/>
      </c>
      <c r="AY221" t="str">
        <f>TRIM(MID(SUBSTITUTE($G221, ",", REPT(" ", 100)), (COLUMNS($AJ$2:AY221)-1)*100+1, 100))</f>
        <v/>
      </c>
      <c r="AZ221" t="str">
        <f>TRIM(MID(SUBSTITUTE($G221, ",", REPT(" ", 100)), (COLUMNS($AJ$2:AZ221)-1)*100+1, 100))</f>
        <v/>
      </c>
      <c r="BA221" t="str">
        <f>TRIM(MID(SUBSTITUTE($G221, ",", REPT(" ", 100)), (COLUMNS($AJ$2:BA221)-1)*100+1, 100))</f>
        <v/>
      </c>
      <c r="BB221" t="str">
        <f>TRIM(MID(SUBSTITUTE($G221, ",", REPT(" ", 100)), (COLUMNS($AJ$2:BB221)-1)*100+1, 100))</f>
        <v/>
      </c>
      <c r="BC221" t="str">
        <f>TRIM(MID(SUBSTITUTE($G221, ",", REPT(" ", 100)), (COLUMNS($AJ$2:BC221)-1)*100+1, 100))</f>
        <v/>
      </c>
      <c r="BH221">
        <f t="shared" si="5"/>
        <v>1</v>
      </c>
    </row>
    <row r="222" spans="1:60" x14ac:dyDescent="0.5">
      <c r="A222" s="32" t="s">
        <v>434</v>
      </c>
      <c r="B222" s="257">
        <v>46243</v>
      </c>
      <c r="C222" s="2">
        <v>5.3</v>
      </c>
      <c r="D222" s="272"/>
      <c r="E222" s="271"/>
      <c r="F222" s="260">
        <v>1</v>
      </c>
      <c r="G222" s="38" t="s">
        <v>462</v>
      </c>
      <c r="I222" s="38">
        <v>0</v>
      </c>
      <c r="AL222" t="str">
        <f>TRIM(MID(SUBSTITUTE($G222, ",", REPT(" ", 100)), (COLUMNS($AJ$2:AL222)-1)*100+1, 100))</f>
        <v/>
      </c>
      <c r="AM222" s="1">
        <v>45878</v>
      </c>
      <c r="AN222" s="2">
        <v>5.8</v>
      </c>
      <c r="AO222" s="2">
        <v>6</v>
      </c>
      <c r="AQ222" t="str">
        <f>TRIM(MID(SUBSTITUTE($G222, ",", REPT(" ", 100)), (COLUMNS($AJ$2:AQ222)-1)*100+1, 100))</f>
        <v/>
      </c>
      <c r="AR222" t="str">
        <f>TRIM(MID(SUBSTITUTE($G222, ",", REPT(" ", 100)), (COLUMNS($AJ$2:AR222)-1)*100+1, 100))</f>
        <v/>
      </c>
      <c r="AS222" t="str">
        <f>TRIM(MID(SUBSTITUTE($G222, ",", REPT(" ", 100)), (COLUMNS($AJ$2:AS222)-1)*100+1, 100))</f>
        <v/>
      </c>
      <c r="AT222" t="str">
        <f>TRIM(MID(SUBSTITUTE($G222, ",", REPT(" ", 100)), (COLUMNS($AJ$2:AT222)-1)*100+1, 100))</f>
        <v/>
      </c>
      <c r="AU222" t="str">
        <f>TRIM(MID(SUBSTITUTE($G222, ",", REPT(" ", 100)), (COLUMNS($AJ$2:AU222)-1)*100+1, 100))</f>
        <v/>
      </c>
      <c r="AV222" t="str">
        <f>TRIM(MID(SUBSTITUTE($G222, ",", REPT(" ", 100)), (COLUMNS($AJ$2:AV222)-1)*100+1, 100))</f>
        <v/>
      </c>
      <c r="AW222" t="str">
        <f>TRIM(MID(SUBSTITUTE($G222, ",", REPT(" ", 100)), (COLUMNS($AJ$2:AW222)-1)*100+1, 100))</f>
        <v/>
      </c>
      <c r="AX222" t="str">
        <f>TRIM(MID(SUBSTITUTE($G222, ",", REPT(" ", 100)), (COLUMNS($AJ$2:AX222)-1)*100+1, 100))</f>
        <v/>
      </c>
      <c r="AY222" t="str">
        <f>TRIM(MID(SUBSTITUTE($G222, ",", REPT(" ", 100)), (COLUMNS($AJ$2:AY222)-1)*100+1, 100))</f>
        <v/>
      </c>
      <c r="AZ222" t="str">
        <f>TRIM(MID(SUBSTITUTE($G222, ",", REPT(" ", 100)), (COLUMNS($AJ$2:AZ222)-1)*100+1, 100))</f>
        <v/>
      </c>
      <c r="BA222" t="str">
        <f>TRIM(MID(SUBSTITUTE($G222, ",", REPT(" ", 100)), (COLUMNS($AJ$2:BA222)-1)*100+1, 100))</f>
        <v/>
      </c>
      <c r="BB222" t="str">
        <f>TRIM(MID(SUBSTITUTE($G222, ",", REPT(" ", 100)), (COLUMNS($AJ$2:BB222)-1)*100+1, 100))</f>
        <v/>
      </c>
      <c r="BC222" t="str">
        <f>TRIM(MID(SUBSTITUTE($G222, ",", REPT(" ", 100)), (COLUMNS($AJ$2:BC222)-1)*100+1, 100))</f>
        <v/>
      </c>
      <c r="BH222">
        <f t="shared" si="5"/>
        <v>1</v>
      </c>
    </row>
    <row r="223" spans="1:60" ht="14.7" thickBot="1" x14ac:dyDescent="0.55000000000000004">
      <c r="A223" s="32" t="s">
        <v>435</v>
      </c>
      <c r="B223" s="258">
        <v>46244</v>
      </c>
      <c r="C223" s="2">
        <v>5.3</v>
      </c>
      <c r="D223" s="272"/>
      <c r="E223" s="271"/>
      <c r="F223" s="260">
        <v>0</v>
      </c>
      <c r="G223" s="38" t="s">
        <v>462</v>
      </c>
      <c r="I223" s="38">
        <v>0</v>
      </c>
      <c r="AL223" t="str">
        <f>TRIM(MID(SUBSTITUTE($G223, ",", REPT(" ", 100)), (COLUMNS($AJ$2:AL223)-1)*100+1, 100))</f>
        <v/>
      </c>
      <c r="AM223" s="1">
        <v>45879</v>
      </c>
      <c r="AN223" s="2">
        <v>4</v>
      </c>
      <c r="AO223" s="2">
        <v>6</v>
      </c>
      <c r="AQ223" t="str">
        <f>TRIM(MID(SUBSTITUTE($G223, ",", REPT(" ", 100)), (COLUMNS($AJ$2:AQ223)-1)*100+1, 100))</f>
        <v/>
      </c>
      <c r="AR223" t="str">
        <f>TRIM(MID(SUBSTITUTE($G223, ",", REPT(" ", 100)), (COLUMNS($AJ$2:AR223)-1)*100+1, 100))</f>
        <v/>
      </c>
      <c r="AS223" t="str">
        <f>TRIM(MID(SUBSTITUTE($G223, ",", REPT(" ", 100)), (COLUMNS($AJ$2:AS223)-1)*100+1, 100))</f>
        <v/>
      </c>
      <c r="AT223" t="str">
        <f>TRIM(MID(SUBSTITUTE($G223, ",", REPT(" ", 100)), (COLUMNS($AJ$2:AT223)-1)*100+1, 100))</f>
        <v/>
      </c>
      <c r="AU223" t="str">
        <f>TRIM(MID(SUBSTITUTE($G223, ",", REPT(" ", 100)), (COLUMNS($AJ$2:AU223)-1)*100+1, 100))</f>
        <v/>
      </c>
      <c r="AV223" t="str">
        <f>TRIM(MID(SUBSTITUTE($G223, ",", REPT(" ", 100)), (COLUMNS($AJ$2:AV223)-1)*100+1, 100))</f>
        <v/>
      </c>
      <c r="AW223" t="str">
        <f>TRIM(MID(SUBSTITUTE($G223, ",", REPT(" ", 100)), (COLUMNS($AJ$2:AW223)-1)*100+1, 100))</f>
        <v/>
      </c>
      <c r="AX223" t="str">
        <f>TRIM(MID(SUBSTITUTE($G223, ",", REPT(" ", 100)), (COLUMNS($AJ$2:AX223)-1)*100+1, 100))</f>
        <v/>
      </c>
      <c r="AY223" t="str">
        <f>TRIM(MID(SUBSTITUTE($G223, ",", REPT(" ", 100)), (COLUMNS($AJ$2:AY223)-1)*100+1, 100))</f>
        <v/>
      </c>
      <c r="AZ223" t="str">
        <f>TRIM(MID(SUBSTITUTE($G223, ",", REPT(" ", 100)), (COLUMNS($AJ$2:AZ223)-1)*100+1, 100))</f>
        <v/>
      </c>
      <c r="BA223" t="str">
        <f>TRIM(MID(SUBSTITUTE($G223, ",", REPT(" ", 100)), (COLUMNS($AJ$2:BA223)-1)*100+1, 100))</f>
        <v/>
      </c>
      <c r="BB223" t="str">
        <f>TRIM(MID(SUBSTITUTE($G223, ",", REPT(" ", 100)), (COLUMNS($AJ$2:BB223)-1)*100+1, 100))</f>
        <v/>
      </c>
      <c r="BC223" t="str">
        <f>TRIM(MID(SUBSTITUTE($G223, ",", REPT(" ", 100)), (COLUMNS($AJ$2:BC223)-1)*100+1, 100))</f>
        <v/>
      </c>
      <c r="BH223">
        <f t="shared" si="5"/>
        <v>1</v>
      </c>
    </row>
    <row r="224" spans="1:60" x14ac:dyDescent="0.5">
      <c r="A224" s="32" t="s">
        <v>436</v>
      </c>
      <c r="B224" s="257">
        <v>46245</v>
      </c>
      <c r="C224" s="2">
        <v>5</v>
      </c>
      <c r="D224" s="272"/>
      <c r="E224" s="271"/>
      <c r="F224" s="260">
        <v>1</v>
      </c>
      <c r="G224" s="38" t="s">
        <v>462</v>
      </c>
      <c r="I224" s="38">
        <v>0</v>
      </c>
      <c r="AL224" t="str">
        <f>TRIM(MID(SUBSTITUTE($G224, ",", REPT(" ", 100)), (COLUMNS($AJ$2:AL224)-1)*100+1, 100))</f>
        <v/>
      </c>
      <c r="AM224" s="1">
        <v>45880</v>
      </c>
      <c r="AN224" s="2">
        <v>5</v>
      </c>
      <c r="AO224" s="2">
        <v>6</v>
      </c>
      <c r="AQ224" t="str">
        <f>TRIM(MID(SUBSTITUTE($G224, ",", REPT(" ", 100)), (COLUMNS($AJ$2:AQ224)-1)*100+1, 100))</f>
        <v/>
      </c>
      <c r="AR224" t="str">
        <f>TRIM(MID(SUBSTITUTE($G224, ",", REPT(" ", 100)), (COLUMNS($AJ$2:AR224)-1)*100+1, 100))</f>
        <v/>
      </c>
      <c r="AS224" t="str">
        <f>TRIM(MID(SUBSTITUTE($G224, ",", REPT(" ", 100)), (COLUMNS($AJ$2:AS224)-1)*100+1, 100))</f>
        <v/>
      </c>
      <c r="AT224" t="str">
        <f>TRIM(MID(SUBSTITUTE($G224, ",", REPT(" ", 100)), (COLUMNS($AJ$2:AT224)-1)*100+1, 100))</f>
        <v/>
      </c>
      <c r="AU224" t="str">
        <f>TRIM(MID(SUBSTITUTE($G224, ",", REPT(" ", 100)), (COLUMNS($AJ$2:AU224)-1)*100+1, 100))</f>
        <v/>
      </c>
      <c r="AV224" t="str">
        <f>TRIM(MID(SUBSTITUTE($G224, ",", REPT(" ", 100)), (COLUMNS($AJ$2:AV224)-1)*100+1, 100))</f>
        <v/>
      </c>
      <c r="AW224" t="str">
        <f>TRIM(MID(SUBSTITUTE($G224, ",", REPT(" ", 100)), (COLUMNS($AJ$2:AW224)-1)*100+1, 100))</f>
        <v/>
      </c>
      <c r="AX224" t="str">
        <f>TRIM(MID(SUBSTITUTE($G224, ",", REPT(" ", 100)), (COLUMNS($AJ$2:AX224)-1)*100+1, 100))</f>
        <v/>
      </c>
      <c r="AY224" t="str">
        <f>TRIM(MID(SUBSTITUTE($G224, ",", REPT(" ", 100)), (COLUMNS($AJ$2:AY224)-1)*100+1, 100))</f>
        <v/>
      </c>
      <c r="AZ224" t="str">
        <f>TRIM(MID(SUBSTITUTE($G224, ",", REPT(" ", 100)), (COLUMNS($AJ$2:AZ224)-1)*100+1, 100))</f>
        <v/>
      </c>
      <c r="BA224" t="str">
        <f>TRIM(MID(SUBSTITUTE($G224, ",", REPT(" ", 100)), (COLUMNS($AJ$2:BA224)-1)*100+1, 100))</f>
        <v/>
      </c>
      <c r="BB224" t="str">
        <f>TRIM(MID(SUBSTITUTE($G224, ",", REPT(" ", 100)), (COLUMNS($AJ$2:BB224)-1)*100+1, 100))</f>
        <v/>
      </c>
      <c r="BC224" t="str">
        <f>TRIM(MID(SUBSTITUTE($G224, ",", REPT(" ", 100)), (COLUMNS($AJ$2:BC224)-1)*100+1, 100))</f>
        <v/>
      </c>
      <c r="BH224">
        <f t="shared" si="5"/>
        <v>1</v>
      </c>
    </row>
    <row r="225" spans="1:60" ht="14.7" thickBot="1" x14ac:dyDescent="0.55000000000000004">
      <c r="A225" s="32" t="s">
        <v>437</v>
      </c>
      <c r="B225" s="258">
        <v>46246</v>
      </c>
      <c r="C225" s="2">
        <v>6</v>
      </c>
      <c r="D225" s="272"/>
      <c r="E225" s="271"/>
      <c r="F225" s="260">
        <v>1</v>
      </c>
      <c r="G225" s="38" t="s">
        <v>462</v>
      </c>
      <c r="I225" s="38">
        <v>0</v>
      </c>
      <c r="AL225" t="str">
        <f>TRIM(MID(SUBSTITUTE($G225, ",", REPT(" ", 100)), (COLUMNS($AJ$2:AL225)-1)*100+1, 100))</f>
        <v/>
      </c>
      <c r="AM225" s="1">
        <v>45881</v>
      </c>
      <c r="AN225" s="2">
        <v>5.5</v>
      </c>
      <c r="AO225" s="2">
        <v>6</v>
      </c>
      <c r="AQ225" t="str">
        <f>TRIM(MID(SUBSTITUTE($G225, ",", REPT(" ", 100)), (COLUMNS($AJ$2:AQ225)-1)*100+1, 100))</f>
        <v/>
      </c>
      <c r="AR225" t="str">
        <f>TRIM(MID(SUBSTITUTE($G225, ",", REPT(" ", 100)), (COLUMNS($AJ$2:AR225)-1)*100+1, 100))</f>
        <v/>
      </c>
      <c r="AS225" t="str">
        <f>TRIM(MID(SUBSTITUTE($G225, ",", REPT(" ", 100)), (COLUMNS($AJ$2:AS225)-1)*100+1, 100))</f>
        <v/>
      </c>
      <c r="AT225" t="str">
        <f>TRIM(MID(SUBSTITUTE($G225, ",", REPT(" ", 100)), (COLUMNS($AJ$2:AT225)-1)*100+1, 100))</f>
        <v/>
      </c>
      <c r="AU225" t="str">
        <f>TRIM(MID(SUBSTITUTE($G225, ",", REPT(" ", 100)), (COLUMNS($AJ$2:AU225)-1)*100+1, 100))</f>
        <v/>
      </c>
      <c r="AV225" t="str">
        <f>TRIM(MID(SUBSTITUTE($G225, ",", REPT(" ", 100)), (COLUMNS($AJ$2:AV225)-1)*100+1, 100))</f>
        <v/>
      </c>
      <c r="AW225" t="str">
        <f>TRIM(MID(SUBSTITUTE($G225, ",", REPT(" ", 100)), (COLUMNS($AJ$2:AW225)-1)*100+1, 100))</f>
        <v/>
      </c>
      <c r="AX225" t="str">
        <f>TRIM(MID(SUBSTITUTE($G225, ",", REPT(" ", 100)), (COLUMNS($AJ$2:AX225)-1)*100+1, 100))</f>
        <v/>
      </c>
      <c r="AY225" t="str">
        <f>TRIM(MID(SUBSTITUTE($G225, ",", REPT(" ", 100)), (COLUMNS($AJ$2:AY225)-1)*100+1, 100))</f>
        <v/>
      </c>
      <c r="AZ225" t="str">
        <f>TRIM(MID(SUBSTITUTE($G225, ",", REPT(" ", 100)), (COLUMNS($AJ$2:AZ225)-1)*100+1, 100))</f>
        <v/>
      </c>
      <c r="BA225" t="str">
        <f>TRIM(MID(SUBSTITUTE($G225, ",", REPT(" ", 100)), (COLUMNS($AJ$2:BA225)-1)*100+1, 100))</f>
        <v/>
      </c>
      <c r="BB225" t="str">
        <f>TRIM(MID(SUBSTITUTE($G225, ",", REPT(" ", 100)), (COLUMNS($AJ$2:BB225)-1)*100+1, 100))</f>
        <v/>
      </c>
      <c r="BC225" t="str">
        <f>TRIM(MID(SUBSTITUTE($G225, ",", REPT(" ", 100)), (COLUMNS($AJ$2:BC225)-1)*100+1, 100))</f>
        <v/>
      </c>
      <c r="BH225">
        <f t="shared" si="5"/>
        <v>1</v>
      </c>
    </row>
    <row r="226" spans="1:60" x14ac:dyDescent="0.5">
      <c r="A226" s="32" t="s">
        <v>431</v>
      </c>
      <c r="B226" s="257">
        <v>46247</v>
      </c>
      <c r="C226" s="2">
        <v>7</v>
      </c>
      <c r="D226" s="272"/>
      <c r="E226" s="271"/>
      <c r="F226" s="260">
        <v>0</v>
      </c>
      <c r="G226" s="38" t="s">
        <v>462</v>
      </c>
      <c r="H226" s="38" t="s">
        <v>624</v>
      </c>
      <c r="I226" s="38">
        <v>0</v>
      </c>
      <c r="AL226" t="str">
        <f>TRIM(MID(SUBSTITUTE($G226, ",", REPT(" ", 100)), (COLUMNS($AJ$2:AL226)-1)*100+1, 100))</f>
        <v/>
      </c>
      <c r="AM226" s="1">
        <v>45882</v>
      </c>
      <c r="AN226" s="2">
        <v>7.5</v>
      </c>
      <c r="AO226" s="2">
        <v>4</v>
      </c>
      <c r="AQ226" t="str">
        <f>TRIM(MID(SUBSTITUTE($G226, ",", REPT(" ", 100)), (COLUMNS($AJ$2:AQ226)-1)*100+1, 100))</f>
        <v/>
      </c>
      <c r="AR226" t="str">
        <f>TRIM(MID(SUBSTITUTE($G226, ",", REPT(" ", 100)), (COLUMNS($AJ$2:AR226)-1)*100+1, 100))</f>
        <v/>
      </c>
      <c r="AS226" t="str">
        <f>TRIM(MID(SUBSTITUTE($G226, ",", REPT(" ", 100)), (COLUMNS($AJ$2:AS226)-1)*100+1, 100))</f>
        <v/>
      </c>
      <c r="AT226" t="str">
        <f>TRIM(MID(SUBSTITUTE($G226, ",", REPT(" ", 100)), (COLUMNS($AJ$2:AT226)-1)*100+1, 100))</f>
        <v/>
      </c>
      <c r="AU226" t="str">
        <f>TRIM(MID(SUBSTITUTE($G226, ",", REPT(" ", 100)), (COLUMNS($AJ$2:AU226)-1)*100+1, 100))</f>
        <v/>
      </c>
      <c r="AV226" t="str">
        <f>TRIM(MID(SUBSTITUTE($G226, ",", REPT(" ", 100)), (COLUMNS($AJ$2:AV226)-1)*100+1, 100))</f>
        <v/>
      </c>
      <c r="AW226" t="str">
        <f>TRIM(MID(SUBSTITUTE($G226, ",", REPT(" ", 100)), (COLUMNS($AJ$2:AW226)-1)*100+1, 100))</f>
        <v/>
      </c>
      <c r="AX226" t="str">
        <f>TRIM(MID(SUBSTITUTE($G226, ",", REPT(" ", 100)), (COLUMNS($AJ$2:AX226)-1)*100+1, 100))</f>
        <v/>
      </c>
      <c r="AY226" t="str">
        <f>TRIM(MID(SUBSTITUTE($G226, ",", REPT(" ", 100)), (COLUMNS($AJ$2:AY226)-1)*100+1, 100))</f>
        <v/>
      </c>
      <c r="AZ226" t="str">
        <f>TRIM(MID(SUBSTITUTE($G226, ",", REPT(" ", 100)), (COLUMNS($AJ$2:AZ226)-1)*100+1, 100))</f>
        <v/>
      </c>
      <c r="BA226" t="str">
        <f>TRIM(MID(SUBSTITUTE($G226, ",", REPT(" ", 100)), (COLUMNS($AJ$2:BA226)-1)*100+1, 100))</f>
        <v/>
      </c>
      <c r="BB226" t="str">
        <f>TRIM(MID(SUBSTITUTE($G226, ",", REPT(" ", 100)), (COLUMNS($AJ$2:BB226)-1)*100+1, 100))</f>
        <v/>
      </c>
      <c r="BC226" t="str">
        <f>TRIM(MID(SUBSTITUTE($G226, ",", REPT(" ", 100)), (COLUMNS($AJ$2:BC226)-1)*100+1, 100))</f>
        <v/>
      </c>
      <c r="BH226">
        <f t="shared" si="5"/>
        <v>1</v>
      </c>
    </row>
    <row r="227" spans="1:60" ht="14.7" thickBot="1" x14ac:dyDescent="0.55000000000000004">
      <c r="A227" s="32" t="s">
        <v>432</v>
      </c>
      <c r="B227" s="258">
        <v>46248</v>
      </c>
      <c r="C227" s="2">
        <v>6.1</v>
      </c>
      <c r="D227" s="272"/>
      <c r="E227" s="271"/>
      <c r="F227" s="260">
        <v>1</v>
      </c>
      <c r="G227" s="38" t="s">
        <v>462</v>
      </c>
      <c r="I227" s="38">
        <v>0</v>
      </c>
      <c r="AL227" t="str">
        <f>TRIM(MID(SUBSTITUTE($G227, ",", REPT(" ", 100)), (COLUMNS($AJ$2:AL227)-1)*100+1, 100))</f>
        <v/>
      </c>
      <c r="AM227" s="1">
        <v>45883</v>
      </c>
      <c r="AN227" s="2">
        <v>5</v>
      </c>
      <c r="AO227" s="2">
        <v>2</v>
      </c>
      <c r="AQ227" t="str">
        <f>TRIM(MID(SUBSTITUTE($G227, ",", REPT(" ", 100)), (COLUMNS($AJ$2:AQ227)-1)*100+1, 100))</f>
        <v/>
      </c>
      <c r="AR227" t="str">
        <f>TRIM(MID(SUBSTITUTE($G227, ",", REPT(" ", 100)), (COLUMNS($AJ$2:AR227)-1)*100+1, 100))</f>
        <v/>
      </c>
      <c r="AS227" t="str">
        <f>TRIM(MID(SUBSTITUTE($G227, ",", REPT(" ", 100)), (COLUMNS($AJ$2:AS227)-1)*100+1, 100))</f>
        <v/>
      </c>
      <c r="AT227" t="str">
        <f>TRIM(MID(SUBSTITUTE($G227, ",", REPT(" ", 100)), (COLUMNS($AJ$2:AT227)-1)*100+1, 100))</f>
        <v/>
      </c>
      <c r="AU227" t="str">
        <f>TRIM(MID(SUBSTITUTE($G227, ",", REPT(" ", 100)), (COLUMNS($AJ$2:AU227)-1)*100+1, 100))</f>
        <v/>
      </c>
      <c r="AV227" t="str">
        <f>TRIM(MID(SUBSTITUTE($G227, ",", REPT(" ", 100)), (COLUMNS($AJ$2:AV227)-1)*100+1, 100))</f>
        <v/>
      </c>
      <c r="AW227" t="str">
        <f>TRIM(MID(SUBSTITUTE($G227, ",", REPT(" ", 100)), (COLUMNS($AJ$2:AW227)-1)*100+1, 100))</f>
        <v/>
      </c>
      <c r="AX227" t="str">
        <f>TRIM(MID(SUBSTITUTE($G227, ",", REPT(" ", 100)), (COLUMNS($AJ$2:AX227)-1)*100+1, 100))</f>
        <v/>
      </c>
      <c r="AY227" t="str">
        <f>TRIM(MID(SUBSTITUTE($G227, ",", REPT(" ", 100)), (COLUMNS($AJ$2:AY227)-1)*100+1, 100))</f>
        <v/>
      </c>
      <c r="AZ227" t="str">
        <f>TRIM(MID(SUBSTITUTE($G227, ",", REPT(" ", 100)), (COLUMNS($AJ$2:AZ227)-1)*100+1, 100))</f>
        <v/>
      </c>
      <c r="BA227" t="str">
        <f>TRIM(MID(SUBSTITUTE($G227, ",", REPT(" ", 100)), (COLUMNS($AJ$2:BA227)-1)*100+1, 100))</f>
        <v/>
      </c>
      <c r="BB227" t="str">
        <f>TRIM(MID(SUBSTITUTE($G227, ",", REPT(" ", 100)), (COLUMNS($AJ$2:BB227)-1)*100+1, 100))</f>
        <v/>
      </c>
      <c r="BC227" t="str">
        <f>TRIM(MID(SUBSTITUTE($G227, ",", REPT(" ", 100)), (COLUMNS($AJ$2:BC227)-1)*100+1, 100))</f>
        <v/>
      </c>
      <c r="BH227">
        <f t="shared" si="5"/>
        <v>1</v>
      </c>
    </row>
    <row r="228" spans="1:60" x14ac:dyDescent="0.5">
      <c r="A228" s="32" t="s">
        <v>433</v>
      </c>
      <c r="B228" s="257">
        <v>46249</v>
      </c>
      <c r="C228" s="2">
        <v>6.1</v>
      </c>
      <c r="D228" s="272"/>
      <c r="E228" s="271"/>
      <c r="F228" s="260">
        <v>0</v>
      </c>
      <c r="G228" s="38" t="s">
        <v>617</v>
      </c>
      <c r="I228" s="38">
        <v>0</v>
      </c>
      <c r="AL228" t="str">
        <f>TRIM(MID(SUBSTITUTE($G228, ",", REPT(" ", 100)), (COLUMNS($AJ$2:AL228)-1)*100+1, 100))</f>
        <v/>
      </c>
      <c r="AM228" s="1">
        <v>45884</v>
      </c>
      <c r="AN228" s="2">
        <v>5</v>
      </c>
      <c r="AO228" s="2">
        <v>2</v>
      </c>
      <c r="AQ228" t="str">
        <f>TRIM(MID(SUBSTITUTE($G228, ",", REPT(" ", 100)), (COLUMNS($AJ$2:AQ228)-1)*100+1, 100))</f>
        <v/>
      </c>
      <c r="AR228" t="str">
        <f>TRIM(MID(SUBSTITUTE($G228, ",", REPT(" ", 100)), (COLUMNS($AJ$2:AR228)-1)*100+1, 100))</f>
        <v/>
      </c>
      <c r="AS228" t="str">
        <f>TRIM(MID(SUBSTITUTE($G228, ",", REPT(" ", 100)), (COLUMNS($AJ$2:AS228)-1)*100+1, 100))</f>
        <v/>
      </c>
      <c r="AT228" t="str">
        <f>TRIM(MID(SUBSTITUTE($G228, ",", REPT(" ", 100)), (COLUMNS($AJ$2:AT228)-1)*100+1, 100))</f>
        <v/>
      </c>
      <c r="AU228" t="str">
        <f>TRIM(MID(SUBSTITUTE($G228, ",", REPT(" ", 100)), (COLUMNS($AJ$2:AU228)-1)*100+1, 100))</f>
        <v/>
      </c>
      <c r="AV228" t="str">
        <f>TRIM(MID(SUBSTITUTE($G228, ",", REPT(" ", 100)), (COLUMNS($AJ$2:AV228)-1)*100+1, 100))</f>
        <v/>
      </c>
      <c r="AW228" t="str">
        <f>TRIM(MID(SUBSTITUTE($G228, ",", REPT(" ", 100)), (COLUMNS($AJ$2:AW228)-1)*100+1, 100))</f>
        <v/>
      </c>
      <c r="AX228" t="str">
        <f>TRIM(MID(SUBSTITUTE($G228, ",", REPT(" ", 100)), (COLUMNS($AJ$2:AX228)-1)*100+1, 100))</f>
        <v/>
      </c>
      <c r="AY228" t="str">
        <f>TRIM(MID(SUBSTITUTE($G228, ",", REPT(" ", 100)), (COLUMNS($AJ$2:AY228)-1)*100+1, 100))</f>
        <v/>
      </c>
      <c r="AZ228" t="str">
        <f>TRIM(MID(SUBSTITUTE($G228, ",", REPT(" ", 100)), (COLUMNS($AJ$2:AZ228)-1)*100+1, 100))</f>
        <v/>
      </c>
      <c r="BA228" t="str">
        <f>TRIM(MID(SUBSTITUTE($G228, ",", REPT(" ", 100)), (COLUMNS($AJ$2:BA228)-1)*100+1, 100))</f>
        <v/>
      </c>
      <c r="BB228" t="str">
        <f>TRIM(MID(SUBSTITUTE($G228, ",", REPT(" ", 100)), (COLUMNS($AJ$2:BB228)-1)*100+1, 100))</f>
        <v/>
      </c>
      <c r="BC228" t="str">
        <f>TRIM(MID(SUBSTITUTE($G228, ",", REPT(" ", 100)), (COLUMNS($AJ$2:BC228)-1)*100+1, 100))</f>
        <v/>
      </c>
      <c r="BH228">
        <f t="shared" si="5"/>
        <v>0.5</v>
      </c>
    </row>
    <row r="229" spans="1:60" ht="14.7" thickBot="1" x14ac:dyDescent="0.55000000000000004">
      <c r="A229" s="32" t="s">
        <v>434</v>
      </c>
      <c r="B229" s="258">
        <v>46250</v>
      </c>
      <c r="C229" s="2">
        <v>7.1</v>
      </c>
      <c r="D229" s="272"/>
      <c r="E229" s="271"/>
      <c r="F229" s="260">
        <v>0</v>
      </c>
      <c r="G229" s="38" t="s">
        <v>616</v>
      </c>
      <c r="I229" s="38">
        <v>0</v>
      </c>
      <c r="AL229" t="str">
        <f>TRIM(MID(SUBSTITUTE($G229, ",", REPT(" ", 100)), (COLUMNS($AJ$2:AL229)-1)*100+1, 100))</f>
        <v/>
      </c>
      <c r="AM229" s="1">
        <v>45885</v>
      </c>
      <c r="AN229" s="2">
        <v>6</v>
      </c>
      <c r="AO229" s="2">
        <v>4</v>
      </c>
      <c r="AQ229" t="str">
        <f>TRIM(MID(SUBSTITUTE($G229, ",", REPT(" ", 100)), (COLUMNS($AJ$2:AQ229)-1)*100+1, 100))</f>
        <v/>
      </c>
      <c r="AR229" t="str">
        <f>TRIM(MID(SUBSTITUTE($G229, ",", REPT(" ", 100)), (COLUMNS($AJ$2:AR229)-1)*100+1, 100))</f>
        <v/>
      </c>
      <c r="AS229" t="str">
        <f>TRIM(MID(SUBSTITUTE($G229, ",", REPT(" ", 100)), (COLUMNS($AJ$2:AS229)-1)*100+1, 100))</f>
        <v/>
      </c>
      <c r="AT229" t="str">
        <f>TRIM(MID(SUBSTITUTE($G229, ",", REPT(" ", 100)), (COLUMNS($AJ$2:AT229)-1)*100+1, 100))</f>
        <v/>
      </c>
      <c r="AU229" t="str">
        <f>TRIM(MID(SUBSTITUTE($G229, ",", REPT(" ", 100)), (COLUMNS($AJ$2:AU229)-1)*100+1, 100))</f>
        <v/>
      </c>
      <c r="AV229" t="str">
        <f>TRIM(MID(SUBSTITUTE($G229, ",", REPT(" ", 100)), (COLUMNS($AJ$2:AV229)-1)*100+1, 100))</f>
        <v/>
      </c>
      <c r="AW229" t="str">
        <f>TRIM(MID(SUBSTITUTE($G229, ",", REPT(" ", 100)), (COLUMNS($AJ$2:AW229)-1)*100+1, 100))</f>
        <v/>
      </c>
      <c r="AX229" t="str">
        <f>TRIM(MID(SUBSTITUTE($G229, ",", REPT(" ", 100)), (COLUMNS($AJ$2:AX229)-1)*100+1, 100))</f>
        <v/>
      </c>
      <c r="AY229" t="str">
        <f>TRIM(MID(SUBSTITUTE($G229, ",", REPT(" ", 100)), (COLUMNS($AJ$2:AY229)-1)*100+1, 100))</f>
        <v/>
      </c>
      <c r="AZ229" t="str">
        <f>TRIM(MID(SUBSTITUTE($G229, ",", REPT(" ", 100)), (COLUMNS($AJ$2:AZ229)-1)*100+1, 100))</f>
        <v/>
      </c>
      <c r="BA229" t="str">
        <f>TRIM(MID(SUBSTITUTE($G229, ",", REPT(" ", 100)), (COLUMNS($AJ$2:BA229)-1)*100+1, 100))</f>
        <v/>
      </c>
      <c r="BB229" t="str">
        <f>TRIM(MID(SUBSTITUTE($G229, ",", REPT(" ", 100)), (COLUMNS($AJ$2:BB229)-1)*100+1, 100))</f>
        <v/>
      </c>
      <c r="BC229" t="str">
        <f>TRIM(MID(SUBSTITUTE($G229, ",", REPT(" ", 100)), (COLUMNS($AJ$2:BC229)-1)*100+1, 100))</f>
        <v/>
      </c>
      <c r="BH229">
        <f t="shared" si="5"/>
        <v>1</v>
      </c>
    </row>
    <row r="230" spans="1:60" x14ac:dyDescent="0.5">
      <c r="A230" s="32" t="s">
        <v>435</v>
      </c>
      <c r="B230" s="257">
        <v>46251</v>
      </c>
      <c r="C230" s="2">
        <v>10</v>
      </c>
      <c r="D230" s="272"/>
      <c r="E230" s="271"/>
      <c r="F230" s="260">
        <v>1</v>
      </c>
      <c r="G230" s="38" t="s">
        <v>616</v>
      </c>
      <c r="H230" s="38" t="s">
        <v>626</v>
      </c>
      <c r="I230" s="38">
        <v>0</v>
      </c>
      <c r="AL230" t="str">
        <f>TRIM(MID(SUBSTITUTE($G230, ",", REPT(" ", 100)), (COLUMNS($AJ$2:AL230)-1)*100+1, 100))</f>
        <v/>
      </c>
      <c r="AM230" s="1">
        <v>45886</v>
      </c>
      <c r="AN230" s="2">
        <v>7</v>
      </c>
      <c r="AO230" s="2">
        <v>6</v>
      </c>
      <c r="AQ230" t="str">
        <f>TRIM(MID(SUBSTITUTE($G230, ",", REPT(" ", 100)), (COLUMNS($AJ$2:AQ230)-1)*100+1, 100))</f>
        <v/>
      </c>
      <c r="AR230" t="str">
        <f>TRIM(MID(SUBSTITUTE($G230, ",", REPT(" ", 100)), (COLUMNS($AJ$2:AR230)-1)*100+1, 100))</f>
        <v/>
      </c>
      <c r="AS230" t="str">
        <f>TRIM(MID(SUBSTITUTE($G230, ",", REPT(" ", 100)), (COLUMNS($AJ$2:AS230)-1)*100+1, 100))</f>
        <v/>
      </c>
      <c r="AT230" t="str">
        <f>TRIM(MID(SUBSTITUTE($G230, ",", REPT(" ", 100)), (COLUMNS($AJ$2:AT230)-1)*100+1, 100))</f>
        <v/>
      </c>
      <c r="AU230" t="str">
        <f>TRIM(MID(SUBSTITUTE($G230, ",", REPT(" ", 100)), (COLUMNS($AJ$2:AU230)-1)*100+1, 100))</f>
        <v/>
      </c>
      <c r="AV230" t="str">
        <f>TRIM(MID(SUBSTITUTE($G230, ",", REPT(" ", 100)), (COLUMNS($AJ$2:AV230)-1)*100+1, 100))</f>
        <v/>
      </c>
      <c r="AW230" t="str">
        <f>TRIM(MID(SUBSTITUTE($G230, ",", REPT(" ", 100)), (COLUMNS($AJ$2:AW230)-1)*100+1, 100))</f>
        <v/>
      </c>
      <c r="AX230" t="str">
        <f>TRIM(MID(SUBSTITUTE($G230, ",", REPT(" ", 100)), (COLUMNS($AJ$2:AX230)-1)*100+1, 100))</f>
        <v/>
      </c>
      <c r="AY230" t="str">
        <f>TRIM(MID(SUBSTITUTE($G230, ",", REPT(" ", 100)), (COLUMNS($AJ$2:AY230)-1)*100+1, 100))</f>
        <v/>
      </c>
      <c r="AZ230" t="str">
        <f>TRIM(MID(SUBSTITUTE($G230, ",", REPT(" ", 100)), (COLUMNS($AJ$2:AZ230)-1)*100+1, 100))</f>
        <v/>
      </c>
      <c r="BA230" t="str">
        <f>TRIM(MID(SUBSTITUTE($G230, ",", REPT(" ", 100)), (COLUMNS($AJ$2:BA230)-1)*100+1, 100))</f>
        <v/>
      </c>
      <c r="BB230" t="str">
        <f>TRIM(MID(SUBSTITUTE($G230, ",", REPT(" ", 100)), (COLUMNS($AJ$2:BB230)-1)*100+1, 100))</f>
        <v/>
      </c>
      <c r="BC230" t="str">
        <f>TRIM(MID(SUBSTITUTE($G230, ",", REPT(" ", 100)), (COLUMNS($AJ$2:BC230)-1)*100+1, 100))</f>
        <v/>
      </c>
      <c r="BH230">
        <f t="shared" si="5"/>
        <v>1</v>
      </c>
    </row>
    <row r="231" spans="1:60" ht="14.7" thickBot="1" x14ac:dyDescent="0.55000000000000004">
      <c r="A231" s="32" t="s">
        <v>436</v>
      </c>
      <c r="B231" s="258">
        <v>46252</v>
      </c>
      <c r="C231" s="2">
        <v>6.1</v>
      </c>
      <c r="D231" s="272"/>
      <c r="E231" s="271"/>
      <c r="F231" s="260">
        <v>1</v>
      </c>
      <c r="G231" s="38" t="s">
        <v>618</v>
      </c>
      <c r="I231" s="38">
        <v>0</v>
      </c>
      <c r="AL231" t="str">
        <f>TRIM(MID(SUBSTITUTE($G231, ",", REPT(" ", 100)), (COLUMNS($AJ$2:AL231)-1)*100+1, 100))</f>
        <v/>
      </c>
      <c r="AM231" s="1">
        <v>45887</v>
      </c>
      <c r="AN231" s="2">
        <v>4</v>
      </c>
      <c r="AO231" s="2">
        <v>8</v>
      </c>
      <c r="AQ231" t="str">
        <f>TRIM(MID(SUBSTITUTE($G231, ",", REPT(" ", 100)), (COLUMNS($AJ$2:AQ231)-1)*100+1, 100))</f>
        <v/>
      </c>
      <c r="AR231" t="str">
        <f>TRIM(MID(SUBSTITUTE($G231, ",", REPT(" ", 100)), (COLUMNS($AJ$2:AR231)-1)*100+1, 100))</f>
        <v/>
      </c>
      <c r="AS231" t="str">
        <f>TRIM(MID(SUBSTITUTE($G231, ",", REPT(" ", 100)), (COLUMNS($AJ$2:AS231)-1)*100+1, 100))</f>
        <v/>
      </c>
      <c r="AT231" t="str">
        <f>TRIM(MID(SUBSTITUTE($G231, ",", REPT(" ", 100)), (COLUMNS($AJ$2:AT231)-1)*100+1, 100))</f>
        <v/>
      </c>
      <c r="AU231" t="str">
        <f>TRIM(MID(SUBSTITUTE($G231, ",", REPT(" ", 100)), (COLUMNS($AJ$2:AU231)-1)*100+1, 100))</f>
        <v/>
      </c>
      <c r="AV231" t="str">
        <f>TRIM(MID(SUBSTITUTE($G231, ",", REPT(" ", 100)), (COLUMNS($AJ$2:AV231)-1)*100+1, 100))</f>
        <v/>
      </c>
      <c r="AW231" t="str">
        <f>TRIM(MID(SUBSTITUTE($G231, ",", REPT(" ", 100)), (COLUMNS($AJ$2:AW231)-1)*100+1, 100))</f>
        <v/>
      </c>
      <c r="AX231" t="str">
        <f>TRIM(MID(SUBSTITUTE($G231, ",", REPT(" ", 100)), (COLUMNS($AJ$2:AX231)-1)*100+1, 100))</f>
        <v/>
      </c>
      <c r="AY231" t="str">
        <f>TRIM(MID(SUBSTITUTE($G231, ",", REPT(" ", 100)), (COLUMNS($AJ$2:AY231)-1)*100+1, 100))</f>
        <v/>
      </c>
      <c r="AZ231" t="str">
        <f>TRIM(MID(SUBSTITUTE($G231, ",", REPT(" ", 100)), (COLUMNS($AJ$2:AZ231)-1)*100+1, 100))</f>
        <v/>
      </c>
      <c r="BA231" t="str">
        <f>TRIM(MID(SUBSTITUTE($G231, ",", REPT(" ", 100)), (COLUMNS($AJ$2:BA231)-1)*100+1, 100))</f>
        <v/>
      </c>
      <c r="BB231" t="str">
        <f>TRIM(MID(SUBSTITUTE($G231, ",", REPT(" ", 100)), (COLUMNS($AJ$2:BB231)-1)*100+1, 100))</f>
        <v/>
      </c>
      <c r="BC231" t="str">
        <f>TRIM(MID(SUBSTITUTE($G231, ",", REPT(" ", 100)), (COLUMNS($AJ$2:BC231)-1)*100+1, 100))</f>
        <v/>
      </c>
      <c r="BH231">
        <f t="shared" si="5"/>
        <v>0.5</v>
      </c>
    </row>
    <row r="232" spans="1:60" x14ac:dyDescent="0.5">
      <c r="A232" s="32" t="s">
        <v>437</v>
      </c>
      <c r="B232" s="257">
        <v>46253</v>
      </c>
      <c r="C232" s="2">
        <v>6.4</v>
      </c>
      <c r="D232" s="272"/>
      <c r="E232" s="271"/>
      <c r="F232" s="260">
        <v>1</v>
      </c>
      <c r="G232" s="38" t="s">
        <v>462</v>
      </c>
      <c r="I232" s="38">
        <v>0</v>
      </c>
      <c r="AL232" t="str">
        <f>TRIM(MID(SUBSTITUTE($G232, ",", REPT(" ", 100)), (COLUMNS($AJ$2:AL232)-1)*100+1, 100))</f>
        <v/>
      </c>
      <c r="AM232" s="1">
        <v>45888</v>
      </c>
      <c r="AN232" s="2">
        <v>2</v>
      </c>
      <c r="AO232" s="2">
        <v>4</v>
      </c>
      <c r="AQ232" t="str">
        <f>TRIM(MID(SUBSTITUTE($G232, ",", REPT(" ", 100)), (COLUMNS($AJ$2:AQ232)-1)*100+1, 100))</f>
        <v/>
      </c>
      <c r="AR232" t="str">
        <f>TRIM(MID(SUBSTITUTE($G232, ",", REPT(" ", 100)), (COLUMNS($AJ$2:AR232)-1)*100+1, 100))</f>
        <v/>
      </c>
      <c r="AS232" t="str">
        <f>TRIM(MID(SUBSTITUTE($G232, ",", REPT(" ", 100)), (COLUMNS($AJ$2:AS232)-1)*100+1, 100))</f>
        <v/>
      </c>
      <c r="AT232" t="str">
        <f>TRIM(MID(SUBSTITUTE($G232, ",", REPT(" ", 100)), (COLUMNS($AJ$2:AT232)-1)*100+1, 100))</f>
        <v/>
      </c>
      <c r="AU232" t="str">
        <f>TRIM(MID(SUBSTITUTE($G232, ",", REPT(" ", 100)), (COLUMNS($AJ$2:AU232)-1)*100+1, 100))</f>
        <v/>
      </c>
      <c r="AV232" t="str">
        <f>TRIM(MID(SUBSTITUTE($G232, ",", REPT(" ", 100)), (COLUMNS($AJ$2:AV232)-1)*100+1, 100))</f>
        <v/>
      </c>
      <c r="AW232" t="str">
        <f>TRIM(MID(SUBSTITUTE($G232, ",", REPT(" ", 100)), (COLUMNS($AJ$2:AW232)-1)*100+1, 100))</f>
        <v/>
      </c>
      <c r="AX232" t="str">
        <f>TRIM(MID(SUBSTITUTE($G232, ",", REPT(" ", 100)), (COLUMNS($AJ$2:AX232)-1)*100+1, 100))</f>
        <v/>
      </c>
      <c r="AY232" t="str">
        <f>TRIM(MID(SUBSTITUTE($G232, ",", REPT(" ", 100)), (COLUMNS($AJ$2:AY232)-1)*100+1, 100))</f>
        <v/>
      </c>
      <c r="AZ232" t="str">
        <f>TRIM(MID(SUBSTITUTE($G232, ",", REPT(" ", 100)), (COLUMNS($AJ$2:AZ232)-1)*100+1, 100))</f>
        <v/>
      </c>
      <c r="BA232" t="str">
        <f>TRIM(MID(SUBSTITUTE($G232, ",", REPT(" ", 100)), (COLUMNS($AJ$2:BA232)-1)*100+1, 100))</f>
        <v/>
      </c>
      <c r="BB232" t="str">
        <f>TRIM(MID(SUBSTITUTE($G232, ",", REPT(" ", 100)), (COLUMNS($AJ$2:BB232)-1)*100+1, 100))</f>
        <v/>
      </c>
      <c r="BC232" t="str">
        <f>TRIM(MID(SUBSTITUTE($G232, ",", REPT(" ", 100)), (COLUMNS($AJ$2:BC232)-1)*100+1, 100))</f>
        <v/>
      </c>
      <c r="BH232">
        <f t="shared" si="5"/>
        <v>1</v>
      </c>
    </row>
    <row r="233" spans="1:60" ht="14.7" thickBot="1" x14ac:dyDescent="0.55000000000000004">
      <c r="A233" s="32" t="s">
        <v>431</v>
      </c>
      <c r="B233" s="258">
        <v>46254</v>
      </c>
      <c r="C233" s="2">
        <v>6.7</v>
      </c>
      <c r="D233" s="272"/>
      <c r="E233" s="271"/>
      <c r="F233" s="260">
        <v>0</v>
      </c>
      <c r="G233" s="38" t="s">
        <v>462</v>
      </c>
      <c r="H233" s="38" t="s">
        <v>625</v>
      </c>
      <c r="I233" s="38">
        <v>0</v>
      </c>
      <c r="AL233" t="str">
        <f>TRIM(MID(SUBSTITUTE($G233, ",", REPT(" ", 100)), (COLUMNS($AJ$2:AL233)-1)*100+1, 100))</f>
        <v/>
      </c>
      <c r="AM233" s="1">
        <v>45889</v>
      </c>
      <c r="AN233" s="2">
        <v>4</v>
      </c>
      <c r="AO233" s="2">
        <v>4</v>
      </c>
      <c r="AQ233" t="str">
        <f>TRIM(MID(SUBSTITUTE($G233, ",", REPT(" ", 100)), (COLUMNS($AJ$2:AQ233)-1)*100+1, 100))</f>
        <v/>
      </c>
      <c r="AR233" t="str">
        <f>TRIM(MID(SUBSTITUTE($G233, ",", REPT(" ", 100)), (COLUMNS($AJ$2:AR233)-1)*100+1, 100))</f>
        <v/>
      </c>
      <c r="AS233" t="str">
        <f>TRIM(MID(SUBSTITUTE($G233, ",", REPT(" ", 100)), (COLUMNS($AJ$2:AS233)-1)*100+1, 100))</f>
        <v/>
      </c>
      <c r="AT233" t="str">
        <f>TRIM(MID(SUBSTITUTE($G233, ",", REPT(" ", 100)), (COLUMNS($AJ$2:AT233)-1)*100+1, 100))</f>
        <v/>
      </c>
      <c r="AU233" t="str">
        <f>TRIM(MID(SUBSTITUTE($G233, ",", REPT(" ", 100)), (COLUMNS($AJ$2:AU233)-1)*100+1, 100))</f>
        <v/>
      </c>
      <c r="AV233" t="str">
        <f>TRIM(MID(SUBSTITUTE($G233, ",", REPT(" ", 100)), (COLUMNS($AJ$2:AV233)-1)*100+1, 100))</f>
        <v/>
      </c>
      <c r="AW233" t="str">
        <f>TRIM(MID(SUBSTITUTE($G233, ",", REPT(" ", 100)), (COLUMNS($AJ$2:AW233)-1)*100+1, 100))</f>
        <v/>
      </c>
      <c r="AX233" t="str">
        <f>TRIM(MID(SUBSTITUTE($G233, ",", REPT(" ", 100)), (COLUMNS($AJ$2:AX233)-1)*100+1, 100))</f>
        <v/>
      </c>
      <c r="AY233" t="str">
        <f>TRIM(MID(SUBSTITUTE($G233, ",", REPT(" ", 100)), (COLUMNS($AJ$2:AY233)-1)*100+1, 100))</f>
        <v/>
      </c>
      <c r="AZ233" t="str">
        <f>TRIM(MID(SUBSTITUTE($G233, ",", REPT(" ", 100)), (COLUMNS($AJ$2:AZ233)-1)*100+1, 100))</f>
        <v/>
      </c>
      <c r="BA233" t="str">
        <f>TRIM(MID(SUBSTITUTE($G233, ",", REPT(" ", 100)), (COLUMNS($AJ$2:BA233)-1)*100+1, 100))</f>
        <v/>
      </c>
      <c r="BB233" t="str">
        <f>TRIM(MID(SUBSTITUTE($G233, ",", REPT(" ", 100)), (COLUMNS($AJ$2:BB233)-1)*100+1, 100))</f>
        <v/>
      </c>
      <c r="BC233" t="str">
        <f>TRIM(MID(SUBSTITUTE($G233, ",", REPT(" ", 100)), (COLUMNS($AJ$2:BC233)-1)*100+1, 100))</f>
        <v/>
      </c>
      <c r="BH233">
        <f t="shared" si="5"/>
        <v>1</v>
      </c>
    </row>
    <row r="234" spans="1:60" x14ac:dyDescent="0.5">
      <c r="A234" s="32" t="s">
        <v>432</v>
      </c>
      <c r="B234" s="257">
        <v>46255</v>
      </c>
      <c r="C234" s="2">
        <v>6.5</v>
      </c>
      <c r="D234" s="272"/>
      <c r="E234" s="271"/>
      <c r="F234" s="260">
        <v>0</v>
      </c>
      <c r="G234" s="38" t="s">
        <v>561</v>
      </c>
      <c r="I234" s="38">
        <v>0</v>
      </c>
      <c r="AL234" t="str">
        <f>TRIM(MID(SUBSTITUTE($G234, ",", REPT(" ", 100)), (COLUMNS($AJ$2:AL234)-1)*100+1, 100))</f>
        <v>Meerut</v>
      </c>
      <c r="AM234" s="1">
        <v>45890</v>
      </c>
      <c r="AN234" s="2">
        <v>4</v>
      </c>
      <c r="AO234" s="2">
        <v>4</v>
      </c>
      <c r="AQ234" t="str">
        <f>TRIM(MID(SUBSTITUTE($G234, ",", REPT(" ", 100)), (COLUMNS($AJ$2:AQ234)-1)*100+1, 100))</f>
        <v/>
      </c>
      <c r="AR234" t="str">
        <f>TRIM(MID(SUBSTITUTE($G234, ",", REPT(" ", 100)), (COLUMNS($AJ$2:AR234)-1)*100+1, 100))</f>
        <v/>
      </c>
      <c r="AS234" t="str">
        <f>TRIM(MID(SUBSTITUTE($G234, ",", REPT(" ", 100)), (COLUMNS($AJ$2:AS234)-1)*100+1, 100))</f>
        <v/>
      </c>
      <c r="AT234" t="str">
        <f>TRIM(MID(SUBSTITUTE($G234, ",", REPT(" ", 100)), (COLUMNS($AJ$2:AT234)-1)*100+1, 100))</f>
        <v/>
      </c>
      <c r="AU234" t="str">
        <f>TRIM(MID(SUBSTITUTE($G234, ",", REPT(" ", 100)), (COLUMNS($AJ$2:AU234)-1)*100+1, 100))</f>
        <v/>
      </c>
      <c r="AV234" t="str">
        <f>TRIM(MID(SUBSTITUTE($G234, ",", REPT(" ", 100)), (COLUMNS($AJ$2:AV234)-1)*100+1, 100))</f>
        <v/>
      </c>
      <c r="AW234" t="str">
        <f>TRIM(MID(SUBSTITUTE($G234, ",", REPT(" ", 100)), (COLUMNS($AJ$2:AW234)-1)*100+1, 100))</f>
        <v/>
      </c>
      <c r="AX234" t="str">
        <f>TRIM(MID(SUBSTITUTE($G234, ",", REPT(" ", 100)), (COLUMNS($AJ$2:AX234)-1)*100+1, 100))</f>
        <v/>
      </c>
      <c r="AY234" t="str">
        <f>TRIM(MID(SUBSTITUTE($G234, ",", REPT(" ", 100)), (COLUMNS($AJ$2:AY234)-1)*100+1, 100))</f>
        <v/>
      </c>
      <c r="AZ234" t="str">
        <f>TRIM(MID(SUBSTITUTE($G234, ",", REPT(" ", 100)), (COLUMNS($AJ$2:AZ234)-1)*100+1, 100))</f>
        <v/>
      </c>
      <c r="BA234" t="str">
        <f>TRIM(MID(SUBSTITUTE($G234, ",", REPT(" ", 100)), (COLUMNS($AJ$2:BA234)-1)*100+1, 100))</f>
        <v/>
      </c>
      <c r="BB234" t="str">
        <f>TRIM(MID(SUBSTITUTE($G234, ",", REPT(" ", 100)), (COLUMNS($AJ$2:BB234)-1)*100+1, 100))</f>
        <v/>
      </c>
      <c r="BC234" t="str">
        <f>TRIM(MID(SUBSTITUTE($G234, ",", REPT(" ", 100)), (COLUMNS($AJ$2:BC234)-1)*100+1, 100))</f>
        <v/>
      </c>
      <c r="BH234">
        <f t="shared" si="5"/>
        <v>0.33333333333333331</v>
      </c>
    </row>
    <row r="235" spans="1:60" ht="14.7" thickBot="1" x14ac:dyDescent="0.55000000000000004">
      <c r="A235" s="32" t="s">
        <v>433</v>
      </c>
      <c r="B235" s="258">
        <v>46256</v>
      </c>
      <c r="C235" s="2">
        <v>5.5</v>
      </c>
      <c r="D235" s="272"/>
      <c r="E235" s="271"/>
      <c r="F235" s="260">
        <v>1</v>
      </c>
      <c r="G235" s="38" t="s">
        <v>194</v>
      </c>
      <c r="I235" s="38">
        <v>0</v>
      </c>
      <c r="AL235" t="str">
        <f>TRIM(MID(SUBSTITUTE($G235, ",", REPT(" ", 100)), (COLUMNS($AJ$2:AL235)-1)*100+1, 100))</f>
        <v/>
      </c>
      <c r="AM235" s="1">
        <v>45891</v>
      </c>
      <c r="AN235" s="2">
        <v>5</v>
      </c>
      <c r="AO235" s="2">
        <v>4</v>
      </c>
      <c r="AQ235" t="str">
        <f>TRIM(MID(SUBSTITUTE($G235, ",", REPT(" ", 100)), (COLUMNS($AJ$2:AQ235)-1)*100+1, 100))</f>
        <v/>
      </c>
      <c r="AR235" t="str">
        <f>TRIM(MID(SUBSTITUTE($G235, ",", REPT(" ", 100)), (COLUMNS($AJ$2:AR235)-1)*100+1, 100))</f>
        <v/>
      </c>
      <c r="AS235" t="str">
        <f>TRIM(MID(SUBSTITUTE($G235, ",", REPT(" ", 100)), (COLUMNS($AJ$2:AS235)-1)*100+1, 100))</f>
        <v/>
      </c>
      <c r="AT235" t="str">
        <f>TRIM(MID(SUBSTITUTE($G235, ",", REPT(" ", 100)), (COLUMNS($AJ$2:AT235)-1)*100+1, 100))</f>
        <v/>
      </c>
      <c r="AU235" t="str">
        <f>TRIM(MID(SUBSTITUTE($G235, ",", REPT(" ", 100)), (COLUMNS($AJ$2:AU235)-1)*100+1, 100))</f>
        <v/>
      </c>
      <c r="AV235" t="str">
        <f>TRIM(MID(SUBSTITUTE($G235, ",", REPT(" ", 100)), (COLUMNS($AJ$2:AV235)-1)*100+1, 100))</f>
        <v/>
      </c>
      <c r="AW235" t="str">
        <f>TRIM(MID(SUBSTITUTE($G235, ",", REPT(" ", 100)), (COLUMNS($AJ$2:AW235)-1)*100+1, 100))</f>
        <v/>
      </c>
      <c r="AX235" t="str">
        <f>TRIM(MID(SUBSTITUTE($G235, ",", REPT(" ", 100)), (COLUMNS($AJ$2:AX235)-1)*100+1, 100))</f>
        <v/>
      </c>
      <c r="AY235" t="str">
        <f>TRIM(MID(SUBSTITUTE($G235, ",", REPT(" ", 100)), (COLUMNS($AJ$2:AY235)-1)*100+1, 100))</f>
        <v/>
      </c>
      <c r="AZ235" t="str">
        <f>TRIM(MID(SUBSTITUTE($G235, ",", REPT(" ", 100)), (COLUMNS($AJ$2:AZ235)-1)*100+1, 100))</f>
        <v/>
      </c>
      <c r="BA235" t="str">
        <f>TRIM(MID(SUBSTITUTE($G235, ",", REPT(" ", 100)), (COLUMNS($AJ$2:BA235)-1)*100+1, 100))</f>
        <v/>
      </c>
      <c r="BB235" t="str">
        <f>TRIM(MID(SUBSTITUTE($G235, ",", REPT(" ", 100)), (COLUMNS($AJ$2:BB235)-1)*100+1, 100))</f>
        <v/>
      </c>
      <c r="BC235" t="str">
        <f>TRIM(MID(SUBSTITUTE($G235, ",", REPT(" ", 100)), (COLUMNS($AJ$2:BC235)-1)*100+1, 100))</f>
        <v/>
      </c>
      <c r="BH235">
        <f t="shared" si="5"/>
        <v>1</v>
      </c>
    </row>
    <row r="236" spans="1:60" x14ac:dyDescent="0.5">
      <c r="A236" s="32" t="s">
        <v>434</v>
      </c>
      <c r="B236" s="257">
        <v>46257</v>
      </c>
      <c r="C236" s="2">
        <v>6</v>
      </c>
      <c r="D236" s="272"/>
      <c r="E236" s="271"/>
      <c r="F236" s="260">
        <v>1</v>
      </c>
      <c r="G236" s="38" t="s">
        <v>194</v>
      </c>
      <c r="I236" s="38">
        <v>0</v>
      </c>
      <c r="AL236" t="str">
        <f>TRIM(MID(SUBSTITUTE($G236, ",", REPT(" ", 100)), (COLUMNS($AJ$2:AL236)-1)*100+1, 100))</f>
        <v/>
      </c>
      <c r="AM236" s="1">
        <v>45892</v>
      </c>
      <c r="AN236" s="2">
        <v>7</v>
      </c>
      <c r="AO236" s="2">
        <v>6</v>
      </c>
      <c r="AQ236" t="str">
        <f>TRIM(MID(SUBSTITUTE($G236, ",", REPT(" ", 100)), (COLUMNS($AJ$2:AQ236)-1)*100+1, 100))</f>
        <v/>
      </c>
      <c r="AR236" t="str">
        <f>TRIM(MID(SUBSTITUTE($G236, ",", REPT(" ", 100)), (COLUMNS($AJ$2:AR236)-1)*100+1, 100))</f>
        <v/>
      </c>
      <c r="AS236" t="str">
        <f>TRIM(MID(SUBSTITUTE($G236, ",", REPT(" ", 100)), (COLUMNS($AJ$2:AS236)-1)*100+1, 100))</f>
        <v/>
      </c>
      <c r="AT236" t="str">
        <f>TRIM(MID(SUBSTITUTE($G236, ",", REPT(" ", 100)), (COLUMNS($AJ$2:AT236)-1)*100+1, 100))</f>
        <v/>
      </c>
      <c r="AU236" t="str">
        <f>TRIM(MID(SUBSTITUTE($G236, ",", REPT(" ", 100)), (COLUMNS($AJ$2:AU236)-1)*100+1, 100))</f>
        <v/>
      </c>
      <c r="AV236" t="str">
        <f>TRIM(MID(SUBSTITUTE($G236, ",", REPT(" ", 100)), (COLUMNS($AJ$2:AV236)-1)*100+1, 100))</f>
        <v/>
      </c>
      <c r="AW236" t="str">
        <f>TRIM(MID(SUBSTITUTE($G236, ",", REPT(" ", 100)), (COLUMNS($AJ$2:AW236)-1)*100+1, 100))</f>
        <v/>
      </c>
      <c r="AX236" t="str">
        <f>TRIM(MID(SUBSTITUTE($G236, ",", REPT(" ", 100)), (COLUMNS($AJ$2:AX236)-1)*100+1, 100))</f>
        <v/>
      </c>
      <c r="AY236" t="str">
        <f>TRIM(MID(SUBSTITUTE($G236, ",", REPT(" ", 100)), (COLUMNS($AJ$2:AY236)-1)*100+1, 100))</f>
        <v/>
      </c>
      <c r="AZ236" t="str">
        <f>TRIM(MID(SUBSTITUTE($G236, ",", REPT(" ", 100)), (COLUMNS($AJ$2:AZ236)-1)*100+1, 100))</f>
        <v/>
      </c>
      <c r="BA236" t="str">
        <f>TRIM(MID(SUBSTITUTE($G236, ",", REPT(" ", 100)), (COLUMNS($AJ$2:BA236)-1)*100+1, 100))</f>
        <v/>
      </c>
      <c r="BB236" t="str">
        <f>TRIM(MID(SUBSTITUTE($G236, ",", REPT(" ", 100)), (COLUMNS($AJ$2:BB236)-1)*100+1, 100))</f>
        <v/>
      </c>
      <c r="BC236" t="str">
        <f>TRIM(MID(SUBSTITUTE($G236, ",", REPT(" ", 100)), (COLUMNS($AJ$2:BC236)-1)*100+1, 100))</f>
        <v/>
      </c>
      <c r="BH236">
        <f t="shared" si="5"/>
        <v>1</v>
      </c>
    </row>
    <row r="237" spans="1:60" ht="14.7" thickBot="1" x14ac:dyDescent="0.55000000000000004">
      <c r="A237" s="32" t="s">
        <v>435</v>
      </c>
      <c r="B237" s="258">
        <v>46258</v>
      </c>
      <c r="C237" s="2">
        <v>6</v>
      </c>
      <c r="D237" s="272"/>
      <c r="E237" s="271"/>
      <c r="F237" s="260">
        <v>1</v>
      </c>
      <c r="G237" s="38" t="s">
        <v>194</v>
      </c>
      <c r="H237" s="273"/>
      <c r="I237" s="38">
        <v>0</v>
      </c>
      <c r="AL237" t="str">
        <f>TRIM(MID(SUBSTITUTE($G237, ",", REPT(" ", 100)), (COLUMNS($AJ$2:AL237)-1)*100+1, 100))</f>
        <v/>
      </c>
      <c r="AM237" s="1">
        <v>45893</v>
      </c>
      <c r="AN237" s="2">
        <v>1</v>
      </c>
      <c r="AO237" s="2">
        <v>4</v>
      </c>
      <c r="AQ237" t="str">
        <f>TRIM(MID(SUBSTITUTE($G237, ",", REPT(" ", 100)), (COLUMNS($AJ$2:AQ237)-1)*100+1, 100))</f>
        <v/>
      </c>
      <c r="AR237" t="str">
        <f>TRIM(MID(SUBSTITUTE($G237, ",", REPT(" ", 100)), (COLUMNS($AJ$2:AR237)-1)*100+1, 100))</f>
        <v/>
      </c>
      <c r="AS237" t="str">
        <f>TRIM(MID(SUBSTITUTE($G237, ",", REPT(" ", 100)), (COLUMNS($AJ$2:AS237)-1)*100+1, 100))</f>
        <v/>
      </c>
      <c r="AT237" t="str">
        <f>TRIM(MID(SUBSTITUTE($G237, ",", REPT(" ", 100)), (COLUMNS($AJ$2:AT237)-1)*100+1, 100))</f>
        <v/>
      </c>
      <c r="AU237" t="str">
        <f>TRIM(MID(SUBSTITUTE($G237, ",", REPT(" ", 100)), (COLUMNS($AJ$2:AU237)-1)*100+1, 100))</f>
        <v/>
      </c>
      <c r="AV237" t="str">
        <f>TRIM(MID(SUBSTITUTE($G237, ",", REPT(" ", 100)), (COLUMNS($AJ$2:AV237)-1)*100+1, 100))</f>
        <v/>
      </c>
      <c r="AW237" t="str">
        <f>TRIM(MID(SUBSTITUTE($G237, ",", REPT(" ", 100)), (COLUMNS($AJ$2:AW237)-1)*100+1, 100))</f>
        <v/>
      </c>
      <c r="AX237" t="str">
        <f>TRIM(MID(SUBSTITUTE($G237, ",", REPT(" ", 100)), (COLUMNS($AJ$2:AX237)-1)*100+1, 100))</f>
        <v/>
      </c>
      <c r="AY237" t="str">
        <f>TRIM(MID(SUBSTITUTE($G237, ",", REPT(" ", 100)), (COLUMNS($AJ$2:AY237)-1)*100+1, 100))</f>
        <v/>
      </c>
      <c r="AZ237" t="str">
        <f>TRIM(MID(SUBSTITUTE($G237, ",", REPT(" ", 100)), (COLUMNS($AJ$2:AZ237)-1)*100+1, 100))</f>
        <v/>
      </c>
      <c r="BA237" t="str">
        <f>TRIM(MID(SUBSTITUTE($G237, ",", REPT(" ", 100)), (COLUMNS($AJ$2:BA237)-1)*100+1, 100))</f>
        <v/>
      </c>
      <c r="BB237" t="str">
        <f>TRIM(MID(SUBSTITUTE($G237, ",", REPT(" ", 100)), (COLUMNS($AJ$2:BB237)-1)*100+1, 100))</f>
        <v/>
      </c>
      <c r="BC237" t="str">
        <f>TRIM(MID(SUBSTITUTE($G237, ",", REPT(" ", 100)), (COLUMNS($AJ$2:BC237)-1)*100+1, 100))</f>
        <v/>
      </c>
      <c r="BH237">
        <f t="shared" si="5"/>
        <v>1</v>
      </c>
    </row>
    <row r="238" spans="1:60" x14ac:dyDescent="0.5">
      <c r="A238" s="32" t="s">
        <v>436</v>
      </c>
      <c r="B238" s="257">
        <v>46259</v>
      </c>
      <c r="C238" s="2">
        <v>6.6</v>
      </c>
      <c r="D238" s="272"/>
      <c r="E238" s="271"/>
      <c r="F238" s="260">
        <v>0</v>
      </c>
      <c r="G238" s="38" t="s">
        <v>194</v>
      </c>
      <c r="H238" s="273"/>
      <c r="I238" s="38">
        <v>0</v>
      </c>
      <c r="AL238" t="str">
        <f>TRIM(MID(SUBSTITUTE($G238, ",", REPT(" ", 100)), (COLUMNS($AJ$2:AL238)-1)*100+1, 100))</f>
        <v/>
      </c>
      <c r="AM238" s="1">
        <v>45894</v>
      </c>
      <c r="AN238" s="2">
        <v>2</v>
      </c>
      <c r="AO238" s="2">
        <v>4</v>
      </c>
      <c r="AQ238" t="str">
        <f>TRIM(MID(SUBSTITUTE($G238, ",", REPT(" ", 100)), (COLUMNS($AJ$2:AQ238)-1)*100+1, 100))</f>
        <v/>
      </c>
      <c r="AR238" t="str">
        <f>TRIM(MID(SUBSTITUTE($G238, ",", REPT(" ", 100)), (COLUMNS($AJ$2:AR238)-1)*100+1, 100))</f>
        <v/>
      </c>
      <c r="AS238" t="str">
        <f>TRIM(MID(SUBSTITUTE($G238, ",", REPT(" ", 100)), (COLUMNS($AJ$2:AS238)-1)*100+1, 100))</f>
        <v/>
      </c>
      <c r="AT238" t="str">
        <f>TRIM(MID(SUBSTITUTE($G238, ",", REPT(" ", 100)), (COLUMNS($AJ$2:AT238)-1)*100+1, 100))</f>
        <v/>
      </c>
      <c r="AU238" t="str">
        <f>TRIM(MID(SUBSTITUTE($G238, ",", REPT(" ", 100)), (COLUMNS($AJ$2:AU238)-1)*100+1, 100))</f>
        <v/>
      </c>
      <c r="AV238" t="str">
        <f>TRIM(MID(SUBSTITUTE($G238, ",", REPT(" ", 100)), (COLUMNS($AJ$2:AV238)-1)*100+1, 100))</f>
        <v/>
      </c>
      <c r="AW238" t="str">
        <f>TRIM(MID(SUBSTITUTE($G238, ",", REPT(" ", 100)), (COLUMNS($AJ$2:AW238)-1)*100+1, 100))</f>
        <v/>
      </c>
      <c r="AX238" t="str">
        <f>TRIM(MID(SUBSTITUTE($G238, ",", REPT(" ", 100)), (COLUMNS($AJ$2:AX238)-1)*100+1, 100))</f>
        <v/>
      </c>
      <c r="AY238" t="str">
        <f>TRIM(MID(SUBSTITUTE($G238, ",", REPT(" ", 100)), (COLUMNS($AJ$2:AY238)-1)*100+1, 100))</f>
        <v/>
      </c>
      <c r="AZ238" t="str">
        <f>TRIM(MID(SUBSTITUTE($G238, ",", REPT(" ", 100)), (COLUMNS($AJ$2:AZ238)-1)*100+1, 100))</f>
        <v/>
      </c>
      <c r="BA238" t="str">
        <f>TRIM(MID(SUBSTITUTE($G238, ",", REPT(" ", 100)), (COLUMNS($AJ$2:BA238)-1)*100+1, 100))</f>
        <v/>
      </c>
      <c r="BB238" t="str">
        <f>TRIM(MID(SUBSTITUTE($G238, ",", REPT(" ", 100)), (COLUMNS($AJ$2:BB238)-1)*100+1, 100))</f>
        <v/>
      </c>
      <c r="BC238" t="str">
        <f>TRIM(MID(SUBSTITUTE($G238, ",", REPT(" ", 100)), (COLUMNS($AJ$2:BC238)-1)*100+1, 100))</f>
        <v/>
      </c>
      <c r="BH238">
        <f t="shared" si="5"/>
        <v>1</v>
      </c>
    </row>
    <row r="239" spans="1:60" ht="14.7" thickBot="1" x14ac:dyDescent="0.55000000000000004">
      <c r="A239" s="32" t="s">
        <v>437</v>
      </c>
      <c r="B239" s="258">
        <v>46260</v>
      </c>
      <c r="C239" s="2">
        <v>6.8</v>
      </c>
      <c r="D239" s="272"/>
      <c r="E239" s="271"/>
      <c r="F239" s="260">
        <v>1</v>
      </c>
      <c r="G239" s="38" t="s">
        <v>194</v>
      </c>
      <c r="H239" s="273"/>
      <c r="I239" s="38">
        <v>0</v>
      </c>
      <c r="AL239" t="str">
        <f>TRIM(MID(SUBSTITUTE($G239, ",", REPT(" ", 100)), (COLUMNS($AJ$2:AL239)-1)*100+1, 100))</f>
        <v/>
      </c>
      <c r="AM239" s="1">
        <v>45895</v>
      </c>
      <c r="AN239" s="2">
        <v>2</v>
      </c>
      <c r="AO239" s="2">
        <v>6</v>
      </c>
      <c r="AQ239" t="str">
        <f>TRIM(MID(SUBSTITUTE($G239, ",", REPT(" ", 100)), (COLUMNS($AJ$2:AQ239)-1)*100+1, 100))</f>
        <v/>
      </c>
      <c r="AR239" t="str">
        <f>TRIM(MID(SUBSTITUTE($G239, ",", REPT(" ", 100)), (COLUMNS($AJ$2:AR239)-1)*100+1, 100))</f>
        <v/>
      </c>
      <c r="AS239" t="str">
        <f>TRIM(MID(SUBSTITUTE($G239, ",", REPT(" ", 100)), (COLUMNS($AJ$2:AS239)-1)*100+1, 100))</f>
        <v/>
      </c>
      <c r="AT239" t="str">
        <f>TRIM(MID(SUBSTITUTE($G239, ",", REPT(" ", 100)), (COLUMNS($AJ$2:AT239)-1)*100+1, 100))</f>
        <v/>
      </c>
      <c r="AU239" t="str">
        <f>TRIM(MID(SUBSTITUTE($G239, ",", REPT(" ", 100)), (COLUMNS($AJ$2:AU239)-1)*100+1, 100))</f>
        <v/>
      </c>
      <c r="AV239" t="str">
        <f>TRIM(MID(SUBSTITUTE($G239, ",", REPT(" ", 100)), (COLUMNS($AJ$2:AV239)-1)*100+1, 100))</f>
        <v/>
      </c>
      <c r="AW239" t="str">
        <f>TRIM(MID(SUBSTITUTE($G239, ",", REPT(" ", 100)), (COLUMNS($AJ$2:AW239)-1)*100+1, 100))</f>
        <v/>
      </c>
      <c r="AX239" t="str">
        <f>TRIM(MID(SUBSTITUTE($G239, ",", REPT(" ", 100)), (COLUMNS($AJ$2:AX239)-1)*100+1, 100))</f>
        <v/>
      </c>
      <c r="AY239" t="str">
        <f>TRIM(MID(SUBSTITUTE($G239, ",", REPT(" ", 100)), (COLUMNS($AJ$2:AY239)-1)*100+1, 100))</f>
        <v/>
      </c>
      <c r="AZ239" t="str">
        <f>TRIM(MID(SUBSTITUTE($G239, ",", REPT(" ", 100)), (COLUMNS($AJ$2:AZ239)-1)*100+1, 100))</f>
        <v/>
      </c>
      <c r="BA239" t="str">
        <f>TRIM(MID(SUBSTITUTE($G239, ",", REPT(" ", 100)), (COLUMNS($AJ$2:BA239)-1)*100+1, 100))</f>
        <v/>
      </c>
      <c r="BB239" t="str">
        <f>TRIM(MID(SUBSTITUTE($G239, ",", REPT(" ", 100)), (COLUMNS($AJ$2:BB239)-1)*100+1, 100))</f>
        <v/>
      </c>
      <c r="BC239" t="str">
        <f>TRIM(MID(SUBSTITUTE($G239, ",", REPT(" ", 100)), (COLUMNS($AJ$2:BC239)-1)*100+1, 100))</f>
        <v/>
      </c>
      <c r="BH239">
        <f t="shared" si="5"/>
        <v>1</v>
      </c>
    </row>
    <row r="240" spans="1:60" x14ac:dyDescent="0.5">
      <c r="A240" s="32" t="s">
        <v>431</v>
      </c>
      <c r="B240" s="257">
        <v>46261</v>
      </c>
      <c r="C240" s="2">
        <v>6.5</v>
      </c>
      <c r="D240" s="272"/>
      <c r="E240" s="271"/>
      <c r="F240" s="260">
        <v>1</v>
      </c>
      <c r="G240" s="38" t="s">
        <v>194</v>
      </c>
      <c r="H240" s="273"/>
      <c r="I240" s="38">
        <v>0</v>
      </c>
      <c r="AL240" t="str">
        <f>TRIM(MID(SUBSTITUTE($G240, ",", REPT(" ", 100)), (COLUMNS($AJ$2:AL240)-1)*100+1, 100))</f>
        <v/>
      </c>
      <c r="AM240" s="1">
        <v>45896</v>
      </c>
      <c r="AN240" s="2">
        <v>2</v>
      </c>
      <c r="AO240" s="2">
        <v>2</v>
      </c>
      <c r="AQ240" t="str">
        <f>TRIM(MID(SUBSTITUTE($G240, ",", REPT(" ", 100)), (COLUMNS($AJ$2:AQ240)-1)*100+1, 100))</f>
        <v/>
      </c>
      <c r="AR240" t="str">
        <f>TRIM(MID(SUBSTITUTE($G240, ",", REPT(" ", 100)), (COLUMNS($AJ$2:AR240)-1)*100+1, 100))</f>
        <v/>
      </c>
      <c r="AS240" t="str">
        <f>TRIM(MID(SUBSTITUTE($G240, ",", REPT(" ", 100)), (COLUMNS($AJ$2:AS240)-1)*100+1, 100))</f>
        <v/>
      </c>
      <c r="AT240" t="str">
        <f>TRIM(MID(SUBSTITUTE($G240, ",", REPT(" ", 100)), (COLUMNS($AJ$2:AT240)-1)*100+1, 100))</f>
        <v/>
      </c>
      <c r="AU240" t="str">
        <f>TRIM(MID(SUBSTITUTE($G240, ",", REPT(" ", 100)), (COLUMNS($AJ$2:AU240)-1)*100+1, 100))</f>
        <v/>
      </c>
      <c r="AV240" t="str">
        <f>TRIM(MID(SUBSTITUTE($G240, ",", REPT(" ", 100)), (COLUMNS($AJ$2:AV240)-1)*100+1, 100))</f>
        <v/>
      </c>
      <c r="AW240" t="str">
        <f>TRIM(MID(SUBSTITUTE($G240, ",", REPT(" ", 100)), (COLUMNS($AJ$2:AW240)-1)*100+1, 100))</f>
        <v/>
      </c>
      <c r="AX240" t="str">
        <f>TRIM(MID(SUBSTITUTE($G240, ",", REPT(" ", 100)), (COLUMNS($AJ$2:AX240)-1)*100+1, 100))</f>
        <v/>
      </c>
      <c r="AY240" t="str">
        <f>TRIM(MID(SUBSTITUTE($G240, ",", REPT(" ", 100)), (COLUMNS($AJ$2:AY240)-1)*100+1, 100))</f>
        <v/>
      </c>
      <c r="AZ240" t="str">
        <f>TRIM(MID(SUBSTITUTE($G240, ",", REPT(" ", 100)), (COLUMNS($AJ$2:AZ240)-1)*100+1, 100))</f>
        <v/>
      </c>
      <c r="BA240" t="str">
        <f>TRIM(MID(SUBSTITUTE($G240, ",", REPT(" ", 100)), (COLUMNS($AJ$2:BA240)-1)*100+1, 100))</f>
        <v/>
      </c>
      <c r="BB240" t="str">
        <f>TRIM(MID(SUBSTITUTE($G240, ",", REPT(" ", 100)), (COLUMNS($AJ$2:BB240)-1)*100+1, 100))</f>
        <v/>
      </c>
      <c r="BC240" t="str">
        <f>TRIM(MID(SUBSTITUTE($G240, ",", REPT(" ", 100)), (COLUMNS($AJ$2:BC240)-1)*100+1, 100))</f>
        <v/>
      </c>
      <c r="BH240">
        <f t="shared" si="5"/>
        <v>1</v>
      </c>
    </row>
    <row r="241" spans="1:60" ht="14.7" thickBot="1" x14ac:dyDescent="0.55000000000000004">
      <c r="A241" s="32" t="s">
        <v>432</v>
      </c>
      <c r="B241" s="258">
        <v>46262</v>
      </c>
      <c r="C241" s="2">
        <v>6.8</v>
      </c>
      <c r="D241" s="272"/>
      <c r="E241" s="271"/>
      <c r="F241" s="260">
        <v>1</v>
      </c>
      <c r="G241" s="38" t="s">
        <v>194</v>
      </c>
      <c r="H241" s="273"/>
      <c r="I241" s="38">
        <v>0</v>
      </c>
      <c r="AL241" t="str">
        <f>TRIM(MID(SUBSTITUTE($G241, ",", REPT(" ", 100)), (COLUMNS($AJ$2:AL241)-1)*100+1, 100))</f>
        <v/>
      </c>
      <c r="AM241" s="1">
        <v>45897</v>
      </c>
      <c r="AN241" s="2">
        <v>4</v>
      </c>
      <c r="AO241" s="2">
        <v>6</v>
      </c>
      <c r="AQ241" t="str">
        <f>TRIM(MID(SUBSTITUTE($G241, ",", REPT(" ", 100)), (COLUMNS($AJ$2:AQ241)-1)*100+1, 100))</f>
        <v/>
      </c>
      <c r="AR241" t="str">
        <f>TRIM(MID(SUBSTITUTE($G241, ",", REPT(" ", 100)), (COLUMNS($AJ$2:AR241)-1)*100+1, 100))</f>
        <v/>
      </c>
      <c r="AS241" t="str">
        <f>TRIM(MID(SUBSTITUTE($G241, ",", REPT(" ", 100)), (COLUMNS($AJ$2:AS241)-1)*100+1, 100))</f>
        <v/>
      </c>
      <c r="AT241" t="str">
        <f>TRIM(MID(SUBSTITUTE($G241, ",", REPT(" ", 100)), (COLUMNS($AJ$2:AT241)-1)*100+1, 100))</f>
        <v/>
      </c>
      <c r="AU241" t="str">
        <f>TRIM(MID(SUBSTITUTE($G241, ",", REPT(" ", 100)), (COLUMNS($AJ$2:AU241)-1)*100+1, 100))</f>
        <v/>
      </c>
      <c r="AV241" t="str">
        <f>TRIM(MID(SUBSTITUTE($G241, ",", REPT(" ", 100)), (COLUMNS($AJ$2:AV241)-1)*100+1, 100))</f>
        <v/>
      </c>
      <c r="AW241" t="str">
        <f>TRIM(MID(SUBSTITUTE($G241, ",", REPT(" ", 100)), (COLUMNS($AJ$2:AW241)-1)*100+1, 100))</f>
        <v/>
      </c>
      <c r="AX241" t="str">
        <f>TRIM(MID(SUBSTITUTE($G241, ",", REPT(" ", 100)), (COLUMNS($AJ$2:AX241)-1)*100+1, 100))</f>
        <v/>
      </c>
      <c r="AY241" t="str">
        <f>TRIM(MID(SUBSTITUTE($G241, ",", REPT(" ", 100)), (COLUMNS($AJ$2:AY241)-1)*100+1, 100))</f>
        <v/>
      </c>
      <c r="AZ241" t="str">
        <f>TRIM(MID(SUBSTITUTE($G241, ",", REPT(" ", 100)), (COLUMNS($AJ$2:AZ241)-1)*100+1, 100))</f>
        <v/>
      </c>
      <c r="BA241" t="str">
        <f>TRIM(MID(SUBSTITUTE($G241, ",", REPT(" ", 100)), (COLUMNS($AJ$2:BA241)-1)*100+1, 100))</f>
        <v/>
      </c>
      <c r="BB241" t="str">
        <f>TRIM(MID(SUBSTITUTE($G241, ",", REPT(" ", 100)), (COLUMNS($AJ$2:BB241)-1)*100+1, 100))</f>
        <v/>
      </c>
      <c r="BC241" t="str">
        <f>TRIM(MID(SUBSTITUTE($G241, ",", REPT(" ", 100)), (COLUMNS($AJ$2:BC241)-1)*100+1, 100))</f>
        <v/>
      </c>
      <c r="BH241">
        <f t="shared" si="5"/>
        <v>1</v>
      </c>
    </row>
    <row r="242" spans="1:60" x14ac:dyDescent="0.5">
      <c r="A242" s="32" t="s">
        <v>433</v>
      </c>
      <c r="B242" s="257">
        <v>46263</v>
      </c>
      <c r="C242" s="2">
        <v>10</v>
      </c>
      <c r="D242" s="272"/>
      <c r="E242" s="271"/>
      <c r="F242" s="260">
        <v>0</v>
      </c>
      <c r="G242" s="38" t="s">
        <v>194</v>
      </c>
      <c r="I242" s="38">
        <v>0</v>
      </c>
      <c r="AL242" t="str">
        <f>TRIM(MID(SUBSTITUTE($G242, ",", REPT(" ", 100)), (COLUMNS($AJ$2:AL242)-1)*100+1, 100))</f>
        <v/>
      </c>
      <c r="AM242" s="1">
        <v>45898</v>
      </c>
      <c r="AN242" s="2">
        <v>6</v>
      </c>
      <c r="AO242" s="2">
        <v>6</v>
      </c>
      <c r="AQ242" t="str">
        <f>TRIM(MID(SUBSTITUTE($G242, ",", REPT(" ", 100)), (COLUMNS($AJ$2:AQ242)-1)*100+1, 100))</f>
        <v/>
      </c>
      <c r="AR242" t="str">
        <f>TRIM(MID(SUBSTITUTE($G242, ",", REPT(" ", 100)), (COLUMNS($AJ$2:AR242)-1)*100+1, 100))</f>
        <v/>
      </c>
      <c r="AS242" t="str">
        <f>TRIM(MID(SUBSTITUTE($G242, ",", REPT(" ", 100)), (COLUMNS($AJ$2:AS242)-1)*100+1, 100))</f>
        <v/>
      </c>
      <c r="AT242" t="str">
        <f>TRIM(MID(SUBSTITUTE($G242, ",", REPT(" ", 100)), (COLUMNS($AJ$2:AT242)-1)*100+1, 100))</f>
        <v/>
      </c>
      <c r="AU242" t="str">
        <f>TRIM(MID(SUBSTITUTE($G242, ",", REPT(" ", 100)), (COLUMNS($AJ$2:AU242)-1)*100+1, 100))</f>
        <v/>
      </c>
      <c r="AV242" t="str">
        <f>TRIM(MID(SUBSTITUTE($G242, ",", REPT(" ", 100)), (COLUMNS($AJ$2:AV242)-1)*100+1, 100))</f>
        <v/>
      </c>
      <c r="AW242" t="str">
        <f>TRIM(MID(SUBSTITUTE($G242, ",", REPT(" ", 100)), (COLUMNS($AJ$2:AW242)-1)*100+1, 100))</f>
        <v/>
      </c>
      <c r="AX242" t="str">
        <f>TRIM(MID(SUBSTITUTE($G242, ",", REPT(" ", 100)), (COLUMNS($AJ$2:AX242)-1)*100+1, 100))</f>
        <v/>
      </c>
      <c r="AY242" t="str">
        <f>TRIM(MID(SUBSTITUTE($G242, ",", REPT(" ", 100)), (COLUMNS($AJ$2:AY242)-1)*100+1, 100))</f>
        <v/>
      </c>
      <c r="AZ242" t="str">
        <f>TRIM(MID(SUBSTITUTE($G242, ",", REPT(" ", 100)), (COLUMNS($AJ$2:AZ242)-1)*100+1, 100))</f>
        <v/>
      </c>
      <c r="BA242" t="str">
        <f>TRIM(MID(SUBSTITUTE($G242, ",", REPT(" ", 100)), (COLUMNS($AJ$2:BA242)-1)*100+1, 100))</f>
        <v/>
      </c>
      <c r="BB242" t="str">
        <f>TRIM(MID(SUBSTITUTE($G242, ",", REPT(" ", 100)), (COLUMNS($AJ$2:BB242)-1)*100+1, 100))</f>
        <v/>
      </c>
      <c r="BC242" t="str">
        <f>TRIM(MID(SUBSTITUTE($G242, ",", REPT(" ", 100)), (COLUMNS($AJ$2:BC242)-1)*100+1, 100))</f>
        <v/>
      </c>
      <c r="BH242">
        <f t="shared" si="5"/>
        <v>1</v>
      </c>
    </row>
    <row r="243" spans="1:60" ht="14.7" thickBot="1" x14ac:dyDescent="0.55000000000000004">
      <c r="A243" s="32" t="s">
        <v>434</v>
      </c>
      <c r="B243" s="258">
        <v>46264</v>
      </c>
      <c r="C243" s="2">
        <v>6.2</v>
      </c>
      <c r="D243" s="272"/>
      <c r="E243" s="271"/>
      <c r="F243" s="260">
        <v>0</v>
      </c>
      <c r="G243" s="38" t="s">
        <v>194</v>
      </c>
      <c r="I243" s="38">
        <v>0</v>
      </c>
      <c r="AL243" t="str">
        <f>TRIM(MID(SUBSTITUTE($G243, ",", REPT(" ", 100)), (COLUMNS($AJ$2:AL243)-1)*100+1, 100))</f>
        <v/>
      </c>
      <c r="AM243" s="1">
        <v>45899</v>
      </c>
      <c r="AN243" s="2">
        <v>6</v>
      </c>
      <c r="AO243" s="2">
        <v>4</v>
      </c>
      <c r="AQ243" t="str">
        <f>TRIM(MID(SUBSTITUTE($G243, ",", REPT(" ", 100)), (COLUMNS($AJ$2:AQ243)-1)*100+1, 100))</f>
        <v/>
      </c>
      <c r="AR243" t="str">
        <f>TRIM(MID(SUBSTITUTE($G243, ",", REPT(" ", 100)), (COLUMNS($AJ$2:AR243)-1)*100+1, 100))</f>
        <v/>
      </c>
      <c r="AS243" t="str">
        <f>TRIM(MID(SUBSTITUTE($G243, ",", REPT(" ", 100)), (COLUMNS($AJ$2:AS243)-1)*100+1, 100))</f>
        <v/>
      </c>
      <c r="AT243" t="str">
        <f>TRIM(MID(SUBSTITUTE($G243, ",", REPT(" ", 100)), (COLUMNS($AJ$2:AT243)-1)*100+1, 100))</f>
        <v/>
      </c>
      <c r="AU243" t="str">
        <f>TRIM(MID(SUBSTITUTE($G243, ",", REPT(" ", 100)), (COLUMNS($AJ$2:AU243)-1)*100+1, 100))</f>
        <v/>
      </c>
      <c r="AV243" t="str">
        <f>TRIM(MID(SUBSTITUTE($G243, ",", REPT(" ", 100)), (COLUMNS($AJ$2:AV243)-1)*100+1, 100))</f>
        <v/>
      </c>
      <c r="AW243" t="str">
        <f>TRIM(MID(SUBSTITUTE($G243, ",", REPT(" ", 100)), (COLUMNS($AJ$2:AW243)-1)*100+1, 100))</f>
        <v/>
      </c>
      <c r="AX243" t="str">
        <f>TRIM(MID(SUBSTITUTE($G243, ",", REPT(" ", 100)), (COLUMNS($AJ$2:AX243)-1)*100+1, 100))</f>
        <v/>
      </c>
      <c r="AY243" t="str">
        <f>TRIM(MID(SUBSTITUTE($G243, ",", REPT(" ", 100)), (COLUMNS($AJ$2:AY243)-1)*100+1, 100))</f>
        <v/>
      </c>
      <c r="AZ243" t="str">
        <f>TRIM(MID(SUBSTITUTE($G243, ",", REPT(" ", 100)), (COLUMNS($AJ$2:AZ243)-1)*100+1, 100))</f>
        <v/>
      </c>
      <c r="BA243" t="str">
        <f>TRIM(MID(SUBSTITUTE($G243, ",", REPT(" ", 100)), (COLUMNS($AJ$2:BA243)-1)*100+1, 100))</f>
        <v/>
      </c>
      <c r="BB243" t="str">
        <f>TRIM(MID(SUBSTITUTE($G243, ",", REPT(" ", 100)), (COLUMNS($AJ$2:BB243)-1)*100+1, 100))</f>
        <v/>
      </c>
      <c r="BC243" t="str">
        <f>TRIM(MID(SUBSTITUTE($G243, ",", REPT(" ", 100)), (COLUMNS($AJ$2:BC243)-1)*100+1, 100))</f>
        <v/>
      </c>
      <c r="BH243">
        <f t="shared" si="5"/>
        <v>1</v>
      </c>
    </row>
    <row r="244" spans="1:60" x14ac:dyDescent="0.5">
      <c r="A244" s="32" t="s">
        <v>435</v>
      </c>
      <c r="B244" s="257">
        <v>46265</v>
      </c>
      <c r="C244" s="2">
        <v>5.5</v>
      </c>
      <c r="D244" s="272"/>
      <c r="E244" s="271"/>
      <c r="F244" s="260">
        <v>0</v>
      </c>
      <c r="G244" s="38" t="s">
        <v>194</v>
      </c>
      <c r="I244" s="38">
        <v>0</v>
      </c>
      <c r="AL244" t="str">
        <f>TRIM(MID(SUBSTITUTE($G244, ",", REPT(" ", 100)), (COLUMNS($AJ$2:AL244)-1)*100+1, 100))</f>
        <v/>
      </c>
      <c r="AM244" s="1">
        <v>45900</v>
      </c>
      <c r="AN244" s="2">
        <v>5</v>
      </c>
      <c r="AO244" s="2">
        <v>6</v>
      </c>
      <c r="AQ244" t="str">
        <f>TRIM(MID(SUBSTITUTE($G244, ",", REPT(" ", 100)), (COLUMNS($AJ$2:AQ244)-1)*100+1, 100))</f>
        <v/>
      </c>
      <c r="AR244" t="str">
        <f>TRIM(MID(SUBSTITUTE($G244, ",", REPT(" ", 100)), (COLUMNS($AJ$2:AR244)-1)*100+1, 100))</f>
        <v/>
      </c>
      <c r="AS244" t="str">
        <f>TRIM(MID(SUBSTITUTE($G244, ",", REPT(" ", 100)), (COLUMNS($AJ$2:AS244)-1)*100+1, 100))</f>
        <v/>
      </c>
      <c r="AT244" t="str">
        <f>TRIM(MID(SUBSTITUTE($G244, ",", REPT(" ", 100)), (COLUMNS($AJ$2:AT244)-1)*100+1, 100))</f>
        <v/>
      </c>
      <c r="AU244" t="str">
        <f>TRIM(MID(SUBSTITUTE($G244, ",", REPT(" ", 100)), (COLUMNS($AJ$2:AU244)-1)*100+1, 100))</f>
        <v/>
      </c>
      <c r="AV244" t="str">
        <f>TRIM(MID(SUBSTITUTE($G244, ",", REPT(" ", 100)), (COLUMNS($AJ$2:AV244)-1)*100+1, 100))</f>
        <v/>
      </c>
      <c r="AW244" t="str">
        <f>TRIM(MID(SUBSTITUTE($G244, ",", REPT(" ", 100)), (COLUMNS($AJ$2:AW244)-1)*100+1, 100))</f>
        <v/>
      </c>
      <c r="AX244" t="str">
        <f>TRIM(MID(SUBSTITUTE($G244, ",", REPT(" ", 100)), (COLUMNS($AJ$2:AX244)-1)*100+1, 100))</f>
        <v/>
      </c>
      <c r="AY244" t="str">
        <f>TRIM(MID(SUBSTITUTE($G244, ",", REPT(" ", 100)), (COLUMNS($AJ$2:AY244)-1)*100+1, 100))</f>
        <v/>
      </c>
      <c r="AZ244" t="str">
        <f>TRIM(MID(SUBSTITUTE($G244, ",", REPT(" ", 100)), (COLUMNS($AJ$2:AZ244)-1)*100+1, 100))</f>
        <v/>
      </c>
      <c r="BA244" t="str">
        <f>TRIM(MID(SUBSTITUTE($G244, ",", REPT(" ", 100)), (COLUMNS($AJ$2:BA244)-1)*100+1, 100))</f>
        <v/>
      </c>
      <c r="BB244" t="str">
        <f>TRIM(MID(SUBSTITUTE($G244, ",", REPT(" ", 100)), (COLUMNS($AJ$2:BB244)-1)*100+1, 100))</f>
        <v/>
      </c>
      <c r="BC244" t="str">
        <f>TRIM(MID(SUBSTITUTE($G244, ",", REPT(" ", 100)), (COLUMNS($AJ$2:BC244)-1)*100+1, 100))</f>
        <v/>
      </c>
      <c r="BH244">
        <f t="shared" si="5"/>
        <v>1</v>
      </c>
    </row>
    <row r="245" spans="1:60" ht="14.7" thickBot="1" x14ac:dyDescent="0.55000000000000004">
      <c r="A245" s="32" t="s">
        <v>436</v>
      </c>
      <c r="B245" s="258">
        <v>46266</v>
      </c>
      <c r="C245" s="2">
        <v>5.2</v>
      </c>
      <c r="D245" s="272">
        <f>AVERAGE(C245:C274)</f>
        <v>5.7233333333333318</v>
      </c>
      <c r="E245" s="271"/>
      <c r="F245" s="260">
        <v>1</v>
      </c>
      <c r="G245" s="38" t="s">
        <v>194</v>
      </c>
      <c r="I245" s="38">
        <v>0</v>
      </c>
      <c r="AL245" t="str">
        <f>TRIM(MID(SUBSTITUTE($G245, ",", REPT(" ", 100)), (COLUMNS($AJ$2:AL245)-1)*100+1, 100))</f>
        <v/>
      </c>
      <c r="AM245" s="1">
        <v>45901</v>
      </c>
      <c r="AN245" s="2">
        <v>5</v>
      </c>
      <c r="AO245" s="2">
        <v>4</v>
      </c>
      <c r="AQ245" t="str">
        <f>TRIM(MID(SUBSTITUTE($G245, ",", REPT(" ", 100)), (COLUMNS($AJ$2:AQ245)-1)*100+1, 100))</f>
        <v/>
      </c>
      <c r="AR245" t="str">
        <f>TRIM(MID(SUBSTITUTE($G245, ",", REPT(" ", 100)), (COLUMNS($AJ$2:AR245)-1)*100+1, 100))</f>
        <v/>
      </c>
      <c r="AS245" t="str">
        <f>TRIM(MID(SUBSTITUTE($G245, ",", REPT(" ", 100)), (COLUMNS($AJ$2:AS245)-1)*100+1, 100))</f>
        <v/>
      </c>
      <c r="AT245" t="str">
        <f>TRIM(MID(SUBSTITUTE($G245, ",", REPT(" ", 100)), (COLUMNS($AJ$2:AT245)-1)*100+1, 100))</f>
        <v/>
      </c>
      <c r="AU245" t="str">
        <f>TRIM(MID(SUBSTITUTE($G245, ",", REPT(" ", 100)), (COLUMNS($AJ$2:AU245)-1)*100+1, 100))</f>
        <v/>
      </c>
      <c r="AV245" t="str">
        <f>TRIM(MID(SUBSTITUTE($G245, ",", REPT(" ", 100)), (COLUMNS($AJ$2:AV245)-1)*100+1, 100))</f>
        <v/>
      </c>
      <c r="AW245" t="str">
        <f>TRIM(MID(SUBSTITUTE($G245, ",", REPT(" ", 100)), (COLUMNS($AJ$2:AW245)-1)*100+1, 100))</f>
        <v/>
      </c>
      <c r="AX245" t="str">
        <f>TRIM(MID(SUBSTITUTE($G245, ",", REPT(" ", 100)), (COLUMNS($AJ$2:AX245)-1)*100+1, 100))</f>
        <v/>
      </c>
      <c r="AY245" t="str">
        <f>TRIM(MID(SUBSTITUTE($G245, ",", REPT(" ", 100)), (COLUMNS($AJ$2:AY245)-1)*100+1, 100))</f>
        <v/>
      </c>
      <c r="AZ245" t="str">
        <f>TRIM(MID(SUBSTITUTE($G245, ",", REPT(" ", 100)), (COLUMNS($AJ$2:AZ245)-1)*100+1, 100))</f>
        <v/>
      </c>
      <c r="BA245" t="str">
        <f>TRIM(MID(SUBSTITUTE($G245, ",", REPT(" ", 100)), (COLUMNS($AJ$2:BA245)-1)*100+1, 100))</f>
        <v/>
      </c>
      <c r="BB245" t="str">
        <f>TRIM(MID(SUBSTITUTE($G245, ",", REPT(" ", 100)), (COLUMNS($AJ$2:BB245)-1)*100+1, 100))</f>
        <v/>
      </c>
      <c r="BC245" t="str">
        <f>TRIM(MID(SUBSTITUTE($G245, ",", REPT(" ", 100)), (COLUMNS($AJ$2:BC245)-1)*100+1, 100))</f>
        <v/>
      </c>
      <c r="BH245">
        <f t="shared" si="5"/>
        <v>1</v>
      </c>
    </row>
    <row r="246" spans="1:60" x14ac:dyDescent="0.5">
      <c r="A246" s="32" t="s">
        <v>437</v>
      </c>
      <c r="B246" s="257">
        <v>46267</v>
      </c>
      <c r="C246" s="2">
        <v>6</v>
      </c>
      <c r="D246" s="272"/>
      <c r="E246" s="271"/>
      <c r="F246" s="260">
        <v>0</v>
      </c>
      <c r="G246" s="38" t="s">
        <v>194</v>
      </c>
      <c r="I246" s="38">
        <v>0</v>
      </c>
      <c r="AL246" t="str">
        <f>TRIM(MID(SUBSTITUTE($G246, ",", REPT(" ", 100)), (COLUMNS($AJ$2:AL246)-1)*100+1, 100))</f>
        <v/>
      </c>
      <c r="AM246" s="1">
        <v>45902</v>
      </c>
      <c r="AN246" s="2">
        <v>5</v>
      </c>
      <c r="AO246" s="2">
        <v>4</v>
      </c>
      <c r="AQ246" t="str">
        <f>TRIM(MID(SUBSTITUTE($G246, ",", REPT(" ", 100)), (COLUMNS($AJ$2:AQ246)-1)*100+1, 100))</f>
        <v/>
      </c>
      <c r="AR246" t="str">
        <f>TRIM(MID(SUBSTITUTE($G246, ",", REPT(" ", 100)), (COLUMNS($AJ$2:AR246)-1)*100+1, 100))</f>
        <v/>
      </c>
      <c r="AS246" t="str">
        <f>TRIM(MID(SUBSTITUTE($G246, ",", REPT(" ", 100)), (COLUMNS($AJ$2:AS246)-1)*100+1, 100))</f>
        <v/>
      </c>
      <c r="AT246" t="str">
        <f>TRIM(MID(SUBSTITUTE($G246, ",", REPT(" ", 100)), (COLUMNS($AJ$2:AT246)-1)*100+1, 100))</f>
        <v/>
      </c>
      <c r="AU246" t="str">
        <f>TRIM(MID(SUBSTITUTE($G246, ",", REPT(" ", 100)), (COLUMNS($AJ$2:AU246)-1)*100+1, 100))</f>
        <v/>
      </c>
      <c r="AV246" t="str">
        <f>TRIM(MID(SUBSTITUTE($G246, ",", REPT(" ", 100)), (COLUMNS($AJ$2:AV246)-1)*100+1, 100))</f>
        <v/>
      </c>
      <c r="AW246" t="str">
        <f>TRIM(MID(SUBSTITUTE($G246, ",", REPT(" ", 100)), (COLUMNS($AJ$2:AW246)-1)*100+1, 100))</f>
        <v/>
      </c>
      <c r="AX246" t="str">
        <f>TRIM(MID(SUBSTITUTE($G246, ",", REPT(" ", 100)), (COLUMNS($AJ$2:AX246)-1)*100+1, 100))</f>
        <v/>
      </c>
      <c r="AY246" t="str">
        <f>TRIM(MID(SUBSTITUTE($G246, ",", REPT(" ", 100)), (COLUMNS($AJ$2:AY246)-1)*100+1, 100))</f>
        <v/>
      </c>
      <c r="AZ246" t="str">
        <f>TRIM(MID(SUBSTITUTE($G246, ",", REPT(" ", 100)), (COLUMNS($AJ$2:AZ246)-1)*100+1, 100))</f>
        <v/>
      </c>
      <c r="BA246" t="str">
        <f>TRIM(MID(SUBSTITUTE($G246, ",", REPT(" ", 100)), (COLUMNS($AJ$2:BA246)-1)*100+1, 100))</f>
        <v/>
      </c>
      <c r="BB246" t="str">
        <f>TRIM(MID(SUBSTITUTE($G246, ",", REPT(" ", 100)), (COLUMNS($AJ$2:BB246)-1)*100+1, 100))</f>
        <v/>
      </c>
      <c r="BC246" t="str">
        <f>TRIM(MID(SUBSTITUTE($G246, ",", REPT(" ", 100)), (COLUMNS($AJ$2:BC246)-1)*100+1, 100))</f>
        <v/>
      </c>
      <c r="BH246">
        <f t="shared" si="5"/>
        <v>1</v>
      </c>
    </row>
    <row r="247" spans="1:60" ht="14.7" thickBot="1" x14ac:dyDescent="0.55000000000000004">
      <c r="A247" s="32" t="s">
        <v>431</v>
      </c>
      <c r="B247" s="258">
        <v>46268</v>
      </c>
      <c r="C247" s="2">
        <v>5.5</v>
      </c>
      <c r="D247" s="272"/>
      <c r="E247" s="271"/>
      <c r="F247" s="260">
        <v>0</v>
      </c>
      <c r="G247" s="38" t="s">
        <v>194</v>
      </c>
      <c r="I247" s="38">
        <v>0</v>
      </c>
      <c r="AL247" t="str">
        <f>TRIM(MID(SUBSTITUTE($G247, ",", REPT(" ", 100)), (COLUMNS($AJ$2:AL247)-1)*100+1, 100))</f>
        <v/>
      </c>
      <c r="AM247" s="1">
        <v>45903</v>
      </c>
      <c r="AN247" s="2">
        <v>4.5</v>
      </c>
      <c r="AO247" s="2">
        <v>6</v>
      </c>
      <c r="AQ247" t="str">
        <f>TRIM(MID(SUBSTITUTE($G247, ",", REPT(" ", 100)), (COLUMNS($AJ$2:AQ247)-1)*100+1, 100))</f>
        <v/>
      </c>
      <c r="AR247" t="str">
        <f>TRIM(MID(SUBSTITUTE($G247, ",", REPT(" ", 100)), (COLUMNS($AJ$2:AR247)-1)*100+1, 100))</f>
        <v/>
      </c>
      <c r="AS247" t="str">
        <f>TRIM(MID(SUBSTITUTE($G247, ",", REPT(" ", 100)), (COLUMNS($AJ$2:AS247)-1)*100+1, 100))</f>
        <v/>
      </c>
      <c r="AT247" t="str">
        <f>TRIM(MID(SUBSTITUTE($G247, ",", REPT(" ", 100)), (COLUMNS($AJ$2:AT247)-1)*100+1, 100))</f>
        <v/>
      </c>
      <c r="AU247" t="str">
        <f>TRIM(MID(SUBSTITUTE($G247, ",", REPT(" ", 100)), (COLUMNS($AJ$2:AU247)-1)*100+1, 100))</f>
        <v/>
      </c>
      <c r="AV247" t="str">
        <f>TRIM(MID(SUBSTITUTE($G247, ",", REPT(" ", 100)), (COLUMNS($AJ$2:AV247)-1)*100+1, 100))</f>
        <v/>
      </c>
      <c r="AW247" t="str">
        <f>TRIM(MID(SUBSTITUTE($G247, ",", REPT(" ", 100)), (COLUMNS($AJ$2:AW247)-1)*100+1, 100))</f>
        <v/>
      </c>
      <c r="AX247" t="str">
        <f>TRIM(MID(SUBSTITUTE($G247, ",", REPT(" ", 100)), (COLUMNS($AJ$2:AX247)-1)*100+1, 100))</f>
        <v/>
      </c>
      <c r="AY247" t="str">
        <f>TRIM(MID(SUBSTITUTE($G247, ",", REPT(" ", 100)), (COLUMNS($AJ$2:AY247)-1)*100+1, 100))</f>
        <v/>
      </c>
      <c r="AZ247" t="str">
        <f>TRIM(MID(SUBSTITUTE($G247, ",", REPT(" ", 100)), (COLUMNS($AJ$2:AZ247)-1)*100+1, 100))</f>
        <v/>
      </c>
      <c r="BA247" t="str">
        <f>TRIM(MID(SUBSTITUTE($G247, ",", REPT(" ", 100)), (COLUMNS($AJ$2:BA247)-1)*100+1, 100))</f>
        <v/>
      </c>
      <c r="BB247" t="str">
        <f>TRIM(MID(SUBSTITUTE($G247, ",", REPT(" ", 100)), (COLUMNS($AJ$2:BB247)-1)*100+1, 100))</f>
        <v/>
      </c>
      <c r="BC247" t="str">
        <f>TRIM(MID(SUBSTITUTE($G247, ",", REPT(" ", 100)), (COLUMNS($AJ$2:BC247)-1)*100+1, 100))</f>
        <v/>
      </c>
      <c r="BH247">
        <f t="shared" si="5"/>
        <v>1</v>
      </c>
    </row>
    <row r="248" spans="1:60" x14ac:dyDescent="0.5">
      <c r="A248" s="32" t="s">
        <v>432</v>
      </c>
      <c r="B248" s="257">
        <v>46269</v>
      </c>
      <c r="C248" s="2">
        <v>6</v>
      </c>
      <c r="D248" s="272"/>
      <c r="E248" s="271"/>
      <c r="F248" s="260">
        <v>1</v>
      </c>
      <c r="G248" s="38" t="s">
        <v>287</v>
      </c>
      <c r="I248" s="38">
        <v>0</v>
      </c>
      <c r="AL248" t="str">
        <f>TRIM(MID(SUBSTITUTE($G248, ",", REPT(" ", 100)), (COLUMNS($AJ$2:AL248)-1)*100+1, 100))</f>
        <v/>
      </c>
      <c r="AM248" s="1">
        <v>45904</v>
      </c>
      <c r="AN248" s="2">
        <v>5</v>
      </c>
      <c r="AO248" s="2">
        <v>4</v>
      </c>
      <c r="AQ248" t="str">
        <f>TRIM(MID(SUBSTITUTE($G248, ",", REPT(" ", 100)), (COLUMNS($AJ$2:AQ248)-1)*100+1, 100))</f>
        <v/>
      </c>
      <c r="AR248" t="str">
        <f>TRIM(MID(SUBSTITUTE($G248, ",", REPT(" ", 100)), (COLUMNS($AJ$2:AR248)-1)*100+1, 100))</f>
        <v/>
      </c>
      <c r="AS248" t="str">
        <f>TRIM(MID(SUBSTITUTE($G248, ",", REPT(" ", 100)), (COLUMNS($AJ$2:AS248)-1)*100+1, 100))</f>
        <v/>
      </c>
      <c r="AT248" t="str">
        <f>TRIM(MID(SUBSTITUTE($G248, ",", REPT(" ", 100)), (COLUMNS($AJ$2:AT248)-1)*100+1, 100))</f>
        <v/>
      </c>
      <c r="AU248" t="str">
        <f>TRIM(MID(SUBSTITUTE($G248, ",", REPT(" ", 100)), (COLUMNS($AJ$2:AU248)-1)*100+1, 100))</f>
        <v/>
      </c>
      <c r="AV248" t="str">
        <f>TRIM(MID(SUBSTITUTE($G248, ",", REPT(" ", 100)), (COLUMNS($AJ$2:AV248)-1)*100+1, 100))</f>
        <v/>
      </c>
      <c r="AW248" t="str">
        <f>TRIM(MID(SUBSTITUTE($G248, ",", REPT(" ", 100)), (COLUMNS($AJ$2:AW248)-1)*100+1, 100))</f>
        <v/>
      </c>
      <c r="AX248" t="str">
        <f>TRIM(MID(SUBSTITUTE($G248, ",", REPT(" ", 100)), (COLUMNS($AJ$2:AX248)-1)*100+1, 100))</f>
        <v/>
      </c>
      <c r="AY248" t="str">
        <f>TRIM(MID(SUBSTITUTE($G248, ",", REPT(" ", 100)), (COLUMNS($AJ$2:AY248)-1)*100+1, 100))</f>
        <v/>
      </c>
      <c r="AZ248" t="str">
        <f>TRIM(MID(SUBSTITUTE($G248, ",", REPT(" ", 100)), (COLUMNS($AJ$2:AZ248)-1)*100+1, 100))</f>
        <v/>
      </c>
      <c r="BA248" t="str">
        <f>TRIM(MID(SUBSTITUTE($G248, ",", REPT(" ", 100)), (COLUMNS($AJ$2:BA248)-1)*100+1, 100))</f>
        <v/>
      </c>
      <c r="BB248" t="str">
        <f>TRIM(MID(SUBSTITUTE($G248, ",", REPT(" ", 100)), (COLUMNS($AJ$2:BB248)-1)*100+1, 100))</f>
        <v/>
      </c>
      <c r="BC248" t="str">
        <f>TRIM(MID(SUBSTITUTE($G248, ",", REPT(" ", 100)), (COLUMNS($AJ$2:BC248)-1)*100+1, 100))</f>
        <v/>
      </c>
      <c r="BH248">
        <f t="shared" si="5"/>
        <v>0.5</v>
      </c>
    </row>
    <row r="249" spans="1:60" ht="14.7" thickBot="1" x14ac:dyDescent="0.55000000000000004">
      <c r="A249" s="32" t="s">
        <v>433</v>
      </c>
      <c r="B249" s="258">
        <v>46270</v>
      </c>
      <c r="C249" s="2">
        <v>6</v>
      </c>
      <c r="D249" s="272"/>
      <c r="E249" s="271"/>
      <c r="F249" s="260">
        <v>1</v>
      </c>
      <c r="G249" s="38" t="s">
        <v>627</v>
      </c>
      <c r="I249" s="38">
        <v>0</v>
      </c>
      <c r="AL249" t="str">
        <f>TRIM(MID(SUBSTITUTE($G249, ",", REPT(" ", 100)), (COLUMNS($AJ$2:AL249)-1)*100+1, 100))</f>
        <v/>
      </c>
      <c r="AM249" s="1">
        <v>45905</v>
      </c>
      <c r="AN249" s="2">
        <v>6</v>
      </c>
      <c r="AO249" s="2">
        <v>6</v>
      </c>
      <c r="AQ249" t="str">
        <f>TRIM(MID(SUBSTITUTE($G249, ",", REPT(" ", 100)), (COLUMNS($AJ$2:AQ249)-1)*100+1, 100))</f>
        <v/>
      </c>
      <c r="AR249" t="str">
        <f>TRIM(MID(SUBSTITUTE($G249, ",", REPT(" ", 100)), (COLUMNS($AJ$2:AR249)-1)*100+1, 100))</f>
        <v/>
      </c>
      <c r="AS249" t="str">
        <f>TRIM(MID(SUBSTITUTE($G249, ",", REPT(" ", 100)), (COLUMNS($AJ$2:AS249)-1)*100+1, 100))</f>
        <v/>
      </c>
      <c r="AT249" t="str">
        <f>TRIM(MID(SUBSTITUTE($G249, ",", REPT(" ", 100)), (COLUMNS($AJ$2:AT249)-1)*100+1, 100))</f>
        <v/>
      </c>
      <c r="AU249" t="str">
        <f>TRIM(MID(SUBSTITUTE($G249, ",", REPT(" ", 100)), (COLUMNS($AJ$2:AU249)-1)*100+1, 100))</f>
        <v/>
      </c>
      <c r="AV249" t="str">
        <f>TRIM(MID(SUBSTITUTE($G249, ",", REPT(" ", 100)), (COLUMNS($AJ$2:AV249)-1)*100+1, 100))</f>
        <v/>
      </c>
      <c r="AW249" t="str">
        <f>TRIM(MID(SUBSTITUTE($G249, ",", REPT(" ", 100)), (COLUMNS($AJ$2:AW249)-1)*100+1, 100))</f>
        <v/>
      </c>
      <c r="AX249" t="str">
        <f>TRIM(MID(SUBSTITUTE($G249, ",", REPT(" ", 100)), (COLUMNS($AJ$2:AX249)-1)*100+1, 100))</f>
        <v/>
      </c>
      <c r="AY249" t="str">
        <f>TRIM(MID(SUBSTITUTE($G249, ",", REPT(" ", 100)), (COLUMNS($AJ$2:AY249)-1)*100+1, 100))</f>
        <v/>
      </c>
      <c r="AZ249" t="str">
        <f>TRIM(MID(SUBSTITUTE($G249, ",", REPT(" ", 100)), (COLUMNS($AJ$2:AZ249)-1)*100+1, 100))</f>
        <v/>
      </c>
      <c r="BA249" t="str">
        <f>TRIM(MID(SUBSTITUTE($G249, ",", REPT(" ", 100)), (COLUMNS($AJ$2:BA249)-1)*100+1, 100))</f>
        <v/>
      </c>
      <c r="BB249" t="str">
        <f>TRIM(MID(SUBSTITUTE($G249, ",", REPT(" ", 100)), (COLUMNS($AJ$2:BB249)-1)*100+1, 100))</f>
        <v/>
      </c>
      <c r="BC249" t="str">
        <f>TRIM(MID(SUBSTITUTE($G249, ",", REPT(" ", 100)), (COLUMNS($AJ$2:BC249)-1)*100+1, 100))</f>
        <v/>
      </c>
      <c r="BH249">
        <f t="shared" si="5"/>
        <v>0.5</v>
      </c>
    </row>
    <row r="250" spans="1:60" x14ac:dyDescent="0.5">
      <c r="A250" s="32" t="s">
        <v>434</v>
      </c>
      <c r="B250" s="257">
        <v>46271</v>
      </c>
      <c r="C250" s="2">
        <v>6</v>
      </c>
      <c r="D250" s="272"/>
      <c r="E250" s="271"/>
      <c r="F250" s="260">
        <v>1</v>
      </c>
      <c r="G250" s="38" t="s">
        <v>358</v>
      </c>
      <c r="I250" s="38">
        <v>0</v>
      </c>
      <c r="AL250" t="str">
        <f>TRIM(MID(SUBSTITUTE($G250, ",", REPT(" ", 100)), (COLUMNS($AJ$2:AL250)-1)*100+1, 100))</f>
        <v/>
      </c>
      <c r="AM250" s="1">
        <v>45906</v>
      </c>
      <c r="AN250" s="2">
        <v>7</v>
      </c>
      <c r="AO250" s="2">
        <v>4</v>
      </c>
      <c r="AQ250" t="str">
        <f>TRIM(MID(SUBSTITUTE($G250, ",", REPT(" ", 100)), (COLUMNS($AJ$2:AQ250)-1)*100+1, 100))</f>
        <v/>
      </c>
      <c r="AR250" t="str">
        <f>TRIM(MID(SUBSTITUTE($G250, ",", REPT(" ", 100)), (COLUMNS($AJ$2:AR250)-1)*100+1, 100))</f>
        <v/>
      </c>
      <c r="AS250" t="str">
        <f>TRIM(MID(SUBSTITUTE($G250, ",", REPT(" ", 100)), (COLUMNS($AJ$2:AS250)-1)*100+1, 100))</f>
        <v/>
      </c>
      <c r="AT250" t="str">
        <f>TRIM(MID(SUBSTITUTE($G250, ",", REPT(" ", 100)), (COLUMNS($AJ$2:AT250)-1)*100+1, 100))</f>
        <v/>
      </c>
      <c r="AU250" t="str">
        <f>TRIM(MID(SUBSTITUTE($G250, ",", REPT(" ", 100)), (COLUMNS($AJ$2:AU250)-1)*100+1, 100))</f>
        <v/>
      </c>
      <c r="AV250" t="str">
        <f>TRIM(MID(SUBSTITUTE($G250, ",", REPT(" ", 100)), (COLUMNS($AJ$2:AV250)-1)*100+1, 100))</f>
        <v/>
      </c>
      <c r="AW250" t="str">
        <f>TRIM(MID(SUBSTITUTE($G250, ",", REPT(" ", 100)), (COLUMNS($AJ$2:AW250)-1)*100+1, 100))</f>
        <v/>
      </c>
      <c r="AX250" t="str">
        <f>TRIM(MID(SUBSTITUTE($G250, ",", REPT(" ", 100)), (COLUMNS($AJ$2:AX250)-1)*100+1, 100))</f>
        <v/>
      </c>
      <c r="AY250" t="str">
        <f>TRIM(MID(SUBSTITUTE($G250, ",", REPT(" ", 100)), (COLUMNS($AJ$2:AY250)-1)*100+1, 100))</f>
        <v/>
      </c>
      <c r="AZ250" t="str">
        <f>TRIM(MID(SUBSTITUTE($G250, ",", REPT(" ", 100)), (COLUMNS($AJ$2:AZ250)-1)*100+1, 100))</f>
        <v/>
      </c>
      <c r="BA250" t="str">
        <f>TRIM(MID(SUBSTITUTE($G250, ",", REPT(" ", 100)), (COLUMNS($AJ$2:BA250)-1)*100+1, 100))</f>
        <v/>
      </c>
      <c r="BB250" t="str">
        <f>TRIM(MID(SUBSTITUTE($G250, ",", REPT(" ", 100)), (COLUMNS($AJ$2:BB250)-1)*100+1, 100))</f>
        <v/>
      </c>
      <c r="BC250" t="str">
        <f>TRIM(MID(SUBSTITUTE($G250, ",", REPT(" ", 100)), (COLUMNS($AJ$2:BC250)-1)*100+1, 100))</f>
        <v/>
      </c>
      <c r="BH250">
        <f t="shared" si="5"/>
        <v>0.5</v>
      </c>
    </row>
    <row r="251" spans="1:60" ht="14.7" thickBot="1" x14ac:dyDescent="0.55000000000000004">
      <c r="A251" s="32" t="s">
        <v>435</v>
      </c>
      <c r="B251" s="258">
        <v>46272</v>
      </c>
      <c r="C251" s="2">
        <v>5.5</v>
      </c>
      <c r="D251" s="272"/>
      <c r="E251" s="271"/>
      <c r="F251" s="260">
        <v>0</v>
      </c>
      <c r="G251" s="38" t="s">
        <v>194</v>
      </c>
      <c r="I251" s="38">
        <v>0</v>
      </c>
      <c r="AL251" t="str">
        <f>TRIM(MID(SUBSTITUTE($G251, ",", REPT(" ", 100)), (COLUMNS($AJ$2:AL251)-1)*100+1, 100))</f>
        <v/>
      </c>
      <c r="AM251" s="1">
        <v>45907</v>
      </c>
      <c r="AN251" s="2">
        <v>7</v>
      </c>
      <c r="AO251" s="2">
        <v>4</v>
      </c>
      <c r="AQ251" t="str">
        <f>TRIM(MID(SUBSTITUTE($G251, ",", REPT(" ", 100)), (COLUMNS($AJ$2:AQ251)-1)*100+1, 100))</f>
        <v/>
      </c>
      <c r="AR251" t="str">
        <f>TRIM(MID(SUBSTITUTE($G251, ",", REPT(" ", 100)), (COLUMNS($AJ$2:AR251)-1)*100+1, 100))</f>
        <v/>
      </c>
      <c r="AS251" t="str">
        <f>TRIM(MID(SUBSTITUTE($G251, ",", REPT(" ", 100)), (COLUMNS($AJ$2:AS251)-1)*100+1, 100))</f>
        <v/>
      </c>
      <c r="AT251" t="str">
        <f>TRIM(MID(SUBSTITUTE($G251, ",", REPT(" ", 100)), (COLUMNS($AJ$2:AT251)-1)*100+1, 100))</f>
        <v/>
      </c>
      <c r="AU251" t="str">
        <f>TRIM(MID(SUBSTITUTE($G251, ",", REPT(" ", 100)), (COLUMNS($AJ$2:AU251)-1)*100+1, 100))</f>
        <v/>
      </c>
      <c r="AV251" t="str">
        <f>TRIM(MID(SUBSTITUTE($G251, ",", REPT(" ", 100)), (COLUMNS($AJ$2:AV251)-1)*100+1, 100))</f>
        <v/>
      </c>
      <c r="AW251" t="str">
        <f>TRIM(MID(SUBSTITUTE($G251, ",", REPT(" ", 100)), (COLUMNS($AJ$2:AW251)-1)*100+1, 100))</f>
        <v/>
      </c>
      <c r="AX251" t="str">
        <f>TRIM(MID(SUBSTITUTE($G251, ",", REPT(" ", 100)), (COLUMNS($AJ$2:AX251)-1)*100+1, 100))</f>
        <v/>
      </c>
      <c r="AY251" t="str">
        <f>TRIM(MID(SUBSTITUTE($G251, ",", REPT(" ", 100)), (COLUMNS($AJ$2:AY251)-1)*100+1, 100))</f>
        <v/>
      </c>
      <c r="AZ251" t="str">
        <f>TRIM(MID(SUBSTITUTE($G251, ",", REPT(" ", 100)), (COLUMNS($AJ$2:AZ251)-1)*100+1, 100))</f>
        <v/>
      </c>
      <c r="BA251" t="str">
        <f>TRIM(MID(SUBSTITUTE($G251, ",", REPT(" ", 100)), (COLUMNS($AJ$2:BA251)-1)*100+1, 100))</f>
        <v/>
      </c>
      <c r="BB251" t="str">
        <f>TRIM(MID(SUBSTITUTE($G251, ",", REPT(" ", 100)), (COLUMNS($AJ$2:BB251)-1)*100+1, 100))</f>
        <v/>
      </c>
      <c r="BC251" t="str">
        <f>TRIM(MID(SUBSTITUTE($G251, ",", REPT(" ", 100)), (COLUMNS($AJ$2:BC251)-1)*100+1, 100))</f>
        <v/>
      </c>
      <c r="BH251">
        <f t="shared" si="5"/>
        <v>1</v>
      </c>
    </row>
    <row r="252" spans="1:60" x14ac:dyDescent="0.5">
      <c r="A252" s="32" t="s">
        <v>436</v>
      </c>
      <c r="B252" s="257">
        <v>46273</v>
      </c>
      <c r="C252" s="2">
        <v>5.5</v>
      </c>
      <c r="D252" s="272"/>
      <c r="E252" s="271"/>
      <c r="F252" s="260">
        <v>0</v>
      </c>
      <c r="G252" s="38" t="s">
        <v>194</v>
      </c>
      <c r="I252" s="38">
        <v>0</v>
      </c>
      <c r="AL252" t="str">
        <f>TRIM(MID(SUBSTITUTE($G252, ",", REPT(" ", 100)), (COLUMNS($AJ$2:AL252)-1)*100+1, 100))</f>
        <v/>
      </c>
      <c r="AM252" s="1">
        <v>45908</v>
      </c>
      <c r="AN252" s="2">
        <v>6</v>
      </c>
      <c r="AO252" s="2">
        <v>6</v>
      </c>
      <c r="AQ252" t="str">
        <f>TRIM(MID(SUBSTITUTE($G252, ",", REPT(" ", 100)), (COLUMNS($AJ$2:AQ252)-1)*100+1, 100))</f>
        <v/>
      </c>
      <c r="AR252" t="str">
        <f>TRIM(MID(SUBSTITUTE($G252, ",", REPT(" ", 100)), (COLUMNS($AJ$2:AR252)-1)*100+1, 100))</f>
        <v/>
      </c>
      <c r="AS252" t="str">
        <f>TRIM(MID(SUBSTITUTE($G252, ",", REPT(" ", 100)), (COLUMNS($AJ$2:AS252)-1)*100+1, 100))</f>
        <v/>
      </c>
      <c r="AT252" t="str">
        <f>TRIM(MID(SUBSTITUTE($G252, ",", REPT(" ", 100)), (COLUMNS($AJ$2:AT252)-1)*100+1, 100))</f>
        <v/>
      </c>
      <c r="AU252" t="str">
        <f>TRIM(MID(SUBSTITUTE($G252, ",", REPT(" ", 100)), (COLUMNS($AJ$2:AU252)-1)*100+1, 100))</f>
        <v/>
      </c>
      <c r="AV252" t="str">
        <f>TRIM(MID(SUBSTITUTE($G252, ",", REPT(" ", 100)), (COLUMNS($AJ$2:AV252)-1)*100+1, 100))</f>
        <v/>
      </c>
      <c r="AW252" t="str">
        <f>TRIM(MID(SUBSTITUTE($G252, ",", REPT(" ", 100)), (COLUMNS($AJ$2:AW252)-1)*100+1, 100))</f>
        <v/>
      </c>
      <c r="AX252" t="str">
        <f>TRIM(MID(SUBSTITUTE($G252, ",", REPT(" ", 100)), (COLUMNS($AJ$2:AX252)-1)*100+1, 100))</f>
        <v/>
      </c>
      <c r="AY252" t="str">
        <f>TRIM(MID(SUBSTITUTE($G252, ",", REPT(" ", 100)), (COLUMNS($AJ$2:AY252)-1)*100+1, 100))</f>
        <v/>
      </c>
      <c r="AZ252" t="str">
        <f>TRIM(MID(SUBSTITUTE($G252, ",", REPT(" ", 100)), (COLUMNS($AJ$2:AZ252)-1)*100+1, 100))</f>
        <v/>
      </c>
      <c r="BA252" t="str">
        <f>TRIM(MID(SUBSTITUTE($G252, ",", REPT(" ", 100)), (COLUMNS($AJ$2:BA252)-1)*100+1, 100))</f>
        <v/>
      </c>
      <c r="BB252" t="str">
        <f>TRIM(MID(SUBSTITUTE($G252, ",", REPT(" ", 100)), (COLUMNS($AJ$2:BB252)-1)*100+1, 100))</f>
        <v/>
      </c>
      <c r="BC252" t="str">
        <f>TRIM(MID(SUBSTITUTE($G252, ",", REPT(" ", 100)), (COLUMNS($AJ$2:BC252)-1)*100+1, 100))</f>
        <v/>
      </c>
      <c r="BH252">
        <f t="shared" si="5"/>
        <v>1</v>
      </c>
    </row>
    <row r="253" spans="1:60" ht="14.7" thickBot="1" x14ac:dyDescent="0.55000000000000004">
      <c r="A253" s="32" t="s">
        <v>437</v>
      </c>
      <c r="B253" s="258">
        <v>46274</v>
      </c>
      <c r="C253" s="2">
        <v>6.5</v>
      </c>
      <c r="D253" s="272"/>
      <c r="E253" s="271"/>
      <c r="F253" s="260">
        <v>0</v>
      </c>
      <c r="G253" s="38" t="s">
        <v>194</v>
      </c>
      <c r="I253" s="38">
        <v>0</v>
      </c>
      <c r="AL253" t="str">
        <f>TRIM(MID(SUBSTITUTE($G253, ",", REPT(" ", 100)), (COLUMNS($AJ$2:AL253)-1)*100+1, 100))</f>
        <v/>
      </c>
      <c r="AM253" s="1">
        <v>45909</v>
      </c>
      <c r="AN253" s="2">
        <v>3</v>
      </c>
      <c r="AO253" s="2">
        <v>4</v>
      </c>
      <c r="AQ253" t="str">
        <f>TRIM(MID(SUBSTITUTE($G253, ",", REPT(" ", 100)), (COLUMNS($AJ$2:AQ253)-1)*100+1, 100))</f>
        <v/>
      </c>
      <c r="AR253" t="str">
        <f>TRIM(MID(SUBSTITUTE($G253, ",", REPT(" ", 100)), (COLUMNS($AJ$2:AR253)-1)*100+1, 100))</f>
        <v/>
      </c>
      <c r="AS253" t="str">
        <f>TRIM(MID(SUBSTITUTE($G253, ",", REPT(" ", 100)), (COLUMNS($AJ$2:AS253)-1)*100+1, 100))</f>
        <v/>
      </c>
      <c r="AT253" t="str">
        <f>TRIM(MID(SUBSTITUTE($G253, ",", REPT(" ", 100)), (COLUMNS($AJ$2:AT253)-1)*100+1, 100))</f>
        <v/>
      </c>
      <c r="AU253" t="str">
        <f>TRIM(MID(SUBSTITUTE($G253, ",", REPT(" ", 100)), (COLUMNS($AJ$2:AU253)-1)*100+1, 100))</f>
        <v/>
      </c>
      <c r="AV253" t="str">
        <f>TRIM(MID(SUBSTITUTE($G253, ",", REPT(" ", 100)), (COLUMNS($AJ$2:AV253)-1)*100+1, 100))</f>
        <v/>
      </c>
      <c r="AW253" t="str">
        <f>TRIM(MID(SUBSTITUTE($G253, ",", REPT(" ", 100)), (COLUMNS($AJ$2:AW253)-1)*100+1, 100))</f>
        <v/>
      </c>
      <c r="AX253" t="str">
        <f>TRIM(MID(SUBSTITUTE($G253, ",", REPT(" ", 100)), (COLUMNS($AJ$2:AX253)-1)*100+1, 100))</f>
        <v/>
      </c>
      <c r="AY253" t="str">
        <f>TRIM(MID(SUBSTITUTE($G253, ",", REPT(" ", 100)), (COLUMNS($AJ$2:AY253)-1)*100+1, 100))</f>
        <v/>
      </c>
      <c r="AZ253" t="str">
        <f>TRIM(MID(SUBSTITUTE($G253, ",", REPT(" ", 100)), (COLUMNS($AJ$2:AZ253)-1)*100+1, 100))</f>
        <v/>
      </c>
      <c r="BA253" t="str">
        <f>TRIM(MID(SUBSTITUTE($G253, ",", REPT(" ", 100)), (COLUMNS($AJ$2:BA253)-1)*100+1, 100))</f>
        <v/>
      </c>
      <c r="BB253" t="str">
        <f>TRIM(MID(SUBSTITUTE($G253, ",", REPT(" ", 100)), (COLUMNS($AJ$2:BB253)-1)*100+1, 100))</f>
        <v/>
      </c>
      <c r="BC253" t="str">
        <f>TRIM(MID(SUBSTITUTE($G253, ",", REPT(" ", 100)), (COLUMNS($AJ$2:BC253)-1)*100+1, 100))</f>
        <v/>
      </c>
      <c r="BH253">
        <f t="shared" si="5"/>
        <v>1</v>
      </c>
    </row>
    <row r="254" spans="1:60" x14ac:dyDescent="0.5">
      <c r="A254" s="32" t="s">
        <v>431</v>
      </c>
      <c r="B254" s="257">
        <v>46275</v>
      </c>
      <c r="C254" s="2">
        <v>6</v>
      </c>
      <c r="D254" s="272"/>
      <c r="E254" s="271"/>
      <c r="F254" s="260">
        <v>0</v>
      </c>
      <c r="G254" s="38" t="s">
        <v>194</v>
      </c>
      <c r="I254" s="38">
        <v>0</v>
      </c>
      <c r="AL254" t="str">
        <f>TRIM(MID(SUBSTITUTE($G254, ",", REPT(" ", 100)), (COLUMNS($AJ$2:AL254)-1)*100+1, 100))</f>
        <v/>
      </c>
      <c r="AM254" s="1">
        <v>45910</v>
      </c>
      <c r="AN254" s="2">
        <v>5</v>
      </c>
      <c r="AO254" s="2">
        <v>4</v>
      </c>
      <c r="AQ254" t="str">
        <f>TRIM(MID(SUBSTITUTE($G254, ",", REPT(" ", 100)), (COLUMNS($AJ$2:AQ254)-1)*100+1, 100))</f>
        <v/>
      </c>
      <c r="AR254" t="str">
        <f>TRIM(MID(SUBSTITUTE($G254, ",", REPT(" ", 100)), (COLUMNS($AJ$2:AR254)-1)*100+1, 100))</f>
        <v/>
      </c>
      <c r="AS254" t="str">
        <f>TRIM(MID(SUBSTITUTE($G254, ",", REPT(" ", 100)), (COLUMNS($AJ$2:AS254)-1)*100+1, 100))</f>
        <v/>
      </c>
      <c r="AT254" t="str">
        <f>TRIM(MID(SUBSTITUTE($G254, ",", REPT(" ", 100)), (COLUMNS($AJ$2:AT254)-1)*100+1, 100))</f>
        <v/>
      </c>
      <c r="AU254" t="str">
        <f>TRIM(MID(SUBSTITUTE($G254, ",", REPT(" ", 100)), (COLUMNS($AJ$2:AU254)-1)*100+1, 100))</f>
        <v/>
      </c>
      <c r="AV254" t="str">
        <f>TRIM(MID(SUBSTITUTE($G254, ",", REPT(" ", 100)), (COLUMNS($AJ$2:AV254)-1)*100+1, 100))</f>
        <v/>
      </c>
      <c r="AW254" t="str">
        <f>TRIM(MID(SUBSTITUTE($G254, ",", REPT(" ", 100)), (COLUMNS($AJ$2:AW254)-1)*100+1, 100))</f>
        <v/>
      </c>
      <c r="AX254" t="str">
        <f>TRIM(MID(SUBSTITUTE($G254, ",", REPT(" ", 100)), (COLUMNS($AJ$2:AX254)-1)*100+1, 100))</f>
        <v/>
      </c>
      <c r="AY254" t="str">
        <f>TRIM(MID(SUBSTITUTE($G254, ",", REPT(" ", 100)), (COLUMNS($AJ$2:AY254)-1)*100+1, 100))</f>
        <v/>
      </c>
      <c r="AZ254" t="str">
        <f>TRIM(MID(SUBSTITUTE($G254, ",", REPT(" ", 100)), (COLUMNS($AJ$2:AZ254)-1)*100+1, 100))</f>
        <v/>
      </c>
      <c r="BA254" t="str">
        <f>TRIM(MID(SUBSTITUTE($G254, ",", REPT(" ", 100)), (COLUMNS($AJ$2:BA254)-1)*100+1, 100))</f>
        <v/>
      </c>
      <c r="BB254" t="str">
        <f>TRIM(MID(SUBSTITUTE($G254, ",", REPT(" ", 100)), (COLUMNS($AJ$2:BB254)-1)*100+1, 100))</f>
        <v/>
      </c>
      <c r="BC254" t="str">
        <f>TRIM(MID(SUBSTITUTE($G254, ",", REPT(" ", 100)), (COLUMNS($AJ$2:BC254)-1)*100+1, 100))</f>
        <v/>
      </c>
      <c r="BH254">
        <f t="shared" si="5"/>
        <v>1</v>
      </c>
    </row>
    <row r="255" spans="1:60" ht="14.7" thickBot="1" x14ac:dyDescent="0.55000000000000004">
      <c r="A255" s="32" t="s">
        <v>432</v>
      </c>
      <c r="B255" s="258">
        <v>46276</v>
      </c>
      <c r="C255" s="2">
        <v>6</v>
      </c>
      <c r="D255" s="272"/>
      <c r="E255" s="271"/>
      <c r="F255" s="260">
        <v>0</v>
      </c>
      <c r="G255" s="38" t="s">
        <v>194</v>
      </c>
      <c r="I255" s="38">
        <v>0</v>
      </c>
      <c r="AL255" t="str">
        <f>TRIM(MID(SUBSTITUTE($G255, ",", REPT(" ", 100)), (COLUMNS($AJ$2:AL255)-1)*100+1, 100))</f>
        <v/>
      </c>
      <c r="AM255" s="1">
        <v>45911</v>
      </c>
      <c r="AN255" s="2">
        <v>4</v>
      </c>
      <c r="AO255" s="2">
        <v>6</v>
      </c>
      <c r="AQ255" t="str">
        <f>TRIM(MID(SUBSTITUTE($G255, ",", REPT(" ", 100)), (COLUMNS($AJ$2:AQ255)-1)*100+1, 100))</f>
        <v/>
      </c>
      <c r="AR255" t="str">
        <f>TRIM(MID(SUBSTITUTE($G255, ",", REPT(" ", 100)), (COLUMNS($AJ$2:AR255)-1)*100+1, 100))</f>
        <v/>
      </c>
      <c r="AS255" t="str">
        <f>TRIM(MID(SUBSTITUTE($G255, ",", REPT(" ", 100)), (COLUMNS($AJ$2:AS255)-1)*100+1, 100))</f>
        <v/>
      </c>
      <c r="AT255" t="str">
        <f>TRIM(MID(SUBSTITUTE($G255, ",", REPT(" ", 100)), (COLUMNS($AJ$2:AT255)-1)*100+1, 100))</f>
        <v/>
      </c>
      <c r="AU255" t="str">
        <f>TRIM(MID(SUBSTITUTE($G255, ",", REPT(" ", 100)), (COLUMNS($AJ$2:AU255)-1)*100+1, 100))</f>
        <v/>
      </c>
      <c r="AV255" t="str">
        <f>TRIM(MID(SUBSTITUTE($G255, ",", REPT(" ", 100)), (COLUMNS($AJ$2:AV255)-1)*100+1, 100))</f>
        <v/>
      </c>
      <c r="AW255" t="str">
        <f>TRIM(MID(SUBSTITUTE($G255, ",", REPT(" ", 100)), (COLUMNS($AJ$2:AW255)-1)*100+1, 100))</f>
        <v/>
      </c>
      <c r="AX255" t="str">
        <f>TRIM(MID(SUBSTITUTE($G255, ",", REPT(" ", 100)), (COLUMNS($AJ$2:AX255)-1)*100+1, 100))</f>
        <v/>
      </c>
      <c r="AY255" t="str">
        <f>TRIM(MID(SUBSTITUTE($G255, ",", REPT(" ", 100)), (COLUMNS($AJ$2:AY255)-1)*100+1, 100))</f>
        <v/>
      </c>
      <c r="AZ255" t="str">
        <f>TRIM(MID(SUBSTITUTE($G255, ",", REPT(" ", 100)), (COLUMNS($AJ$2:AZ255)-1)*100+1, 100))</f>
        <v/>
      </c>
      <c r="BA255" t="str">
        <f>TRIM(MID(SUBSTITUTE($G255, ",", REPT(" ", 100)), (COLUMNS($AJ$2:BA255)-1)*100+1, 100))</f>
        <v/>
      </c>
      <c r="BB255" t="str">
        <f>TRIM(MID(SUBSTITUTE($G255, ",", REPT(" ", 100)), (COLUMNS($AJ$2:BB255)-1)*100+1, 100))</f>
        <v/>
      </c>
      <c r="BC255" t="str">
        <f>TRIM(MID(SUBSTITUTE($G255, ",", REPT(" ", 100)), (COLUMNS($AJ$2:BC255)-1)*100+1, 100))</f>
        <v/>
      </c>
      <c r="BH255">
        <f t="shared" si="5"/>
        <v>1</v>
      </c>
    </row>
    <row r="256" spans="1:60" x14ac:dyDescent="0.5">
      <c r="A256" s="32" t="s">
        <v>433</v>
      </c>
      <c r="B256" s="257">
        <v>46277</v>
      </c>
      <c r="C256" s="2">
        <v>5.5</v>
      </c>
      <c r="D256" s="272"/>
      <c r="E256" s="271"/>
      <c r="F256" s="260">
        <v>0</v>
      </c>
      <c r="G256" s="38" t="s">
        <v>194</v>
      </c>
      <c r="I256" s="38">
        <v>0</v>
      </c>
      <c r="AL256" t="str">
        <f>TRIM(MID(SUBSTITUTE($G256, ",", REPT(" ", 100)), (COLUMNS($AJ$2:AL256)-1)*100+1, 100))</f>
        <v/>
      </c>
      <c r="AM256" s="1">
        <v>45912</v>
      </c>
      <c r="AN256" s="2">
        <v>4</v>
      </c>
      <c r="AO256" s="2">
        <v>6</v>
      </c>
      <c r="AQ256" t="str">
        <f>TRIM(MID(SUBSTITUTE($G256, ",", REPT(" ", 100)), (COLUMNS($AJ$2:AQ256)-1)*100+1, 100))</f>
        <v/>
      </c>
      <c r="AR256" t="str">
        <f>TRIM(MID(SUBSTITUTE($G256, ",", REPT(" ", 100)), (COLUMNS($AJ$2:AR256)-1)*100+1, 100))</f>
        <v/>
      </c>
      <c r="AS256" t="str">
        <f>TRIM(MID(SUBSTITUTE($G256, ",", REPT(" ", 100)), (COLUMNS($AJ$2:AS256)-1)*100+1, 100))</f>
        <v/>
      </c>
      <c r="AT256" t="str">
        <f>TRIM(MID(SUBSTITUTE($G256, ",", REPT(" ", 100)), (COLUMNS($AJ$2:AT256)-1)*100+1, 100))</f>
        <v/>
      </c>
      <c r="AU256" t="str">
        <f>TRIM(MID(SUBSTITUTE($G256, ",", REPT(" ", 100)), (COLUMNS($AJ$2:AU256)-1)*100+1, 100))</f>
        <v/>
      </c>
      <c r="AV256" t="str">
        <f>TRIM(MID(SUBSTITUTE($G256, ",", REPT(" ", 100)), (COLUMNS($AJ$2:AV256)-1)*100+1, 100))</f>
        <v/>
      </c>
      <c r="AW256" t="str">
        <f>TRIM(MID(SUBSTITUTE($G256, ",", REPT(" ", 100)), (COLUMNS($AJ$2:AW256)-1)*100+1, 100))</f>
        <v/>
      </c>
      <c r="AX256" t="str">
        <f>TRIM(MID(SUBSTITUTE($G256, ",", REPT(" ", 100)), (COLUMNS($AJ$2:AX256)-1)*100+1, 100))</f>
        <v/>
      </c>
      <c r="AY256" t="str">
        <f>TRIM(MID(SUBSTITUTE($G256, ",", REPT(" ", 100)), (COLUMNS($AJ$2:AY256)-1)*100+1, 100))</f>
        <v/>
      </c>
      <c r="AZ256" t="str">
        <f>TRIM(MID(SUBSTITUTE($G256, ",", REPT(" ", 100)), (COLUMNS($AJ$2:AZ256)-1)*100+1, 100))</f>
        <v/>
      </c>
      <c r="BA256" t="str">
        <f>TRIM(MID(SUBSTITUTE($G256, ",", REPT(" ", 100)), (COLUMNS($AJ$2:BA256)-1)*100+1, 100))</f>
        <v/>
      </c>
      <c r="BB256" t="str">
        <f>TRIM(MID(SUBSTITUTE($G256, ",", REPT(" ", 100)), (COLUMNS($AJ$2:BB256)-1)*100+1, 100))</f>
        <v/>
      </c>
      <c r="BC256" t="str">
        <f>TRIM(MID(SUBSTITUTE($G256, ",", REPT(" ", 100)), (COLUMNS($AJ$2:BC256)-1)*100+1, 100))</f>
        <v/>
      </c>
      <c r="BH256">
        <f t="shared" si="5"/>
        <v>1</v>
      </c>
    </row>
    <row r="257" spans="1:60" ht="14.7" thickBot="1" x14ac:dyDescent="0.55000000000000004">
      <c r="A257" s="32" t="s">
        <v>434</v>
      </c>
      <c r="B257" s="258">
        <v>46278</v>
      </c>
      <c r="C257" s="2">
        <v>6.9</v>
      </c>
      <c r="D257" s="272"/>
      <c r="E257" s="271"/>
      <c r="F257" s="260">
        <v>0</v>
      </c>
      <c r="G257" s="38" t="s">
        <v>194</v>
      </c>
      <c r="I257" s="38">
        <v>0</v>
      </c>
      <c r="AL257" t="str">
        <f>TRIM(MID(SUBSTITUTE($G257, ",", REPT(" ", 100)), (COLUMNS($AJ$2:AL257)-1)*100+1, 100))</f>
        <v/>
      </c>
      <c r="AM257" s="1">
        <v>45913</v>
      </c>
      <c r="AN257" s="2">
        <v>4</v>
      </c>
      <c r="AO257" s="2">
        <v>10</v>
      </c>
      <c r="AQ257" t="str">
        <f>TRIM(MID(SUBSTITUTE($G257, ",", REPT(" ", 100)), (COLUMNS($AJ$2:AQ257)-1)*100+1, 100))</f>
        <v/>
      </c>
      <c r="AR257" t="str">
        <f>TRIM(MID(SUBSTITUTE($G257, ",", REPT(" ", 100)), (COLUMNS($AJ$2:AR257)-1)*100+1, 100))</f>
        <v/>
      </c>
      <c r="AS257" t="str">
        <f>TRIM(MID(SUBSTITUTE($G257, ",", REPT(" ", 100)), (COLUMNS($AJ$2:AS257)-1)*100+1, 100))</f>
        <v/>
      </c>
      <c r="AT257" t="str">
        <f>TRIM(MID(SUBSTITUTE($G257, ",", REPT(" ", 100)), (COLUMNS($AJ$2:AT257)-1)*100+1, 100))</f>
        <v/>
      </c>
      <c r="AU257" t="str">
        <f>TRIM(MID(SUBSTITUTE($G257, ",", REPT(" ", 100)), (COLUMNS($AJ$2:AU257)-1)*100+1, 100))</f>
        <v/>
      </c>
      <c r="AV257" t="str">
        <f>TRIM(MID(SUBSTITUTE($G257, ",", REPT(" ", 100)), (COLUMNS($AJ$2:AV257)-1)*100+1, 100))</f>
        <v/>
      </c>
      <c r="AW257" t="str">
        <f>TRIM(MID(SUBSTITUTE($G257, ",", REPT(" ", 100)), (COLUMNS($AJ$2:AW257)-1)*100+1, 100))</f>
        <v/>
      </c>
      <c r="AX257" t="str">
        <f>TRIM(MID(SUBSTITUTE($G257, ",", REPT(" ", 100)), (COLUMNS($AJ$2:AX257)-1)*100+1, 100))</f>
        <v/>
      </c>
      <c r="AY257" t="str">
        <f>TRIM(MID(SUBSTITUTE($G257, ",", REPT(" ", 100)), (COLUMNS($AJ$2:AY257)-1)*100+1, 100))</f>
        <v/>
      </c>
      <c r="AZ257" t="str">
        <f>TRIM(MID(SUBSTITUTE($G257, ",", REPT(" ", 100)), (COLUMNS($AJ$2:AZ257)-1)*100+1, 100))</f>
        <v/>
      </c>
      <c r="BA257" t="str">
        <f>TRIM(MID(SUBSTITUTE($G257, ",", REPT(" ", 100)), (COLUMNS($AJ$2:BA257)-1)*100+1, 100))</f>
        <v/>
      </c>
      <c r="BB257" t="str">
        <f>TRIM(MID(SUBSTITUTE($G257, ",", REPT(" ", 100)), (COLUMNS($AJ$2:BB257)-1)*100+1, 100))</f>
        <v/>
      </c>
      <c r="BC257" t="str">
        <f>TRIM(MID(SUBSTITUTE($G257, ",", REPT(" ", 100)), (COLUMNS($AJ$2:BC257)-1)*100+1, 100))</f>
        <v/>
      </c>
      <c r="BH257">
        <f t="shared" si="5"/>
        <v>1</v>
      </c>
    </row>
    <row r="258" spans="1:60" x14ac:dyDescent="0.5">
      <c r="A258" s="32" t="s">
        <v>435</v>
      </c>
      <c r="B258" s="257">
        <v>46279</v>
      </c>
      <c r="C258" s="2">
        <v>6</v>
      </c>
      <c r="D258" s="272"/>
      <c r="E258" s="271"/>
      <c r="F258" s="260">
        <v>1</v>
      </c>
      <c r="G258" s="38" t="s">
        <v>562</v>
      </c>
      <c r="H258" s="38" t="s">
        <v>634</v>
      </c>
      <c r="I258" s="38">
        <v>0</v>
      </c>
      <c r="AL258" t="str">
        <f>TRIM(MID(SUBSTITUTE($G258, ",", REPT(" ", 100)), (COLUMNS($AJ$2:AL258)-1)*100+1, 100))</f>
        <v>Banglore</v>
      </c>
      <c r="AM258" s="1">
        <v>45914</v>
      </c>
      <c r="AN258" s="2">
        <v>3</v>
      </c>
      <c r="AO258" s="2">
        <v>8</v>
      </c>
      <c r="AQ258" t="str">
        <f>TRIM(MID(SUBSTITUTE($G258, ",", REPT(" ", 100)), (COLUMNS($AJ$2:AQ258)-1)*100+1, 100))</f>
        <v/>
      </c>
      <c r="AR258" t="str">
        <f>TRIM(MID(SUBSTITUTE($G258, ",", REPT(" ", 100)), (COLUMNS($AJ$2:AR258)-1)*100+1, 100))</f>
        <v/>
      </c>
      <c r="AS258" t="str">
        <f>TRIM(MID(SUBSTITUTE($G258, ",", REPT(" ", 100)), (COLUMNS($AJ$2:AS258)-1)*100+1, 100))</f>
        <v/>
      </c>
      <c r="AT258" t="str">
        <f>TRIM(MID(SUBSTITUTE($G258, ",", REPT(" ", 100)), (COLUMNS($AJ$2:AT258)-1)*100+1, 100))</f>
        <v/>
      </c>
      <c r="AU258" t="str">
        <f>TRIM(MID(SUBSTITUTE($G258, ",", REPT(" ", 100)), (COLUMNS($AJ$2:AU258)-1)*100+1, 100))</f>
        <v/>
      </c>
      <c r="AV258" t="str">
        <f>TRIM(MID(SUBSTITUTE($G258, ",", REPT(" ", 100)), (COLUMNS($AJ$2:AV258)-1)*100+1, 100))</f>
        <v/>
      </c>
      <c r="AW258" t="str">
        <f>TRIM(MID(SUBSTITUTE($G258, ",", REPT(" ", 100)), (COLUMNS($AJ$2:AW258)-1)*100+1, 100))</f>
        <v/>
      </c>
      <c r="AX258" t="str">
        <f>TRIM(MID(SUBSTITUTE($G258, ",", REPT(" ", 100)), (COLUMNS($AJ$2:AX258)-1)*100+1, 100))</f>
        <v/>
      </c>
      <c r="AY258" t="str">
        <f>TRIM(MID(SUBSTITUTE($G258, ",", REPT(" ", 100)), (COLUMNS($AJ$2:AY258)-1)*100+1, 100))</f>
        <v/>
      </c>
      <c r="AZ258" t="str">
        <f>TRIM(MID(SUBSTITUTE($G258, ",", REPT(" ", 100)), (COLUMNS($AJ$2:AZ258)-1)*100+1, 100))</f>
        <v/>
      </c>
      <c r="BA258" t="str">
        <f>TRIM(MID(SUBSTITUTE($G258, ",", REPT(" ", 100)), (COLUMNS($AJ$2:BA258)-1)*100+1, 100))</f>
        <v/>
      </c>
      <c r="BB258" t="str">
        <f>TRIM(MID(SUBSTITUTE($G258, ",", REPT(" ", 100)), (COLUMNS($AJ$2:BB258)-1)*100+1, 100))</f>
        <v/>
      </c>
      <c r="BC258" t="str">
        <f>TRIM(MID(SUBSTITUTE($G258, ",", REPT(" ", 100)), (COLUMNS($AJ$2:BC258)-1)*100+1, 100))</f>
        <v/>
      </c>
      <c r="BH258">
        <f t="shared" si="5"/>
        <v>0.33333333333333331</v>
      </c>
    </row>
    <row r="259" spans="1:60" ht="14.7" thickBot="1" x14ac:dyDescent="0.55000000000000004">
      <c r="A259" s="32" t="s">
        <v>436</v>
      </c>
      <c r="B259" s="258">
        <v>46280</v>
      </c>
      <c r="C259" s="2">
        <v>5.3</v>
      </c>
      <c r="D259" s="272"/>
      <c r="E259" s="271"/>
      <c r="F259" s="260">
        <v>1</v>
      </c>
      <c r="G259" s="38" t="s">
        <v>462</v>
      </c>
      <c r="H259" s="38" t="s">
        <v>635</v>
      </c>
      <c r="I259" s="38">
        <v>0</v>
      </c>
      <c r="AL259" t="str">
        <f>TRIM(MID(SUBSTITUTE($G259, ",", REPT(" ", 100)), (COLUMNS($AJ$2:AL259)-1)*100+1, 100))</f>
        <v/>
      </c>
      <c r="AM259" s="1">
        <v>45915</v>
      </c>
      <c r="AN259" s="2">
        <v>8</v>
      </c>
      <c r="AO259" s="2">
        <v>6</v>
      </c>
      <c r="AQ259" t="str">
        <f>TRIM(MID(SUBSTITUTE($G259, ",", REPT(" ", 100)), (COLUMNS($AJ$2:AQ259)-1)*100+1, 100))</f>
        <v/>
      </c>
      <c r="AR259" t="str">
        <f>TRIM(MID(SUBSTITUTE($G259, ",", REPT(" ", 100)), (COLUMNS($AJ$2:AR259)-1)*100+1, 100))</f>
        <v/>
      </c>
      <c r="AS259" t="str">
        <f>TRIM(MID(SUBSTITUTE($G259, ",", REPT(" ", 100)), (COLUMNS($AJ$2:AS259)-1)*100+1, 100))</f>
        <v/>
      </c>
      <c r="AT259" t="str">
        <f>TRIM(MID(SUBSTITUTE($G259, ",", REPT(" ", 100)), (COLUMNS($AJ$2:AT259)-1)*100+1, 100))</f>
        <v/>
      </c>
      <c r="AU259" t="str">
        <f>TRIM(MID(SUBSTITUTE($G259, ",", REPT(" ", 100)), (COLUMNS($AJ$2:AU259)-1)*100+1, 100))</f>
        <v/>
      </c>
      <c r="AV259" t="str">
        <f>TRIM(MID(SUBSTITUTE($G259, ",", REPT(" ", 100)), (COLUMNS($AJ$2:AV259)-1)*100+1, 100))</f>
        <v/>
      </c>
      <c r="AW259" t="str">
        <f>TRIM(MID(SUBSTITUTE($G259, ",", REPT(" ", 100)), (COLUMNS($AJ$2:AW259)-1)*100+1, 100))</f>
        <v/>
      </c>
      <c r="AX259" t="str">
        <f>TRIM(MID(SUBSTITUTE($G259, ",", REPT(" ", 100)), (COLUMNS($AJ$2:AX259)-1)*100+1, 100))</f>
        <v/>
      </c>
      <c r="AY259" t="str">
        <f>TRIM(MID(SUBSTITUTE($G259, ",", REPT(" ", 100)), (COLUMNS($AJ$2:AY259)-1)*100+1, 100))</f>
        <v/>
      </c>
      <c r="AZ259" t="str">
        <f>TRIM(MID(SUBSTITUTE($G259, ",", REPT(" ", 100)), (COLUMNS($AJ$2:AZ259)-1)*100+1, 100))</f>
        <v/>
      </c>
      <c r="BA259" t="str">
        <f>TRIM(MID(SUBSTITUTE($G259, ",", REPT(" ", 100)), (COLUMNS($AJ$2:BA259)-1)*100+1, 100))</f>
        <v/>
      </c>
      <c r="BB259" t="str">
        <f>TRIM(MID(SUBSTITUTE($G259, ",", REPT(" ", 100)), (COLUMNS($AJ$2:BB259)-1)*100+1, 100))</f>
        <v/>
      </c>
      <c r="BC259" t="str">
        <f>TRIM(MID(SUBSTITUTE($G259, ",", REPT(" ", 100)), (COLUMNS($AJ$2:BC259)-1)*100+1, 100))</f>
        <v/>
      </c>
      <c r="BH259">
        <f t="shared" ref="BH259:BH322" si="6">1/(LEN(G259)-LEN(SUBSTITUTE(G259,",",""))+1)</f>
        <v>1</v>
      </c>
    </row>
    <row r="260" spans="1:60" x14ac:dyDescent="0.5">
      <c r="A260" s="32" t="s">
        <v>437</v>
      </c>
      <c r="B260" s="257">
        <v>46281</v>
      </c>
      <c r="C260" s="2">
        <v>5.8</v>
      </c>
      <c r="D260" s="272"/>
      <c r="E260" s="271"/>
      <c r="F260" s="260">
        <v>0</v>
      </c>
      <c r="G260" s="38" t="s">
        <v>462</v>
      </c>
      <c r="H260" s="38" t="s">
        <v>636</v>
      </c>
      <c r="I260" s="38">
        <v>0</v>
      </c>
      <c r="AL260" t="str">
        <f>TRIM(MID(SUBSTITUTE($G260, ",", REPT(" ", 100)), (COLUMNS($AJ$2:AL260)-1)*100+1, 100))</f>
        <v/>
      </c>
      <c r="AM260" s="1">
        <v>45916</v>
      </c>
      <c r="AN260" s="2">
        <v>6</v>
      </c>
      <c r="AO260" s="2">
        <v>6</v>
      </c>
      <c r="AQ260" t="str">
        <f>TRIM(MID(SUBSTITUTE($G260, ",", REPT(" ", 100)), (COLUMNS($AJ$2:AQ260)-1)*100+1, 100))</f>
        <v/>
      </c>
      <c r="AR260" t="str">
        <f>TRIM(MID(SUBSTITUTE($G260, ",", REPT(" ", 100)), (COLUMNS($AJ$2:AR260)-1)*100+1, 100))</f>
        <v/>
      </c>
      <c r="AS260" t="str">
        <f>TRIM(MID(SUBSTITUTE($G260, ",", REPT(" ", 100)), (COLUMNS($AJ$2:AS260)-1)*100+1, 100))</f>
        <v/>
      </c>
      <c r="AT260" t="str">
        <f>TRIM(MID(SUBSTITUTE($G260, ",", REPT(" ", 100)), (COLUMNS($AJ$2:AT260)-1)*100+1, 100))</f>
        <v/>
      </c>
      <c r="AU260" t="str">
        <f>TRIM(MID(SUBSTITUTE($G260, ",", REPT(" ", 100)), (COLUMNS($AJ$2:AU260)-1)*100+1, 100))</f>
        <v/>
      </c>
      <c r="AV260" t="str">
        <f>TRIM(MID(SUBSTITUTE($G260, ",", REPT(" ", 100)), (COLUMNS($AJ$2:AV260)-1)*100+1, 100))</f>
        <v/>
      </c>
      <c r="AW260" t="str">
        <f>TRIM(MID(SUBSTITUTE($G260, ",", REPT(" ", 100)), (COLUMNS($AJ$2:AW260)-1)*100+1, 100))</f>
        <v/>
      </c>
      <c r="AX260" t="str">
        <f>TRIM(MID(SUBSTITUTE($G260, ",", REPT(" ", 100)), (COLUMNS($AJ$2:AX260)-1)*100+1, 100))</f>
        <v/>
      </c>
      <c r="AY260" t="str">
        <f>TRIM(MID(SUBSTITUTE($G260, ",", REPT(" ", 100)), (COLUMNS($AJ$2:AY260)-1)*100+1, 100))</f>
        <v/>
      </c>
      <c r="AZ260" t="str">
        <f>TRIM(MID(SUBSTITUTE($G260, ",", REPT(" ", 100)), (COLUMNS($AJ$2:AZ260)-1)*100+1, 100))</f>
        <v/>
      </c>
      <c r="BA260" t="str">
        <f>TRIM(MID(SUBSTITUTE($G260, ",", REPT(" ", 100)), (COLUMNS($AJ$2:BA260)-1)*100+1, 100))</f>
        <v/>
      </c>
      <c r="BB260" t="str">
        <f>TRIM(MID(SUBSTITUTE($G260, ",", REPT(" ", 100)), (COLUMNS($AJ$2:BB260)-1)*100+1, 100))</f>
        <v/>
      </c>
      <c r="BC260" t="str">
        <f>TRIM(MID(SUBSTITUTE($G260, ",", REPT(" ", 100)), (COLUMNS($AJ$2:BC260)-1)*100+1, 100))</f>
        <v/>
      </c>
      <c r="BH260">
        <f t="shared" si="6"/>
        <v>1</v>
      </c>
    </row>
    <row r="261" spans="1:60" ht="14.7" thickBot="1" x14ac:dyDescent="0.55000000000000004">
      <c r="A261" s="32" t="s">
        <v>431</v>
      </c>
      <c r="B261" s="258">
        <v>46282</v>
      </c>
      <c r="C261" s="2">
        <v>5.2</v>
      </c>
      <c r="D261" s="272"/>
      <c r="E261" s="271"/>
      <c r="F261" s="260">
        <v>1</v>
      </c>
      <c r="G261" s="38" t="s">
        <v>462</v>
      </c>
      <c r="I261" s="38">
        <v>0</v>
      </c>
      <c r="AL261" t="str">
        <f>TRIM(MID(SUBSTITUTE($G261, ",", REPT(" ", 100)), (COLUMNS($AJ$2:AL261)-1)*100+1, 100))</f>
        <v/>
      </c>
      <c r="AM261" s="1">
        <v>45917</v>
      </c>
      <c r="AN261" s="2">
        <v>10</v>
      </c>
      <c r="AO261" s="2">
        <v>4</v>
      </c>
      <c r="AQ261" t="str">
        <f>TRIM(MID(SUBSTITUTE($G261, ",", REPT(" ", 100)), (COLUMNS($AJ$2:AQ261)-1)*100+1, 100))</f>
        <v/>
      </c>
      <c r="AR261" t="str">
        <f>TRIM(MID(SUBSTITUTE($G261, ",", REPT(" ", 100)), (COLUMNS($AJ$2:AR261)-1)*100+1, 100))</f>
        <v/>
      </c>
      <c r="AS261" t="str">
        <f>TRIM(MID(SUBSTITUTE($G261, ",", REPT(" ", 100)), (COLUMNS($AJ$2:AS261)-1)*100+1, 100))</f>
        <v/>
      </c>
      <c r="AT261" t="str">
        <f>TRIM(MID(SUBSTITUTE($G261, ",", REPT(" ", 100)), (COLUMNS($AJ$2:AT261)-1)*100+1, 100))</f>
        <v/>
      </c>
      <c r="AU261" t="str">
        <f>TRIM(MID(SUBSTITUTE($G261, ",", REPT(" ", 100)), (COLUMNS($AJ$2:AU261)-1)*100+1, 100))</f>
        <v/>
      </c>
      <c r="AV261" t="str">
        <f>TRIM(MID(SUBSTITUTE($G261, ",", REPT(" ", 100)), (COLUMNS($AJ$2:AV261)-1)*100+1, 100))</f>
        <v/>
      </c>
      <c r="AW261" t="str">
        <f>TRIM(MID(SUBSTITUTE($G261, ",", REPT(" ", 100)), (COLUMNS($AJ$2:AW261)-1)*100+1, 100))</f>
        <v/>
      </c>
      <c r="AX261" t="str">
        <f>TRIM(MID(SUBSTITUTE($G261, ",", REPT(" ", 100)), (COLUMNS($AJ$2:AX261)-1)*100+1, 100))</f>
        <v/>
      </c>
      <c r="AY261" t="str">
        <f>TRIM(MID(SUBSTITUTE($G261, ",", REPT(" ", 100)), (COLUMNS($AJ$2:AY261)-1)*100+1, 100))</f>
        <v/>
      </c>
      <c r="AZ261" t="str">
        <f>TRIM(MID(SUBSTITUTE($G261, ",", REPT(" ", 100)), (COLUMNS($AJ$2:AZ261)-1)*100+1, 100))</f>
        <v/>
      </c>
      <c r="BA261" t="str">
        <f>TRIM(MID(SUBSTITUTE($G261, ",", REPT(" ", 100)), (COLUMNS($AJ$2:BA261)-1)*100+1, 100))</f>
        <v/>
      </c>
      <c r="BB261" t="str">
        <f>TRIM(MID(SUBSTITUTE($G261, ",", REPT(" ", 100)), (COLUMNS($AJ$2:BB261)-1)*100+1, 100))</f>
        <v/>
      </c>
      <c r="BC261" t="str">
        <f>TRIM(MID(SUBSTITUTE($G261, ",", REPT(" ", 100)), (COLUMNS($AJ$2:BC261)-1)*100+1, 100))</f>
        <v/>
      </c>
      <c r="BH261">
        <f t="shared" si="6"/>
        <v>1</v>
      </c>
    </row>
    <row r="262" spans="1:60" x14ac:dyDescent="0.5">
      <c r="A262" s="32" t="s">
        <v>432</v>
      </c>
      <c r="B262" s="257">
        <v>46283</v>
      </c>
      <c r="C262" s="2">
        <v>5</v>
      </c>
      <c r="D262" s="272"/>
      <c r="E262" s="271"/>
      <c r="F262" s="260">
        <v>1</v>
      </c>
      <c r="G262" s="38" t="s">
        <v>462</v>
      </c>
      <c r="I262" s="38">
        <v>0</v>
      </c>
      <c r="AL262" t="str">
        <f>TRIM(MID(SUBSTITUTE($G262, ",", REPT(" ", 100)), (COLUMNS($AJ$2:AL262)-1)*100+1, 100))</f>
        <v/>
      </c>
      <c r="AM262" s="1">
        <v>45918</v>
      </c>
      <c r="AN262" s="2">
        <v>6</v>
      </c>
      <c r="AO262" s="2">
        <v>2</v>
      </c>
      <c r="AQ262" t="str">
        <f>TRIM(MID(SUBSTITUTE($G262, ",", REPT(" ", 100)), (COLUMNS($AJ$2:AQ262)-1)*100+1, 100))</f>
        <v/>
      </c>
      <c r="AR262" t="str">
        <f>TRIM(MID(SUBSTITUTE($G262, ",", REPT(" ", 100)), (COLUMNS($AJ$2:AR262)-1)*100+1, 100))</f>
        <v/>
      </c>
      <c r="AS262" t="str">
        <f>TRIM(MID(SUBSTITUTE($G262, ",", REPT(" ", 100)), (COLUMNS($AJ$2:AS262)-1)*100+1, 100))</f>
        <v/>
      </c>
      <c r="AT262" t="str">
        <f>TRIM(MID(SUBSTITUTE($G262, ",", REPT(" ", 100)), (COLUMNS($AJ$2:AT262)-1)*100+1, 100))</f>
        <v/>
      </c>
      <c r="AU262" t="str">
        <f>TRIM(MID(SUBSTITUTE($G262, ",", REPT(" ", 100)), (COLUMNS($AJ$2:AU262)-1)*100+1, 100))</f>
        <v/>
      </c>
      <c r="AV262" t="str">
        <f>TRIM(MID(SUBSTITUTE($G262, ",", REPT(" ", 100)), (COLUMNS($AJ$2:AV262)-1)*100+1, 100))</f>
        <v/>
      </c>
      <c r="AW262" t="str">
        <f>TRIM(MID(SUBSTITUTE($G262, ",", REPT(" ", 100)), (COLUMNS($AJ$2:AW262)-1)*100+1, 100))</f>
        <v/>
      </c>
      <c r="AX262" t="str">
        <f>TRIM(MID(SUBSTITUTE($G262, ",", REPT(" ", 100)), (COLUMNS($AJ$2:AX262)-1)*100+1, 100))</f>
        <v/>
      </c>
      <c r="AY262" t="str">
        <f>TRIM(MID(SUBSTITUTE($G262, ",", REPT(" ", 100)), (COLUMNS($AJ$2:AY262)-1)*100+1, 100))</f>
        <v/>
      </c>
      <c r="AZ262" t="str">
        <f>TRIM(MID(SUBSTITUTE($G262, ",", REPT(" ", 100)), (COLUMNS($AJ$2:AZ262)-1)*100+1, 100))</f>
        <v/>
      </c>
      <c r="BA262" t="str">
        <f>TRIM(MID(SUBSTITUTE($G262, ",", REPT(" ", 100)), (COLUMNS($AJ$2:BA262)-1)*100+1, 100))</f>
        <v/>
      </c>
      <c r="BB262" t="str">
        <f>TRIM(MID(SUBSTITUTE($G262, ",", REPT(" ", 100)), (COLUMNS($AJ$2:BB262)-1)*100+1, 100))</f>
        <v/>
      </c>
      <c r="BC262" t="str">
        <f>TRIM(MID(SUBSTITUTE($G262, ",", REPT(" ", 100)), (COLUMNS($AJ$2:BC262)-1)*100+1, 100))</f>
        <v/>
      </c>
      <c r="BH262">
        <f t="shared" si="6"/>
        <v>1</v>
      </c>
    </row>
    <row r="263" spans="1:60" ht="14.7" thickBot="1" x14ac:dyDescent="0.55000000000000004">
      <c r="A263" s="32" t="s">
        <v>433</v>
      </c>
      <c r="B263" s="258">
        <v>46284</v>
      </c>
      <c r="C263" s="2">
        <v>6.2</v>
      </c>
      <c r="D263" s="272"/>
      <c r="E263" s="271"/>
      <c r="F263" s="260">
        <v>1</v>
      </c>
      <c r="G263" s="38" t="s">
        <v>462</v>
      </c>
      <c r="H263" s="38" t="s">
        <v>637</v>
      </c>
      <c r="I263" s="38">
        <v>0</v>
      </c>
      <c r="AL263" t="str">
        <f>TRIM(MID(SUBSTITUTE($G263, ",", REPT(" ", 100)), (COLUMNS($AJ$2:AL263)-1)*100+1, 100))</f>
        <v/>
      </c>
      <c r="AM263" s="1">
        <v>45919</v>
      </c>
      <c r="AN263" s="2">
        <v>8.1</v>
      </c>
      <c r="AO263" s="2">
        <v>4</v>
      </c>
      <c r="AQ263" t="str">
        <f>TRIM(MID(SUBSTITUTE($G263, ",", REPT(" ", 100)), (COLUMNS($AJ$2:AQ263)-1)*100+1, 100))</f>
        <v/>
      </c>
      <c r="AR263" t="str">
        <f>TRIM(MID(SUBSTITUTE($G263, ",", REPT(" ", 100)), (COLUMNS($AJ$2:AR263)-1)*100+1, 100))</f>
        <v/>
      </c>
      <c r="AS263" t="str">
        <f>TRIM(MID(SUBSTITUTE($G263, ",", REPT(" ", 100)), (COLUMNS($AJ$2:AS263)-1)*100+1, 100))</f>
        <v/>
      </c>
      <c r="AT263" t="str">
        <f>TRIM(MID(SUBSTITUTE($G263, ",", REPT(" ", 100)), (COLUMNS($AJ$2:AT263)-1)*100+1, 100))</f>
        <v/>
      </c>
      <c r="AU263" t="str">
        <f>TRIM(MID(SUBSTITUTE($G263, ",", REPT(" ", 100)), (COLUMNS($AJ$2:AU263)-1)*100+1, 100))</f>
        <v/>
      </c>
      <c r="AV263" t="str">
        <f>TRIM(MID(SUBSTITUTE($G263, ",", REPT(" ", 100)), (COLUMNS($AJ$2:AV263)-1)*100+1, 100))</f>
        <v/>
      </c>
      <c r="AW263" t="str">
        <f>TRIM(MID(SUBSTITUTE($G263, ",", REPT(" ", 100)), (COLUMNS($AJ$2:AW263)-1)*100+1, 100))</f>
        <v/>
      </c>
      <c r="AX263" t="str">
        <f>TRIM(MID(SUBSTITUTE($G263, ",", REPT(" ", 100)), (COLUMNS($AJ$2:AX263)-1)*100+1, 100))</f>
        <v/>
      </c>
      <c r="AY263" t="str">
        <f>TRIM(MID(SUBSTITUTE($G263, ",", REPT(" ", 100)), (COLUMNS($AJ$2:AY263)-1)*100+1, 100))</f>
        <v/>
      </c>
      <c r="AZ263" t="str">
        <f>TRIM(MID(SUBSTITUTE($G263, ",", REPT(" ", 100)), (COLUMNS($AJ$2:AZ263)-1)*100+1, 100))</f>
        <v/>
      </c>
      <c r="BA263" t="str">
        <f>TRIM(MID(SUBSTITUTE($G263, ",", REPT(" ", 100)), (COLUMNS($AJ$2:BA263)-1)*100+1, 100))</f>
        <v/>
      </c>
      <c r="BB263" t="str">
        <f>TRIM(MID(SUBSTITUTE($G263, ",", REPT(" ", 100)), (COLUMNS($AJ$2:BB263)-1)*100+1, 100))</f>
        <v/>
      </c>
      <c r="BC263" t="str">
        <f>TRIM(MID(SUBSTITUTE($G263, ",", REPT(" ", 100)), (COLUMNS($AJ$2:BC263)-1)*100+1, 100))</f>
        <v/>
      </c>
      <c r="BH263">
        <f t="shared" si="6"/>
        <v>1</v>
      </c>
    </row>
    <row r="264" spans="1:60" x14ac:dyDescent="0.5">
      <c r="A264" s="32" t="s">
        <v>434</v>
      </c>
      <c r="B264" s="257">
        <v>46285</v>
      </c>
      <c r="C264" s="2">
        <v>6</v>
      </c>
      <c r="D264" s="272"/>
      <c r="E264" s="271"/>
      <c r="F264" s="260">
        <v>0</v>
      </c>
      <c r="G264" s="38" t="s">
        <v>462</v>
      </c>
      <c r="H264" s="38" t="s">
        <v>638</v>
      </c>
      <c r="I264" s="38">
        <v>0</v>
      </c>
      <c r="AL264" t="str">
        <f>TRIM(MID(SUBSTITUTE($G264, ",", REPT(" ", 100)), (COLUMNS($AJ$2:AL264)-1)*100+1, 100))</f>
        <v/>
      </c>
      <c r="AM264" s="1">
        <v>45920</v>
      </c>
      <c r="AN264" s="2">
        <v>8</v>
      </c>
      <c r="AO264" s="2">
        <v>4</v>
      </c>
      <c r="AQ264" t="str">
        <f>TRIM(MID(SUBSTITUTE($G264, ",", REPT(" ", 100)), (COLUMNS($AJ$2:AQ264)-1)*100+1, 100))</f>
        <v/>
      </c>
      <c r="AR264" t="str">
        <f>TRIM(MID(SUBSTITUTE($G264, ",", REPT(" ", 100)), (COLUMNS($AJ$2:AR264)-1)*100+1, 100))</f>
        <v/>
      </c>
      <c r="AS264" t="str">
        <f>TRIM(MID(SUBSTITUTE($G264, ",", REPT(" ", 100)), (COLUMNS($AJ$2:AS264)-1)*100+1, 100))</f>
        <v/>
      </c>
      <c r="AT264" t="str">
        <f>TRIM(MID(SUBSTITUTE($G264, ",", REPT(" ", 100)), (COLUMNS($AJ$2:AT264)-1)*100+1, 100))</f>
        <v/>
      </c>
      <c r="AU264" t="str">
        <f>TRIM(MID(SUBSTITUTE($G264, ",", REPT(" ", 100)), (COLUMNS($AJ$2:AU264)-1)*100+1, 100))</f>
        <v/>
      </c>
      <c r="AV264" t="str">
        <f>TRIM(MID(SUBSTITUTE($G264, ",", REPT(" ", 100)), (COLUMNS($AJ$2:AV264)-1)*100+1, 100))</f>
        <v/>
      </c>
      <c r="AW264" t="str">
        <f>TRIM(MID(SUBSTITUTE($G264, ",", REPT(" ", 100)), (COLUMNS($AJ$2:AW264)-1)*100+1, 100))</f>
        <v/>
      </c>
      <c r="AX264" t="str">
        <f>TRIM(MID(SUBSTITUTE($G264, ",", REPT(" ", 100)), (COLUMNS($AJ$2:AX264)-1)*100+1, 100))</f>
        <v/>
      </c>
      <c r="AY264" t="str">
        <f>TRIM(MID(SUBSTITUTE($G264, ",", REPT(" ", 100)), (COLUMNS($AJ$2:AY264)-1)*100+1, 100))</f>
        <v/>
      </c>
      <c r="AZ264" t="str">
        <f>TRIM(MID(SUBSTITUTE($G264, ",", REPT(" ", 100)), (COLUMNS($AJ$2:AZ264)-1)*100+1, 100))</f>
        <v/>
      </c>
      <c r="BA264" t="str">
        <f>TRIM(MID(SUBSTITUTE($G264, ",", REPT(" ", 100)), (COLUMNS($AJ$2:BA264)-1)*100+1, 100))</f>
        <v/>
      </c>
      <c r="BB264" t="str">
        <f>TRIM(MID(SUBSTITUTE($G264, ",", REPT(" ", 100)), (COLUMNS($AJ$2:BB264)-1)*100+1, 100))</f>
        <v/>
      </c>
      <c r="BC264" t="str">
        <f>TRIM(MID(SUBSTITUTE($G264, ",", REPT(" ", 100)), (COLUMNS($AJ$2:BC264)-1)*100+1, 100))</f>
        <v/>
      </c>
      <c r="BH264">
        <f t="shared" si="6"/>
        <v>1</v>
      </c>
    </row>
    <row r="265" spans="1:60" ht="14.7" thickBot="1" x14ac:dyDescent="0.55000000000000004">
      <c r="A265" s="32" t="s">
        <v>435</v>
      </c>
      <c r="B265" s="258">
        <v>46286</v>
      </c>
      <c r="C265" s="2">
        <v>5.7</v>
      </c>
      <c r="D265" s="272"/>
      <c r="E265" s="271"/>
      <c r="F265" s="260">
        <v>1</v>
      </c>
      <c r="G265" s="38" t="s">
        <v>462</v>
      </c>
      <c r="H265" s="38" t="s">
        <v>639</v>
      </c>
      <c r="I265" s="38">
        <v>0</v>
      </c>
      <c r="AL265" t="str">
        <f>TRIM(MID(SUBSTITUTE($G265, ",", REPT(" ", 100)), (COLUMNS($AJ$2:AL265)-1)*100+1, 100))</f>
        <v/>
      </c>
      <c r="AM265" s="1">
        <v>45921</v>
      </c>
      <c r="AN265" s="2">
        <v>7.5</v>
      </c>
      <c r="AO265" s="2">
        <v>6</v>
      </c>
      <c r="AQ265" t="str">
        <f>TRIM(MID(SUBSTITUTE($G265, ",", REPT(" ", 100)), (COLUMNS($AJ$2:AQ265)-1)*100+1, 100))</f>
        <v/>
      </c>
      <c r="AR265" t="str">
        <f>TRIM(MID(SUBSTITUTE($G265, ",", REPT(" ", 100)), (COLUMNS($AJ$2:AR265)-1)*100+1, 100))</f>
        <v/>
      </c>
      <c r="AS265" t="str">
        <f>TRIM(MID(SUBSTITUTE($G265, ",", REPT(" ", 100)), (COLUMNS($AJ$2:AS265)-1)*100+1, 100))</f>
        <v/>
      </c>
      <c r="AT265" t="str">
        <f>TRIM(MID(SUBSTITUTE($G265, ",", REPT(" ", 100)), (COLUMNS($AJ$2:AT265)-1)*100+1, 100))</f>
        <v/>
      </c>
      <c r="AU265" t="str">
        <f>TRIM(MID(SUBSTITUTE($G265, ",", REPT(" ", 100)), (COLUMNS($AJ$2:AU265)-1)*100+1, 100))</f>
        <v/>
      </c>
      <c r="AV265" t="str">
        <f>TRIM(MID(SUBSTITUTE($G265, ",", REPT(" ", 100)), (COLUMNS($AJ$2:AV265)-1)*100+1, 100))</f>
        <v/>
      </c>
      <c r="AW265" t="str">
        <f>TRIM(MID(SUBSTITUTE($G265, ",", REPT(" ", 100)), (COLUMNS($AJ$2:AW265)-1)*100+1, 100))</f>
        <v/>
      </c>
      <c r="AX265" t="str">
        <f>TRIM(MID(SUBSTITUTE($G265, ",", REPT(" ", 100)), (COLUMNS($AJ$2:AX265)-1)*100+1, 100))</f>
        <v/>
      </c>
      <c r="AY265" t="str">
        <f>TRIM(MID(SUBSTITUTE($G265, ",", REPT(" ", 100)), (COLUMNS($AJ$2:AY265)-1)*100+1, 100))</f>
        <v/>
      </c>
      <c r="AZ265" t="str">
        <f>TRIM(MID(SUBSTITUTE($G265, ",", REPT(" ", 100)), (COLUMNS($AJ$2:AZ265)-1)*100+1, 100))</f>
        <v/>
      </c>
      <c r="BA265" t="str">
        <f>TRIM(MID(SUBSTITUTE($G265, ",", REPT(" ", 100)), (COLUMNS($AJ$2:BA265)-1)*100+1, 100))</f>
        <v/>
      </c>
      <c r="BB265" t="str">
        <f>TRIM(MID(SUBSTITUTE($G265, ",", REPT(" ", 100)), (COLUMNS($AJ$2:BB265)-1)*100+1, 100))</f>
        <v/>
      </c>
      <c r="BC265" t="str">
        <f>TRIM(MID(SUBSTITUTE($G265, ",", REPT(" ", 100)), (COLUMNS($AJ$2:BC265)-1)*100+1, 100))</f>
        <v/>
      </c>
      <c r="BH265">
        <f t="shared" si="6"/>
        <v>1</v>
      </c>
    </row>
    <row r="266" spans="1:60" x14ac:dyDescent="0.5">
      <c r="A266" s="32" t="s">
        <v>436</v>
      </c>
      <c r="B266" s="257">
        <v>46287</v>
      </c>
      <c r="C266" s="2">
        <v>5.0999999999999996</v>
      </c>
      <c r="D266" s="272"/>
      <c r="E266" s="271"/>
      <c r="F266" s="260">
        <v>1</v>
      </c>
      <c r="G266" s="38" t="s">
        <v>462</v>
      </c>
      <c r="I266" s="38">
        <v>0</v>
      </c>
      <c r="AL266" t="str">
        <f>TRIM(MID(SUBSTITUTE($G266, ",", REPT(" ", 100)), (COLUMNS($AJ$2:AL266)-1)*100+1, 100))</f>
        <v/>
      </c>
      <c r="AM266" s="1">
        <v>45922</v>
      </c>
      <c r="AN266" s="2">
        <v>6</v>
      </c>
      <c r="AO266" s="2">
        <v>6</v>
      </c>
      <c r="AQ266" t="str">
        <f>TRIM(MID(SUBSTITUTE($G266, ",", REPT(" ", 100)), (COLUMNS($AJ$2:AQ266)-1)*100+1, 100))</f>
        <v/>
      </c>
      <c r="AR266" t="str">
        <f>TRIM(MID(SUBSTITUTE($G266, ",", REPT(" ", 100)), (COLUMNS($AJ$2:AR266)-1)*100+1, 100))</f>
        <v/>
      </c>
      <c r="AS266" t="str">
        <f>TRIM(MID(SUBSTITUTE($G266, ",", REPT(" ", 100)), (COLUMNS($AJ$2:AS266)-1)*100+1, 100))</f>
        <v/>
      </c>
      <c r="AT266" t="str">
        <f>TRIM(MID(SUBSTITUTE($G266, ",", REPT(" ", 100)), (COLUMNS($AJ$2:AT266)-1)*100+1, 100))</f>
        <v/>
      </c>
      <c r="AU266" t="str">
        <f>TRIM(MID(SUBSTITUTE($G266, ",", REPT(" ", 100)), (COLUMNS($AJ$2:AU266)-1)*100+1, 100))</f>
        <v/>
      </c>
      <c r="AV266" t="str">
        <f>TRIM(MID(SUBSTITUTE($G266, ",", REPT(" ", 100)), (COLUMNS($AJ$2:AV266)-1)*100+1, 100))</f>
        <v/>
      </c>
      <c r="AW266" t="str">
        <f>TRIM(MID(SUBSTITUTE($G266, ",", REPT(" ", 100)), (COLUMNS($AJ$2:AW266)-1)*100+1, 100))</f>
        <v/>
      </c>
      <c r="AX266" t="str">
        <f>TRIM(MID(SUBSTITUTE($G266, ",", REPT(" ", 100)), (COLUMNS($AJ$2:AX266)-1)*100+1, 100))</f>
        <v/>
      </c>
      <c r="AY266" t="str">
        <f>TRIM(MID(SUBSTITUTE($G266, ",", REPT(" ", 100)), (COLUMNS($AJ$2:AY266)-1)*100+1, 100))</f>
        <v/>
      </c>
      <c r="AZ266" t="str">
        <f>TRIM(MID(SUBSTITUTE($G266, ",", REPT(" ", 100)), (COLUMNS($AJ$2:AZ266)-1)*100+1, 100))</f>
        <v/>
      </c>
      <c r="BA266" t="str">
        <f>TRIM(MID(SUBSTITUTE($G266, ",", REPT(" ", 100)), (COLUMNS($AJ$2:BA266)-1)*100+1, 100))</f>
        <v/>
      </c>
      <c r="BB266" t="str">
        <f>TRIM(MID(SUBSTITUTE($G266, ",", REPT(" ", 100)), (COLUMNS($AJ$2:BB266)-1)*100+1, 100))</f>
        <v/>
      </c>
      <c r="BC266" t="str">
        <f>TRIM(MID(SUBSTITUTE($G266, ",", REPT(" ", 100)), (COLUMNS($AJ$2:BC266)-1)*100+1, 100))</f>
        <v/>
      </c>
      <c r="BH266">
        <f t="shared" si="6"/>
        <v>1</v>
      </c>
    </row>
    <row r="267" spans="1:60" ht="14.7" thickBot="1" x14ac:dyDescent="0.55000000000000004">
      <c r="A267" s="32" t="s">
        <v>437</v>
      </c>
      <c r="B267" s="258">
        <v>46288</v>
      </c>
      <c r="C267" s="2">
        <v>4.5</v>
      </c>
      <c r="D267" s="272"/>
      <c r="E267" s="271"/>
      <c r="F267" s="260">
        <v>1</v>
      </c>
      <c r="G267" s="38" t="s">
        <v>462</v>
      </c>
      <c r="I267" s="38">
        <v>0</v>
      </c>
      <c r="AL267" t="str">
        <f>TRIM(MID(SUBSTITUTE($G267, ",", REPT(" ", 100)), (COLUMNS($AJ$2:AL267)-1)*100+1, 100))</f>
        <v/>
      </c>
      <c r="AM267" s="1">
        <v>45923</v>
      </c>
      <c r="AN267" s="2">
        <v>5.5</v>
      </c>
      <c r="AO267" s="2">
        <v>4</v>
      </c>
      <c r="AQ267" t="str">
        <f>TRIM(MID(SUBSTITUTE($G267, ",", REPT(" ", 100)), (COLUMNS($AJ$2:AQ267)-1)*100+1, 100))</f>
        <v/>
      </c>
      <c r="AR267" t="str">
        <f>TRIM(MID(SUBSTITUTE($G267, ",", REPT(" ", 100)), (COLUMNS($AJ$2:AR267)-1)*100+1, 100))</f>
        <v/>
      </c>
      <c r="AS267" t="str">
        <f>TRIM(MID(SUBSTITUTE($G267, ",", REPT(" ", 100)), (COLUMNS($AJ$2:AS267)-1)*100+1, 100))</f>
        <v/>
      </c>
      <c r="AT267" t="str">
        <f>TRIM(MID(SUBSTITUTE($G267, ",", REPT(" ", 100)), (COLUMNS($AJ$2:AT267)-1)*100+1, 100))</f>
        <v/>
      </c>
      <c r="AU267" t="str">
        <f>TRIM(MID(SUBSTITUTE($G267, ",", REPT(" ", 100)), (COLUMNS($AJ$2:AU267)-1)*100+1, 100))</f>
        <v/>
      </c>
      <c r="AV267" t="str">
        <f>TRIM(MID(SUBSTITUTE($G267, ",", REPT(" ", 100)), (COLUMNS($AJ$2:AV267)-1)*100+1, 100))</f>
        <v/>
      </c>
      <c r="AW267" t="str">
        <f>TRIM(MID(SUBSTITUTE($G267, ",", REPT(" ", 100)), (COLUMNS($AJ$2:AW267)-1)*100+1, 100))</f>
        <v/>
      </c>
      <c r="AX267" t="str">
        <f>TRIM(MID(SUBSTITUTE($G267, ",", REPT(" ", 100)), (COLUMNS($AJ$2:AX267)-1)*100+1, 100))</f>
        <v/>
      </c>
      <c r="AY267" t="str">
        <f>TRIM(MID(SUBSTITUTE($G267, ",", REPT(" ", 100)), (COLUMNS($AJ$2:AY267)-1)*100+1, 100))</f>
        <v/>
      </c>
      <c r="AZ267" t="str">
        <f>TRIM(MID(SUBSTITUTE($G267, ",", REPT(" ", 100)), (COLUMNS($AJ$2:AZ267)-1)*100+1, 100))</f>
        <v/>
      </c>
      <c r="BA267" t="str">
        <f>TRIM(MID(SUBSTITUTE($G267, ",", REPT(" ", 100)), (COLUMNS($AJ$2:BA267)-1)*100+1, 100))</f>
        <v/>
      </c>
      <c r="BB267" t="str">
        <f>TRIM(MID(SUBSTITUTE($G267, ",", REPT(" ", 100)), (COLUMNS($AJ$2:BB267)-1)*100+1, 100))</f>
        <v/>
      </c>
      <c r="BC267" t="str">
        <f>TRIM(MID(SUBSTITUTE($G267, ",", REPT(" ", 100)), (COLUMNS($AJ$2:BC267)-1)*100+1, 100))</f>
        <v/>
      </c>
      <c r="BH267">
        <f t="shared" si="6"/>
        <v>1</v>
      </c>
    </row>
    <row r="268" spans="1:60" x14ac:dyDescent="0.5">
      <c r="A268" s="32" t="s">
        <v>431</v>
      </c>
      <c r="B268" s="257">
        <v>46289</v>
      </c>
      <c r="C268" s="2">
        <v>4.5999999999999996</v>
      </c>
      <c r="D268" s="272"/>
      <c r="E268" s="271"/>
      <c r="F268" s="260">
        <v>0</v>
      </c>
      <c r="G268" s="38" t="s">
        <v>462</v>
      </c>
      <c r="I268" s="38">
        <v>0</v>
      </c>
      <c r="AL268" t="str">
        <f>TRIM(MID(SUBSTITUTE($G268, ",", REPT(" ", 100)), (COLUMNS($AJ$2:AL268)-1)*100+1, 100))</f>
        <v/>
      </c>
      <c r="AM268" s="1">
        <v>45924</v>
      </c>
      <c r="AN268" s="2">
        <v>5.3</v>
      </c>
      <c r="AO268" s="2">
        <v>2</v>
      </c>
      <c r="AQ268" t="str">
        <f>TRIM(MID(SUBSTITUTE($G268, ",", REPT(" ", 100)), (COLUMNS($AJ$2:AQ268)-1)*100+1, 100))</f>
        <v/>
      </c>
      <c r="AR268" t="str">
        <f>TRIM(MID(SUBSTITUTE($G268, ",", REPT(" ", 100)), (COLUMNS($AJ$2:AR268)-1)*100+1, 100))</f>
        <v/>
      </c>
      <c r="AS268" t="str">
        <f>TRIM(MID(SUBSTITUTE($G268, ",", REPT(" ", 100)), (COLUMNS($AJ$2:AS268)-1)*100+1, 100))</f>
        <v/>
      </c>
      <c r="AT268" t="str">
        <f>TRIM(MID(SUBSTITUTE($G268, ",", REPT(" ", 100)), (COLUMNS($AJ$2:AT268)-1)*100+1, 100))</f>
        <v/>
      </c>
      <c r="AU268" t="str">
        <f>TRIM(MID(SUBSTITUTE($G268, ",", REPT(" ", 100)), (COLUMNS($AJ$2:AU268)-1)*100+1, 100))</f>
        <v/>
      </c>
      <c r="AV268" t="str">
        <f>TRIM(MID(SUBSTITUTE($G268, ",", REPT(" ", 100)), (COLUMNS($AJ$2:AV268)-1)*100+1, 100))</f>
        <v/>
      </c>
      <c r="AW268" t="str">
        <f>TRIM(MID(SUBSTITUTE($G268, ",", REPT(" ", 100)), (COLUMNS($AJ$2:AW268)-1)*100+1, 100))</f>
        <v/>
      </c>
      <c r="AX268" t="str">
        <f>TRIM(MID(SUBSTITUTE($G268, ",", REPT(" ", 100)), (COLUMNS($AJ$2:AX268)-1)*100+1, 100))</f>
        <v/>
      </c>
      <c r="AY268" t="str">
        <f>TRIM(MID(SUBSTITUTE($G268, ",", REPT(" ", 100)), (COLUMNS($AJ$2:AY268)-1)*100+1, 100))</f>
        <v/>
      </c>
      <c r="AZ268" t="str">
        <f>TRIM(MID(SUBSTITUTE($G268, ",", REPT(" ", 100)), (COLUMNS($AJ$2:AZ268)-1)*100+1, 100))</f>
        <v/>
      </c>
      <c r="BA268" t="str">
        <f>TRIM(MID(SUBSTITUTE($G268, ",", REPT(" ", 100)), (COLUMNS($AJ$2:BA268)-1)*100+1, 100))</f>
        <v/>
      </c>
      <c r="BB268" t="str">
        <f>TRIM(MID(SUBSTITUTE($G268, ",", REPT(" ", 100)), (COLUMNS($AJ$2:BB268)-1)*100+1, 100))</f>
        <v/>
      </c>
      <c r="BC268" t="str">
        <f>TRIM(MID(SUBSTITUTE($G268, ",", REPT(" ", 100)), (COLUMNS($AJ$2:BC268)-1)*100+1, 100))</f>
        <v/>
      </c>
      <c r="BH268">
        <f t="shared" si="6"/>
        <v>1</v>
      </c>
    </row>
    <row r="269" spans="1:60" ht="14.7" thickBot="1" x14ac:dyDescent="0.55000000000000004">
      <c r="A269" s="32" t="s">
        <v>432</v>
      </c>
      <c r="B269" s="258">
        <v>46290</v>
      </c>
      <c r="C269" s="2">
        <v>5</v>
      </c>
      <c r="D269" s="272"/>
      <c r="E269" s="271"/>
      <c r="F269" s="260">
        <v>1</v>
      </c>
      <c r="G269" s="38" t="s">
        <v>462</v>
      </c>
      <c r="I269" s="38">
        <v>0</v>
      </c>
      <c r="AL269" t="str">
        <f>TRIM(MID(SUBSTITUTE($G269, ",", REPT(" ", 100)), (COLUMNS($AJ$2:AL269)-1)*100+1, 100))</f>
        <v/>
      </c>
      <c r="AM269" s="1">
        <v>45925</v>
      </c>
      <c r="AN269" s="2">
        <v>3.5</v>
      </c>
      <c r="AO269" s="2">
        <v>6</v>
      </c>
      <c r="AQ269" t="str">
        <f>TRIM(MID(SUBSTITUTE($G269, ",", REPT(" ", 100)), (COLUMNS($AJ$2:AQ269)-1)*100+1, 100))</f>
        <v/>
      </c>
      <c r="AR269" t="str">
        <f>TRIM(MID(SUBSTITUTE($G269, ",", REPT(" ", 100)), (COLUMNS($AJ$2:AR269)-1)*100+1, 100))</f>
        <v/>
      </c>
      <c r="AS269" t="str">
        <f>TRIM(MID(SUBSTITUTE($G269, ",", REPT(" ", 100)), (COLUMNS($AJ$2:AS269)-1)*100+1, 100))</f>
        <v/>
      </c>
      <c r="AT269" t="str">
        <f>TRIM(MID(SUBSTITUTE($G269, ",", REPT(" ", 100)), (COLUMNS($AJ$2:AT269)-1)*100+1, 100))</f>
        <v/>
      </c>
      <c r="AU269" t="str">
        <f>TRIM(MID(SUBSTITUTE($G269, ",", REPT(" ", 100)), (COLUMNS($AJ$2:AU269)-1)*100+1, 100))</f>
        <v/>
      </c>
      <c r="AV269" t="str">
        <f>TRIM(MID(SUBSTITUTE($G269, ",", REPT(" ", 100)), (COLUMNS($AJ$2:AV269)-1)*100+1, 100))</f>
        <v/>
      </c>
      <c r="AW269" t="str">
        <f>TRIM(MID(SUBSTITUTE($G269, ",", REPT(" ", 100)), (COLUMNS($AJ$2:AW269)-1)*100+1, 100))</f>
        <v/>
      </c>
      <c r="AX269" t="str">
        <f>TRIM(MID(SUBSTITUTE($G269, ",", REPT(" ", 100)), (COLUMNS($AJ$2:AX269)-1)*100+1, 100))</f>
        <v/>
      </c>
      <c r="AY269" t="str">
        <f>TRIM(MID(SUBSTITUTE($G269, ",", REPT(" ", 100)), (COLUMNS($AJ$2:AY269)-1)*100+1, 100))</f>
        <v/>
      </c>
      <c r="AZ269" t="str">
        <f>TRIM(MID(SUBSTITUTE($G269, ",", REPT(" ", 100)), (COLUMNS($AJ$2:AZ269)-1)*100+1, 100))</f>
        <v/>
      </c>
      <c r="BA269" t="str">
        <f>TRIM(MID(SUBSTITUTE($G269, ",", REPT(" ", 100)), (COLUMNS($AJ$2:BA269)-1)*100+1, 100))</f>
        <v/>
      </c>
      <c r="BB269" t="str">
        <f>TRIM(MID(SUBSTITUTE($G269, ",", REPT(" ", 100)), (COLUMNS($AJ$2:BB269)-1)*100+1, 100))</f>
        <v/>
      </c>
      <c r="BC269" t="str">
        <f>TRIM(MID(SUBSTITUTE($G269, ",", REPT(" ", 100)), (COLUMNS($AJ$2:BC269)-1)*100+1, 100))</f>
        <v/>
      </c>
      <c r="BH269">
        <f t="shared" si="6"/>
        <v>1</v>
      </c>
    </row>
    <row r="270" spans="1:60" x14ac:dyDescent="0.5">
      <c r="A270" s="32" t="s">
        <v>433</v>
      </c>
      <c r="B270" s="257">
        <v>46291</v>
      </c>
      <c r="C270" s="2">
        <v>6.2</v>
      </c>
      <c r="D270" s="272"/>
      <c r="E270" s="271"/>
      <c r="F270" s="260">
        <v>0</v>
      </c>
      <c r="G270" s="38" t="s">
        <v>462</v>
      </c>
      <c r="H270" s="38" t="s">
        <v>640</v>
      </c>
      <c r="I270" s="38">
        <v>0</v>
      </c>
      <c r="AL270" t="str">
        <f>TRIM(MID(SUBSTITUTE($G270, ",", REPT(" ", 100)), (COLUMNS($AJ$2:AL270)-1)*100+1, 100))</f>
        <v/>
      </c>
      <c r="AM270" s="1">
        <v>45926</v>
      </c>
      <c r="AN270" s="2">
        <v>4.5</v>
      </c>
      <c r="AO270" s="2">
        <v>8</v>
      </c>
      <c r="AQ270" t="str">
        <f>TRIM(MID(SUBSTITUTE($G270, ",", REPT(" ", 100)), (COLUMNS($AJ$2:AQ270)-1)*100+1, 100))</f>
        <v/>
      </c>
      <c r="AR270" t="str">
        <f>TRIM(MID(SUBSTITUTE($G270, ",", REPT(" ", 100)), (COLUMNS($AJ$2:AR270)-1)*100+1, 100))</f>
        <v/>
      </c>
      <c r="AS270" t="str">
        <f>TRIM(MID(SUBSTITUTE($G270, ",", REPT(" ", 100)), (COLUMNS($AJ$2:AS270)-1)*100+1, 100))</f>
        <v/>
      </c>
      <c r="AT270" t="str">
        <f>TRIM(MID(SUBSTITUTE($G270, ",", REPT(" ", 100)), (COLUMNS($AJ$2:AT270)-1)*100+1, 100))</f>
        <v/>
      </c>
      <c r="AU270" t="str">
        <f>TRIM(MID(SUBSTITUTE($G270, ",", REPT(" ", 100)), (COLUMNS($AJ$2:AU270)-1)*100+1, 100))</f>
        <v/>
      </c>
      <c r="AV270" t="str">
        <f>TRIM(MID(SUBSTITUTE($G270, ",", REPT(" ", 100)), (COLUMNS($AJ$2:AV270)-1)*100+1, 100))</f>
        <v/>
      </c>
      <c r="AW270" t="str">
        <f>TRIM(MID(SUBSTITUTE($G270, ",", REPT(" ", 100)), (COLUMNS($AJ$2:AW270)-1)*100+1, 100))</f>
        <v/>
      </c>
      <c r="AX270" t="str">
        <f>TRIM(MID(SUBSTITUTE($G270, ",", REPT(" ", 100)), (COLUMNS($AJ$2:AX270)-1)*100+1, 100))</f>
        <v/>
      </c>
      <c r="AY270" t="str">
        <f>TRIM(MID(SUBSTITUTE($G270, ",", REPT(" ", 100)), (COLUMNS($AJ$2:AY270)-1)*100+1, 100))</f>
        <v/>
      </c>
      <c r="AZ270" t="str">
        <f>TRIM(MID(SUBSTITUTE($G270, ",", REPT(" ", 100)), (COLUMNS($AJ$2:AZ270)-1)*100+1, 100))</f>
        <v/>
      </c>
      <c r="BA270" t="str">
        <f>TRIM(MID(SUBSTITUTE($G270, ",", REPT(" ", 100)), (COLUMNS($AJ$2:BA270)-1)*100+1, 100))</f>
        <v/>
      </c>
      <c r="BB270" t="str">
        <f>TRIM(MID(SUBSTITUTE($G270, ",", REPT(" ", 100)), (COLUMNS($AJ$2:BB270)-1)*100+1, 100))</f>
        <v/>
      </c>
      <c r="BC270" t="str">
        <f>TRIM(MID(SUBSTITUTE($G270, ",", REPT(" ", 100)), (COLUMNS($AJ$2:BC270)-1)*100+1, 100))</f>
        <v/>
      </c>
      <c r="BH270">
        <f t="shared" si="6"/>
        <v>1</v>
      </c>
    </row>
    <row r="271" spans="1:60" ht="14.7" thickBot="1" x14ac:dyDescent="0.55000000000000004">
      <c r="A271" s="32" t="s">
        <v>434</v>
      </c>
      <c r="B271" s="258">
        <v>46292</v>
      </c>
      <c r="C271" s="2">
        <v>6.2</v>
      </c>
      <c r="D271" s="272"/>
      <c r="E271" s="271"/>
      <c r="F271" s="260">
        <v>0</v>
      </c>
      <c r="G271" s="38" t="s">
        <v>462</v>
      </c>
      <c r="H271" s="38" t="s">
        <v>641</v>
      </c>
      <c r="I271" s="38">
        <v>0</v>
      </c>
      <c r="AL271" t="str">
        <f>TRIM(MID(SUBSTITUTE($G271, ",", REPT(" ", 100)), (COLUMNS($AJ$2:AL271)-1)*100+1, 100))</f>
        <v/>
      </c>
      <c r="AM271" s="1">
        <v>45927</v>
      </c>
      <c r="AN271" s="2">
        <v>6.8</v>
      </c>
      <c r="AO271" s="2">
        <v>4</v>
      </c>
      <c r="AZ271" t="str">
        <f>TRIM(MID(SUBSTITUTE($G271, ",", REPT(" ", 100)), (COLUMNS($AJ$2:AZ271)-1)*100+1, 100))</f>
        <v/>
      </c>
      <c r="BA271" t="str">
        <f>TRIM(MID(SUBSTITUTE($G271, ",", REPT(" ", 100)), (COLUMNS($AJ$2:BA271)-1)*100+1, 100))</f>
        <v/>
      </c>
      <c r="BB271" t="str">
        <f>TRIM(MID(SUBSTITUTE($G271, ",", REPT(" ", 100)), (COLUMNS($AJ$2:BB271)-1)*100+1, 100))</f>
        <v/>
      </c>
      <c r="BC271" t="str">
        <f>TRIM(MID(SUBSTITUTE($G271, ",", REPT(" ", 100)), (COLUMNS($AJ$2:BC271)-1)*100+1, 100))</f>
        <v/>
      </c>
      <c r="BH271">
        <f t="shared" si="6"/>
        <v>1</v>
      </c>
    </row>
    <row r="272" spans="1:60" x14ac:dyDescent="0.5">
      <c r="A272" s="32" t="s">
        <v>435</v>
      </c>
      <c r="B272" s="257">
        <v>46293</v>
      </c>
      <c r="C272" s="2">
        <v>6.2</v>
      </c>
      <c r="D272" s="272"/>
      <c r="E272" s="271"/>
      <c r="F272" s="260">
        <v>1</v>
      </c>
      <c r="G272" s="38" t="s">
        <v>462</v>
      </c>
      <c r="H272" s="38" t="s">
        <v>646</v>
      </c>
      <c r="I272" s="38">
        <v>0</v>
      </c>
      <c r="AL272" t="str">
        <f>TRIM(MID(SUBSTITUTE($G272, ",", REPT(" ", 100)), (COLUMNS($AJ$2:AL272)-1)*100+1, 100))</f>
        <v/>
      </c>
      <c r="AM272" s="1">
        <v>45928</v>
      </c>
      <c r="AN272" s="2">
        <v>7.8</v>
      </c>
      <c r="AO272" s="2">
        <v>6</v>
      </c>
      <c r="AZ272" t="str">
        <f>TRIM(MID(SUBSTITUTE($G272, ",", REPT(" ", 100)), (COLUMNS($AJ$2:AZ272)-1)*100+1, 100))</f>
        <v/>
      </c>
      <c r="BA272" t="str">
        <f>TRIM(MID(SUBSTITUTE($G272, ",", REPT(" ", 100)), (COLUMNS($AJ$2:BA272)-1)*100+1, 100))</f>
        <v/>
      </c>
      <c r="BB272" t="str">
        <f>TRIM(MID(SUBSTITUTE($G272, ",", REPT(" ", 100)), (COLUMNS($AJ$2:BB272)-1)*100+1, 100))</f>
        <v/>
      </c>
      <c r="BC272" t="str">
        <f>TRIM(MID(SUBSTITUTE($G272, ",", REPT(" ", 100)), (COLUMNS($AJ$2:BC272)-1)*100+1, 100))</f>
        <v/>
      </c>
      <c r="BH272">
        <f t="shared" si="6"/>
        <v>1</v>
      </c>
    </row>
    <row r="273" spans="1:60" ht="14.7" thickBot="1" x14ac:dyDescent="0.55000000000000004">
      <c r="A273" s="32" t="s">
        <v>436</v>
      </c>
      <c r="B273" s="258">
        <v>46294</v>
      </c>
      <c r="C273" s="2">
        <v>6.1</v>
      </c>
      <c r="D273" s="272"/>
      <c r="E273" s="271"/>
      <c r="F273" s="260">
        <v>1</v>
      </c>
      <c r="G273" s="38" t="s">
        <v>462</v>
      </c>
      <c r="H273" s="38" t="s">
        <v>645</v>
      </c>
      <c r="I273" s="38">
        <v>0</v>
      </c>
      <c r="AL273" t="str">
        <f>TRIM(MID(SUBSTITUTE($G273, ",", REPT(" ", 100)), (COLUMNS($AJ$2:AL273)-1)*100+1, 100))</f>
        <v/>
      </c>
      <c r="AM273" s="1">
        <v>45929</v>
      </c>
      <c r="AN273" s="2">
        <v>6</v>
      </c>
      <c r="AO273" s="2">
        <v>8</v>
      </c>
      <c r="AZ273" t="str">
        <f>TRIM(MID(SUBSTITUTE($G273, ",", REPT(" ", 100)), (COLUMNS($AJ$2:AZ273)-1)*100+1, 100))</f>
        <v/>
      </c>
      <c r="BA273" t="str">
        <f>TRIM(MID(SUBSTITUTE($G273, ",", REPT(" ", 100)), (COLUMNS($AJ$2:BA273)-1)*100+1, 100))</f>
        <v/>
      </c>
      <c r="BB273" t="str">
        <f>TRIM(MID(SUBSTITUTE($G273, ",", REPT(" ", 100)), (COLUMNS($AJ$2:BB273)-1)*100+1, 100))</f>
        <v/>
      </c>
      <c r="BC273" t="str">
        <f>TRIM(MID(SUBSTITUTE($G273, ",", REPT(" ", 100)), (COLUMNS($AJ$2:BC273)-1)*100+1, 100))</f>
        <v/>
      </c>
      <c r="BH273">
        <f t="shared" si="6"/>
        <v>1</v>
      </c>
    </row>
    <row r="274" spans="1:60" x14ac:dyDescent="0.5">
      <c r="A274" s="32" t="s">
        <v>437</v>
      </c>
      <c r="B274" s="257">
        <v>46295</v>
      </c>
      <c r="C274" s="2">
        <v>6</v>
      </c>
      <c r="D274" s="272"/>
      <c r="E274" s="271"/>
      <c r="F274" s="260">
        <v>1</v>
      </c>
      <c r="G274" s="38" t="s">
        <v>462</v>
      </c>
      <c r="H274" s="38" t="s">
        <v>644</v>
      </c>
      <c r="I274" s="38">
        <v>0</v>
      </c>
      <c r="AL274" t="str">
        <f>TRIM(MID(SUBSTITUTE($G274, ",", REPT(" ", 100)), (COLUMNS($AJ$2:AL274)-1)*100+1, 100))</f>
        <v/>
      </c>
      <c r="AM274" s="1">
        <v>45930</v>
      </c>
      <c r="AN274" s="2">
        <v>7</v>
      </c>
      <c r="AO274" s="2">
        <v>6</v>
      </c>
      <c r="AZ274" t="str">
        <f>TRIM(MID(SUBSTITUTE($G274, ",", REPT(" ", 100)), (COLUMNS($AJ$2:AZ274)-1)*100+1, 100))</f>
        <v/>
      </c>
      <c r="BA274" t="str">
        <f>TRIM(MID(SUBSTITUTE($G274, ",", REPT(" ", 100)), (COLUMNS($AJ$2:BA274)-1)*100+1, 100))</f>
        <v/>
      </c>
      <c r="BB274" t="str">
        <f>TRIM(MID(SUBSTITUTE($G274, ",", REPT(" ", 100)), (COLUMNS($AJ$2:BB274)-1)*100+1, 100))</f>
        <v/>
      </c>
      <c r="BC274" t="str">
        <f>TRIM(MID(SUBSTITUTE($G274, ",", REPT(" ", 100)), (COLUMNS($AJ$2:BC274)-1)*100+1, 100))</f>
        <v/>
      </c>
      <c r="BH274">
        <f t="shared" si="6"/>
        <v>1</v>
      </c>
    </row>
    <row r="275" spans="1:60" ht="14.7" thickBot="1" x14ac:dyDescent="0.55000000000000004">
      <c r="A275" s="32" t="s">
        <v>431</v>
      </c>
      <c r="B275" s="258">
        <v>46296</v>
      </c>
      <c r="C275" s="2">
        <v>6</v>
      </c>
      <c r="D275" s="272">
        <f>AVERAGE(C275:C305)</f>
        <v>5.7347826086956513</v>
      </c>
      <c r="E275" s="271"/>
      <c r="F275" s="260">
        <v>0</v>
      </c>
      <c r="G275" s="38" t="s">
        <v>647</v>
      </c>
      <c r="H275" s="38" t="s">
        <v>648</v>
      </c>
      <c r="I275" s="38">
        <v>0</v>
      </c>
      <c r="AL275" t="str">
        <f>TRIM(MID(SUBSTITUTE($G275, ",", REPT(" ", 100)), (COLUMNS($AJ$2:AL275)-1)*100+1, 100))</f>
        <v/>
      </c>
      <c r="AM275" s="1">
        <v>45931</v>
      </c>
      <c r="AN275" s="2">
        <v>5.6</v>
      </c>
      <c r="AO275" s="2">
        <v>4</v>
      </c>
      <c r="AZ275" t="str">
        <f>TRIM(MID(SUBSTITUTE($G275, ",", REPT(" ", 100)), (COLUMNS($AJ$2:AZ275)-1)*100+1, 100))</f>
        <v/>
      </c>
      <c r="BA275" t="str">
        <f>TRIM(MID(SUBSTITUTE($G275, ",", REPT(" ", 100)), (COLUMNS($AJ$2:BA275)-1)*100+1, 100))</f>
        <v/>
      </c>
      <c r="BB275" t="str">
        <f>TRIM(MID(SUBSTITUTE($G275, ",", REPT(" ", 100)), (COLUMNS($AJ$2:BB275)-1)*100+1, 100))</f>
        <v/>
      </c>
      <c r="BC275" t="str">
        <f>TRIM(MID(SUBSTITUTE($G275, ",", REPT(" ", 100)), (COLUMNS($AJ$2:BC275)-1)*100+1, 100))</f>
        <v/>
      </c>
      <c r="BH275">
        <f t="shared" si="6"/>
        <v>0.5</v>
      </c>
    </row>
    <row r="276" spans="1:60" x14ac:dyDescent="0.5">
      <c r="A276" s="32" t="s">
        <v>432</v>
      </c>
      <c r="B276" s="257">
        <v>46297</v>
      </c>
      <c r="C276" s="2">
        <v>5.8</v>
      </c>
      <c r="D276" s="272"/>
      <c r="E276" s="271"/>
      <c r="F276" s="260">
        <v>1</v>
      </c>
      <c r="G276" s="38" t="s">
        <v>649</v>
      </c>
      <c r="H276" s="38" t="s">
        <v>650</v>
      </c>
      <c r="I276" s="38">
        <v>0</v>
      </c>
      <c r="AL276" t="str">
        <f>TRIM(MID(SUBSTITUTE($G276, ",", REPT(" ", 100)), (COLUMNS($AJ$2:AL276)-1)*100+1, 100))</f>
        <v/>
      </c>
      <c r="AM276" s="1">
        <v>45932</v>
      </c>
      <c r="AN276" s="2">
        <v>6.4</v>
      </c>
      <c r="AO276" s="2">
        <v>6</v>
      </c>
      <c r="AZ276" t="str">
        <f>TRIM(MID(SUBSTITUTE($G276, ",", REPT(" ", 100)), (COLUMNS($AJ$2:AZ276)-1)*100+1, 100))</f>
        <v/>
      </c>
      <c r="BA276" t="str">
        <f>TRIM(MID(SUBSTITUTE($G276, ",", REPT(" ", 100)), (COLUMNS($AJ$2:BA276)-1)*100+1, 100))</f>
        <v/>
      </c>
      <c r="BB276" t="str">
        <f>TRIM(MID(SUBSTITUTE($G276, ",", REPT(" ", 100)), (COLUMNS($AJ$2:BB276)-1)*100+1, 100))</f>
        <v/>
      </c>
      <c r="BC276" t="str">
        <f>TRIM(MID(SUBSTITUTE($G276, ",", REPT(" ", 100)), (COLUMNS($AJ$2:BC276)-1)*100+1, 100))</f>
        <v/>
      </c>
      <c r="BH276">
        <f t="shared" si="6"/>
        <v>0.5</v>
      </c>
    </row>
    <row r="277" spans="1:60" ht="14.7" thickBot="1" x14ac:dyDescent="0.55000000000000004">
      <c r="A277" s="32" t="s">
        <v>433</v>
      </c>
      <c r="B277" s="258">
        <v>46298</v>
      </c>
      <c r="C277" s="2">
        <v>9</v>
      </c>
      <c r="D277" s="272"/>
      <c r="E277" s="271"/>
      <c r="F277" s="260">
        <v>1</v>
      </c>
      <c r="G277" s="38" t="s">
        <v>176</v>
      </c>
      <c r="H277" s="38" t="s">
        <v>651</v>
      </c>
      <c r="I277" s="38">
        <v>0</v>
      </c>
      <c r="AL277" t="str">
        <f>TRIM(MID(SUBSTITUTE($G277, ",", REPT(" ", 100)), (COLUMNS($AJ$2:AL277)-1)*100+1, 100))</f>
        <v/>
      </c>
      <c r="AM277" s="1">
        <v>45933</v>
      </c>
      <c r="AN277" s="2">
        <v>5</v>
      </c>
      <c r="AO277" s="2">
        <v>6</v>
      </c>
      <c r="AZ277" t="str">
        <f>TRIM(MID(SUBSTITUTE($G277, ",", REPT(" ", 100)), (COLUMNS($AJ$2:AZ277)-1)*100+1, 100))</f>
        <v/>
      </c>
      <c r="BA277" t="str">
        <f>TRIM(MID(SUBSTITUTE($G277, ",", REPT(" ", 100)), (COLUMNS($AJ$2:BA277)-1)*100+1, 100))</f>
        <v/>
      </c>
      <c r="BB277" t="str">
        <f>TRIM(MID(SUBSTITUTE($G277, ",", REPT(" ", 100)), (COLUMNS($AJ$2:BB277)-1)*100+1, 100))</f>
        <v/>
      </c>
      <c r="BC277" t="str">
        <f>TRIM(MID(SUBSTITUTE($G277, ",", REPT(" ", 100)), (COLUMNS($AJ$2:BC277)-1)*100+1, 100))</f>
        <v/>
      </c>
      <c r="BH277">
        <f t="shared" si="6"/>
        <v>1</v>
      </c>
    </row>
    <row r="278" spans="1:60" x14ac:dyDescent="0.5">
      <c r="A278" s="32" t="s">
        <v>434</v>
      </c>
      <c r="B278" s="257">
        <v>46299</v>
      </c>
      <c r="C278" s="2">
        <v>5.7</v>
      </c>
      <c r="D278" s="272"/>
      <c r="E278" s="271"/>
      <c r="F278" s="260">
        <v>0</v>
      </c>
      <c r="G278" s="38" t="s">
        <v>520</v>
      </c>
      <c r="H278" s="38" t="s">
        <v>653</v>
      </c>
      <c r="I278" s="38">
        <v>0</v>
      </c>
      <c r="AL278" t="str">
        <f>TRIM(MID(SUBSTITUTE($G278, ",", REPT(" ", 100)), (COLUMNS($AJ$2:AL278)-1)*100+1, 100))</f>
        <v/>
      </c>
      <c r="AM278" s="1">
        <v>45934</v>
      </c>
      <c r="AN278" s="2">
        <v>8</v>
      </c>
      <c r="AO278" s="2">
        <v>6</v>
      </c>
      <c r="AZ278" t="str">
        <f>TRIM(MID(SUBSTITUTE($G278, ",", REPT(" ", 100)), (COLUMNS($AJ$2:AZ278)-1)*100+1, 100))</f>
        <v/>
      </c>
      <c r="BA278" t="str">
        <f>TRIM(MID(SUBSTITUTE($G278, ",", REPT(" ", 100)), (COLUMNS($AJ$2:BA278)-1)*100+1, 100))</f>
        <v/>
      </c>
      <c r="BB278" t="str">
        <f>TRIM(MID(SUBSTITUTE($G278, ",", REPT(" ", 100)), (COLUMNS($AJ$2:BB278)-1)*100+1, 100))</f>
        <v/>
      </c>
      <c r="BC278" t="str">
        <f>TRIM(MID(SUBSTITUTE($G278, ",", REPT(" ", 100)), (COLUMNS($AJ$2:BC278)-1)*100+1, 100))</f>
        <v/>
      </c>
      <c r="BH278">
        <f t="shared" si="6"/>
        <v>0.5</v>
      </c>
    </row>
    <row r="279" spans="1:60" ht="14.7" thickBot="1" x14ac:dyDescent="0.55000000000000004">
      <c r="A279" s="32" t="s">
        <v>435</v>
      </c>
      <c r="B279" s="258">
        <v>46300</v>
      </c>
      <c r="C279" s="2">
        <v>5</v>
      </c>
      <c r="D279" s="272"/>
      <c r="E279" s="271"/>
      <c r="F279" s="260">
        <v>0</v>
      </c>
      <c r="G279" s="38" t="s">
        <v>652</v>
      </c>
      <c r="H279" s="38" t="s">
        <v>654</v>
      </c>
      <c r="I279" s="38">
        <v>0</v>
      </c>
      <c r="AL279" t="str">
        <f>TRIM(MID(SUBSTITUTE($G279, ",", REPT(" ", 100)), (COLUMNS($AJ$2:AL279)-1)*100+1, 100))</f>
        <v/>
      </c>
      <c r="AM279" s="1">
        <v>45935</v>
      </c>
      <c r="AN279" s="2">
        <v>6.5</v>
      </c>
      <c r="AO279" s="2">
        <v>2</v>
      </c>
      <c r="AZ279" t="str">
        <f>TRIM(MID(SUBSTITUTE($G279, ",", REPT(" ", 100)), (COLUMNS($AJ$2:AZ279)-1)*100+1, 100))</f>
        <v/>
      </c>
      <c r="BA279" t="str">
        <f>TRIM(MID(SUBSTITUTE($G279, ",", REPT(" ", 100)), (COLUMNS($AJ$2:BA279)-1)*100+1, 100))</f>
        <v/>
      </c>
      <c r="BB279" t="str">
        <f>TRIM(MID(SUBSTITUTE($G279, ",", REPT(" ", 100)), (COLUMNS($AJ$2:BB279)-1)*100+1, 100))</f>
        <v/>
      </c>
      <c r="BC279" t="str">
        <f>TRIM(MID(SUBSTITUTE($G279, ",", REPT(" ", 100)), (COLUMNS($AJ$2:BC279)-1)*100+1, 100))</f>
        <v/>
      </c>
      <c r="BH279">
        <f t="shared" si="6"/>
        <v>1</v>
      </c>
    </row>
    <row r="280" spans="1:60" x14ac:dyDescent="0.5">
      <c r="A280" s="32" t="s">
        <v>436</v>
      </c>
      <c r="B280" s="257">
        <v>46301</v>
      </c>
      <c r="C280" s="2">
        <v>5.5</v>
      </c>
      <c r="D280" s="272"/>
      <c r="E280" s="271"/>
      <c r="F280" s="260">
        <v>1</v>
      </c>
      <c r="G280" s="38" t="s">
        <v>652</v>
      </c>
      <c r="H280" s="38" t="s">
        <v>654</v>
      </c>
      <c r="I280" s="38">
        <v>0</v>
      </c>
      <c r="AL280" t="str">
        <f>TRIM(MID(SUBSTITUTE($G280, ",", REPT(" ", 100)), (COLUMNS($AJ$2:AL280)-1)*100+1, 100))</f>
        <v/>
      </c>
      <c r="AM280" s="1">
        <v>45936</v>
      </c>
      <c r="AN280" s="2">
        <v>4.5</v>
      </c>
      <c r="AO280" s="2">
        <v>4</v>
      </c>
      <c r="AZ280" t="str">
        <f>TRIM(MID(SUBSTITUTE($G280, ",", REPT(" ", 100)), (COLUMNS($AJ$2:AZ280)-1)*100+1, 100))</f>
        <v/>
      </c>
      <c r="BA280" t="str">
        <f>TRIM(MID(SUBSTITUTE($G280, ",", REPT(" ", 100)), (COLUMNS($AJ$2:BA280)-1)*100+1, 100))</f>
        <v/>
      </c>
      <c r="BB280" t="str">
        <f>TRIM(MID(SUBSTITUTE($G280, ",", REPT(" ", 100)), (COLUMNS($AJ$2:BB280)-1)*100+1, 100))</f>
        <v/>
      </c>
      <c r="BC280" t="str">
        <f>TRIM(MID(SUBSTITUTE($G280, ",", REPT(" ", 100)), (COLUMNS($AJ$2:BC280)-1)*100+1, 100))</f>
        <v/>
      </c>
      <c r="BH280">
        <f t="shared" si="6"/>
        <v>1</v>
      </c>
    </row>
    <row r="281" spans="1:60" ht="14.7" thickBot="1" x14ac:dyDescent="0.55000000000000004">
      <c r="A281" s="32" t="s">
        <v>437</v>
      </c>
      <c r="B281" s="258">
        <v>46302</v>
      </c>
      <c r="C281" s="2">
        <v>5.7</v>
      </c>
      <c r="D281" s="272"/>
      <c r="E281" s="271"/>
      <c r="F281" s="260">
        <v>1</v>
      </c>
      <c r="G281" s="38" t="s">
        <v>652</v>
      </c>
      <c r="H281" s="38" t="s">
        <v>654</v>
      </c>
      <c r="I281" s="38">
        <v>0</v>
      </c>
      <c r="AL281" t="str">
        <f>TRIM(MID(SUBSTITUTE($G281, ",", REPT(" ", 100)), (COLUMNS($AJ$2:AL281)-1)*100+1, 100))</f>
        <v/>
      </c>
      <c r="AM281" s="1">
        <v>45937</v>
      </c>
      <c r="AN281" s="2">
        <v>4</v>
      </c>
      <c r="AO281" s="2">
        <v>0</v>
      </c>
      <c r="AZ281" t="str">
        <f>TRIM(MID(SUBSTITUTE($G281, ",", REPT(" ", 100)), (COLUMNS($AJ$2:AZ281)-1)*100+1, 100))</f>
        <v/>
      </c>
      <c r="BA281" t="str">
        <f>TRIM(MID(SUBSTITUTE($G281, ",", REPT(" ", 100)), (COLUMNS($AJ$2:BA281)-1)*100+1, 100))</f>
        <v/>
      </c>
      <c r="BB281" t="str">
        <f>TRIM(MID(SUBSTITUTE($G281, ",", REPT(" ", 100)), (COLUMNS($AJ$2:BB281)-1)*100+1, 100))</f>
        <v/>
      </c>
      <c r="BC281" t="str">
        <f>TRIM(MID(SUBSTITUTE($G281, ",", REPT(" ", 100)), (COLUMNS($AJ$2:BC281)-1)*100+1, 100))</f>
        <v/>
      </c>
      <c r="BH281">
        <f t="shared" si="6"/>
        <v>1</v>
      </c>
    </row>
    <row r="282" spans="1:60" x14ac:dyDescent="0.5">
      <c r="A282" s="32" t="s">
        <v>431</v>
      </c>
      <c r="B282" s="257">
        <v>46303</v>
      </c>
      <c r="C282" s="2">
        <v>5.7</v>
      </c>
      <c r="D282" s="272"/>
      <c r="E282" s="271"/>
      <c r="F282" s="260">
        <v>1</v>
      </c>
      <c r="G282" s="38" t="s">
        <v>652</v>
      </c>
      <c r="H282" s="38" t="s">
        <v>654</v>
      </c>
      <c r="I282" s="38">
        <v>0</v>
      </c>
      <c r="AL282" t="str">
        <f>TRIM(MID(SUBSTITUTE($G282, ",", REPT(" ", 100)), (COLUMNS($AJ$2:AL282)-1)*100+1, 100))</f>
        <v/>
      </c>
      <c r="AM282" s="1">
        <v>45938</v>
      </c>
      <c r="AN282" s="2">
        <v>4.5</v>
      </c>
      <c r="AO282" s="2">
        <v>2</v>
      </c>
      <c r="AZ282" t="str">
        <f>TRIM(MID(SUBSTITUTE($G282, ",", REPT(" ", 100)), (COLUMNS($AJ$2:AZ282)-1)*100+1, 100))</f>
        <v/>
      </c>
      <c r="BA282" t="str">
        <f>TRIM(MID(SUBSTITUTE($G282, ",", REPT(" ", 100)), (COLUMNS($AJ$2:BA282)-1)*100+1, 100))</f>
        <v/>
      </c>
      <c r="BB282" t="str">
        <f>TRIM(MID(SUBSTITUTE($G282, ",", REPT(" ", 100)), (COLUMNS($AJ$2:BB282)-1)*100+1, 100))</f>
        <v/>
      </c>
      <c r="BC282" t="str">
        <f>TRIM(MID(SUBSTITUTE($G282, ",", REPT(" ", 100)), (COLUMNS($AJ$2:BC282)-1)*100+1, 100))</f>
        <v/>
      </c>
      <c r="BH282">
        <f t="shared" si="6"/>
        <v>1</v>
      </c>
    </row>
    <row r="283" spans="1:60" ht="14.7" thickBot="1" x14ac:dyDescent="0.55000000000000004">
      <c r="A283" s="32" t="s">
        <v>432</v>
      </c>
      <c r="B283" s="258">
        <v>46304</v>
      </c>
      <c r="C283" s="2">
        <v>6</v>
      </c>
      <c r="D283" s="272"/>
      <c r="E283" s="271"/>
      <c r="F283" s="260">
        <v>0</v>
      </c>
      <c r="G283" s="38" t="s">
        <v>652</v>
      </c>
      <c r="H283" s="38" t="s">
        <v>654</v>
      </c>
      <c r="I283" s="38">
        <v>0</v>
      </c>
      <c r="AL283" t="str">
        <f>TRIM(MID(SUBSTITUTE($G283, ",", REPT(" ", 100)), (COLUMNS($AJ$2:AL283)-1)*100+1, 100))</f>
        <v/>
      </c>
      <c r="AM283" s="1">
        <v>45939</v>
      </c>
      <c r="AN283" s="2">
        <v>4.5</v>
      </c>
      <c r="AO283" s="2">
        <v>6</v>
      </c>
      <c r="AZ283" t="str">
        <f>TRIM(MID(SUBSTITUTE($G283, ",", REPT(" ", 100)), (COLUMNS($AJ$2:AZ283)-1)*100+1, 100))</f>
        <v/>
      </c>
      <c r="BA283" t="str">
        <f>TRIM(MID(SUBSTITUTE($G283, ",", REPT(" ", 100)), (COLUMNS($AJ$2:BA283)-1)*100+1, 100))</f>
        <v/>
      </c>
      <c r="BB283" t="str">
        <f>TRIM(MID(SUBSTITUTE($G283, ",", REPT(" ", 100)), (COLUMNS($AJ$2:BB283)-1)*100+1, 100))</f>
        <v/>
      </c>
      <c r="BC283" t="str">
        <f>TRIM(MID(SUBSTITUTE($G283, ",", REPT(" ", 100)), (COLUMNS($AJ$2:BC283)-1)*100+1, 100))</f>
        <v/>
      </c>
      <c r="BH283">
        <f t="shared" si="6"/>
        <v>1</v>
      </c>
    </row>
    <row r="284" spans="1:60" x14ac:dyDescent="0.5">
      <c r="A284" s="32" t="s">
        <v>433</v>
      </c>
      <c r="B284" s="257">
        <v>46305</v>
      </c>
      <c r="C284" s="2">
        <v>6.2</v>
      </c>
      <c r="D284" s="272"/>
      <c r="E284" s="271"/>
      <c r="F284" s="260">
        <v>1</v>
      </c>
      <c r="G284" s="38" t="s">
        <v>652</v>
      </c>
      <c r="H284" s="38" t="s">
        <v>655</v>
      </c>
      <c r="I284" s="38">
        <v>0</v>
      </c>
      <c r="AM284" s="1">
        <v>45940</v>
      </c>
      <c r="AN284" s="2">
        <v>4.5</v>
      </c>
      <c r="AO284" s="2">
        <v>6</v>
      </c>
      <c r="AZ284" t="str">
        <f>TRIM(MID(SUBSTITUTE($G284, ",", REPT(" ", 100)), (COLUMNS($AJ$2:AZ284)-1)*100+1, 100))</f>
        <v/>
      </c>
      <c r="BH284">
        <f t="shared" si="6"/>
        <v>1</v>
      </c>
    </row>
    <row r="285" spans="1:60" ht="14.7" thickBot="1" x14ac:dyDescent="0.55000000000000004">
      <c r="A285" s="32" t="s">
        <v>434</v>
      </c>
      <c r="B285" s="258">
        <v>46306</v>
      </c>
      <c r="C285" s="2">
        <v>5.8</v>
      </c>
      <c r="D285" s="272"/>
      <c r="E285" s="271"/>
      <c r="F285" s="260">
        <v>0</v>
      </c>
      <c r="G285" s="38" t="s">
        <v>652</v>
      </c>
      <c r="H285" s="38" t="s">
        <v>656</v>
      </c>
      <c r="I285" s="38">
        <v>0</v>
      </c>
      <c r="AM285" s="1">
        <v>45941</v>
      </c>
      <c r="AN285" s="2">
        <v>6</v>
      </c>
      <c r="AO285" s="2">
        <v>8</v>
      </c>
      <c r="AZ285" t="str">
        <f>TRIM(MID(SUBSTITUTE($G285, ",", REPT(" ", 100)), (COLUMNS($AJ$2:AZ285)-1)*100+1, 100))</f>
        <v/>
      </c>
      <c r="BH285">
        <f t="shared" si="6"/>
        <v>1</v>
      </c>
    </row>
    <row r="286" spans="1:60" x14ac:dyDescent="0.5">
      <c r="A286" s="32" t="s">
        <v>435</v>
      </c>
      <c r="B286" s="257">
        <v>46307</v>
      </c>
      <c r="C286" s="2">
        <v>5</v>
      </c>
      <c r="D286" s="272"/>
      <c r="E286" s="271"/>
      <c r="F286" s="260">
        <v>1</v>
      </c>
      <c r="G286" s="38" t="s">
        <v>652</v>
      </c>
      <c r="H286" s="38" t="s">
        <v>656</v>
      </c>
      <c r="I286" s="38">
        <v>0</v>
      </c>
      <c r="AL286" t="str">
        <f>TRIM(MID(SUBSTITUTE($G285, ",", REPT(" ", 100)), (COLUMNS($AJ$2:AL286)-1)*100+1, 100))</f>
        <v/>
      </c>
      <c r="AM286" s="1">
        <v>45942</v>
      </c>
      <c r="AN286" s="2">
        <v>3.5</v>
      </c>
      <c r="AO286" s="2">
        <v>8</v>
      </c>
      <c r="AZ286" t="str">
        <f>TRIM(MID(SUBSTITUTE($G286, ",", REPT(" ", 100)), (COLUMNS($AJ$2:AZ286)-1)*100+1, 100))</f>
        <v/>
      </c>
      <c r="BH286">
        <f t="shared" si="6"/>
        <v>1</v>
      </c>
    </row>
    <row r="287" spans="1:60" ht="14.7" thickBot="1" x14ac:dyDescent="0.55000000000000004">
      <c r="A287" s="32" t="s">
        <v>436</v>
      </c>
      <c r="B287" s="258">
        <v>46308</v>
      </c>
      <c r="C287" s="2">
        <v>5.7</v>
      </c>
      <c r="D287" s="272"/>
      <c r="E287" s="271"/>
      <c r="F287" s="260">
        <v>1</v>
      </c>
      <c r="G287" s="38" t="s">
        <v>652</v>
      </c>
      <c r="H287" s="261" t="s">
        <v>657</v>
      </c>
      <c r="I287" s="38">
        <v>0</v>
      </c>
      <c r="AL287" t="str">
        <f>TRIM(MID(SUBSTITUTE($G287, ",", REPT(" ", 100)), (COLUMNS($AJ$2:AL287)-1)*100+1, 100))</f>
        <v/>
      </c>
      <c r="AM287" s="1">
        <v>45943</v>
      </c>
      <c r="AN287" s="2">
        <v>8</v>
      </c>
      <c r="AO287" s="2">
        <v>6</v>
      </c>
      <c r="AZ287" t="str">
        <f>TRIM(MID(SUBSTITUTE($G287, ",", REPT(" ", 100)), (COLUMNS($AJ$2:AZ287)-1)*100+1, 100))</f>
        <v/>
      </c>
      <c r="BA287" t="str">
        <f>TRIM(MID(SUBSTITUTE($G287, ",", REPT(" ", 100)), (COLUMNS($AJ$2:BA287)-1)*100+1, 100))</f>
        <v/>
      </c>
      <c r="BB287" t="str">
        <f>TRIM(MID(SUBSTITUTE($G287, ",", REPT(" ", 100)), (COLUMNS($AJ$2:BB287)-1)*100+1, 100))</f>
        <v/>
      </c>
      <c r="BC287" t="str">
        <f>TRIM(MID(SUBSTITUTE($G287, ",", REPT(" ", 100)), (COLUMNS($AJ$2:BC287)-1)*100+1, 100))</f>
        <v/>
      </c>
      <c r="BH287">
        <f t="shared" si="6"/>
        <v>1</v>
      </c>
    </row>
    <row r="288" spans="1:60" x14ac:dyDescent="0.5">
      <c r="A288" s="32" t="s">
        <v>437</v>
      </c>
      <c r="B288" s="257">
        <v>46309</v>
      </c>
      <c r="C288" s="2">
        <v>5.6</v>
      </c>
      <c r="D288" s="272"/>
      <c r="E288" s="271"/>
      <c r="F288" s="260">
        <v>1</v>
      </c>
      <c r="G288" s="38" t="s">
        <v>652</v>
      </c>
      <c r="H288" s="261" t="s">
        <v>656</v>
      </c>
      <c r="I288" s="38">
        <v>0</v>
      </c>
      <c r="AL288" t="str">
        <f>TRIM(MID(SUBSTITUTE($G288, ",", REPT(" ", 100)), (COLUMNS($AJ$2:AL288)-1)*100+1, 100))</f>
        <v/>
      </c>
      <c r="AM288" s="1">
        <v>45944</v>
      </c>
      <c r="AN288" s="2">
        <v>7</v>
      </c>
      <c r="AO288" s="2">
        <v>6</v>
      </c>
      <c r="AZ288" t="str">
        <f>TRIM(MID(SUBSTITUTE($G288, ",", REPT(" ", 100)), (COLUMNS($AJ$2:AZ288)-1)*100+1, 100))</f>
        <v/>
      </c>
      <c r="BA288" t="str">
        <f>TRIM(MID(SUBSTITUTE($G288, ",", REPT(" ", 100)), (COLUMNS($AJ$2:BA288)-1)*100+1, 100))</f>
        <v/>
      </c>
      <c r="BB288" t="str">
        <f>TRIM(MID(SUBSTITUTE($G288, ",", REPT(" ", 100)), (COLUMNS($AJ$2:BB288)-1)*100+1, 100))</f>
        <v/>
      </c>
      <c r="BC288" t="str">
        <f>TRIM(MID(SUBSTITUTE($G288, ",", REPT(" ", 100)), (COLUMNS($AJ$2:BC288)-1)*100+1, 100))</f>
        <v/>
      </c>
      <c r="BH288">
        <f t="shared" si="6"/>
        <v>1</v>
      </c>
    </row>
    <row r="289" spans="1:60" ht="14.7" thickBot="1" x14ac:dyDescent="0.55000000000000004">
      <c r="A289" s="32" t="s">
        <v>431</v>
      </c>
      <c r="B289" s="258">
        <v>46310</v>
      </c>
      <c r="C289" s="2">
        <v>5.6</v>
      </c>
      <c r="D289" s="272"/>
      <c r="E289" s="271"/>
      <c r="F289" s="260">
        <v>0</v>
      </c>
      <c r="G289" s="38" t="s">
        <v>652</v>
      </c>
      <c r="H289" s="261" t="s">
        <v>656</v>
      </c>
      <c r="I289" s="38">
        <v>0</v>
      </c>
      <c r="AL289" t="str">
        <f>TRIM(MID(SUBSTITUTE($G289, ",", REPT(" ", 100)), (COLUMNS($AJ$2:AL289)-1)*100+1, 100))</f>
        <v/>
      </c>
      <c r="AM289" s="1">
        <v>45945</v>
      </c>
      <c r="AN289" s="2">
        <v>6</v>
      </c>
      <c r="AO289" s="2">
        <v>6</v>
      </c>
      <c r="AZ289" t="str">
        <f>TRIM(MID(SUBSTITUTE($G289, ",", REPT(" ", 100)), (COLUMNS($AJ$2:AZ289)-1)*100+1, 100))</f>
        <v/>
      </c>
      <c r="BA289" t="str">
        <f>TRIM(MID(SUBSTITUTE($G289, ",", REPT(" ", 100)), (COLUMNS($AJ$2:BA289)-1)*100+1, 100))</f>
        <v/>
      </c>
      <c r="BB289" t="str">
        <f>TRIM(MID(SUBSTITUTE($G289, ",", REPT(" ", 100)), (COLUMNS($AJ$2:BB289)-1)*100+1, 100))</f>
        <v/>
      </c>
      <c r="BC289" t="str">
        <f>TRIM(MID(SUBSTITUTE($G289, ",", REPT(" ", 100)), (COLUMNS($AJ$2:BC289)-1)*100+1, 100))</f>
        <v/>
      </c>
      <c r="BH289">
        <f t="shared" si="6"/>
        <v>1</v>
      </c>
    </row>
    <row r="290" spans="1:60" x14ac:dyDescent="0.5">
      <c r="A290" s="32" t="s">
        <v>432</v>
      </c>
      <c r="B290" s="257">
        <v>46311</v>
      </c>
      <c r="C290" s="2">
        <v>5.7</v>
      </c>
      <c r="D290" s="272"/>
      <c r="E290" s="271"/>
      <c r="F290" s="260">
        <v>1</v>
      </c>
      <c r="G290" s="38" t="s">
        <v>652</v>
      </c>
      <c r="H290" s="261"/>
      <c r="I290" s="38">
        <v>0</v>
      </c>
      <c r="AL290" t="str">
        <f>TRIM(MID(SUBSTITUTE($G290, ",", REPT(" ", 100)), (COLUMNS($AJ$2:AL290)-1)*100+1, 100))</f>
        <v/>
      </c>
      <c r="AM290" s="1">
        <v>45946</v>
      </c>
      <c r="AN290" s="2">
        <v>7</v>
      </c>
      <c r="AO290" s="2">
        <v>4</v>
      </c>
      <c r="AZ290" t="str">
        <f>TRIM(MID(SUBSTITUTE($G290, ",", REPT(" ", 100)), (COLUMNS($AJ$2:AZ290)-1)*100+1, 100))</f>
        <v/>
      </c>
      <c r="BA290" t="str">
        <f>TRIM(MID(SUBSTITUTE($G290, ",", REPT(" ", 100)), (COLUMNS($AJ$2:BA290)-1)*100+1, 100))</f>
        <v/>
      </c>
      <c r="BB290" t="str">
        <f>TRIM(MID(SUBSTITUTE($G290, ",", REPT(" ", 100)), (COLUMNS($AJ$2:BB290)-1)*100+1, 100))</f>
        <v/>
      </c>
      <c r="BC290" t="str">
        <f>TRIM(MID(SUBSTITUTE($G290, ",", REPT(" ", 100)), (COLUMNS($AJ$2:BC290)-1)*100+1, 100))</f>
        <v/>
      </c>
      <c r="BH290">
        <f t="shared" si="6"/>
        <v>1</v>
      </c>
    </row>
    <row r="291" spans="1:60" ht="14.7" thickBot="1" x14ac:dyDescent="0.55000000000000004">
      <c r="A291" s="32" t="s">
        <v>433</v>
      </c>
      <c r="B291" s="258">
        <v>46312</v>
      </c>
      <c r="C291" s="2">
        <v>5.8</v>
      </c>
      <c r="D291" s="272"/>
      <c r="E291" s="271"/>
      <c r="F291" s="260">
        <v>1</v>
      </c>
      <c r="G291" s="38" t="s">
        <v>652</v>
      </c>
      <c r="H291" s="38" t="s">
        <v>659</v>
      </c>
      <c r="I291" s="38">
        <v>0</v>
      </c>
      <c r="AL291" t="str">
        <f>TRIM(MID(SUBSTITUTE($G291, ",", REPT(" ", 100)), (COLUMNS($AJ$2:AL291)-1)*100+1, 100))</f>
        <v/>
      </c>
      <c r="AM291" s="1">
        <v>45947</v>
      </c>
      <c r="AN291" s="2">
        <v>5.5</v>
      </c>
      <c r="AO291" s="2">
        <v>6</v>
      </c>
      <c r="AZ291" t="str">
        <f>TRIM(MID(SUBSTITUTE($G291, ",", REPT(" ", 100)), (COLUMNS($AJ$2:AZ291)-1)*100+1, 100))</f>
        <v/>
      </c>
      <c r="BA291" t="str">
        <f>TRIM(MID(SUBSTITUTE($G291, ",", REPT(" ", 100)), (COLUMNS($AJ$2:BA291)-1)*100+1, 100))</f>
        <v/>
      </c>
      <c r="BB291" t="str">
        <f>TRIM(MID(SUBSTITUTE($G291, ",", REPT(" ", 100)), (COLUMNS($AJ$2:BB291)-1)*100+1, 100))</f>
        <v/>
      </c>
      <c r="BC291" t="str">
        <f>TRIM(MID(SUBSTITUTE($G291, ",", REPT(" ", 100)), (COLUMNS($AJ$2:BC291)-1)*100+1, 100))</f>
        <v/>
      </c>
      <c r="BH291">
        <f t="shared" si="6"/>
        <v>1</v>
      </c>
    </row>
    <row r="292" spans="1:60" x14ac:dyDescent="0.5">
      <c r="A292" s="32" t="s">
        <v>434</v>
      </c>
      <c r="B292" s="257">
        <v>46313</v>
      </c>
      <c r="C292" s="2">
        <v>5.5</v>
      </c>
      <c r="D292" s="272"/>
      <c r="E292" s="271"/>
      <c r="F292" s="260">
        <v>1</v>
      </c>
      <c r="G292" s="38" t="s">
        <v>652</v>
      </c>
      <c r="I292" s="38">
        <v>0</v>
      </c>
      <c r="AL292" t="str">
        <f>TRIM(MID(SUBSTITUTE($G292, ",", REPT(" ", 100)), (COLUMNS($AJ$2:AL292)-1)*100+1, 100))</f>
        <v/>
      </c>
      <c r="AM292" s="1">
        <v>45948</v>
      </c>
      <c r="AN292" s="2">
        <v>7</v>
      </c>
      <c r="AO292" s="2">
        <v>8</v>
      </c>
      <c r="AZ292" t="str">
        <f>TRIM(MID(SUBSTITUTE($G292, ",", REPT(" ", 100)), (COLUMNS($AJ$2:AZ292)-1)*100+1, 100))</f>
        <v/>
      </c>
      <c r="BA292" t="str">
        <f>TRIM(MID(SUBSTITUTE($G292, ",", REPT(" ", 100)), (COLUMNS($AJ$2:BA292)-1)*100+1, 100))</f>
        <v/>
      </c>
      <c r="BB292" t="str">
        <f>TRIM(MID(SUBSTITUTE($G292, ",", REPT(" ", 100)), (COLUMNS($AJ$2:BB292)-1)*100+1, 100))</f>
        <v/>
      </c>
      <c r="BC292" t="str">
        <f>TRIM(MID(SUBSTITUTE($G292, ",", REPT(" ", 100)), (COLUMNS($AJ$2:BC292)-1)*100+1, 100))</f>
        <v/>
      </c>
      <c r="BH292">
        <f t="shared" si="6"/>
        <v>1</v>
      </c>
    </row>
    <row r="293" spans="1:60" ht="14.7" thickBot="1" x14ac:dyDescent="0.55000000000000004">
      <c r="A293" s="32" t="s">
        <v>435</v>
      </c>
      <c r="B293" s="258">
        <v>46314</v>
      </c>
      <c r="C293" s="2">
        <v>5</v>
      </c>
      <c r="D293" s="272"/>
      <c r="E293" s="271"/>
      <c r="F293" s="260">
        <v>0</v>
      </c>
      <c r="G293" s="38" t="s">
        <v>652</v>
      </c>
      <c r="I293" s="38">
        <v>0</v>
      </c>
      <c r="AL293" t="str">
        <f>TRIM(MID(SUBSTITUTE($G293, ",", REPT(" ", 100)), (COLUMNS($AJ$2:AL293)-1)*100+1, 100))</f>
        <v/>
      </c>
      <c r="AM293" s="1">
        <v>45949</v>
      </c>
      <c r="AN293" s="2">
        <v>7</v>
      </c>
      <c r="AO293" s="2">
        <v>6</v>
      </c>
      <c r="AZ293" t="str">
        <f>TRIM(MID(SUBSTITUTE($G293, ",", REPT(" ", 100)), (COLUMNS($AJ$2:AZ293)-1)*100+1, 100))</f>
        <v/>
      </c>
      <c r="BA293" t="str">
        <f>TRIM(MID(SUBSTITUTE($G293, ",", REPT(" ", 100)), (COLUMNS($AJ$2:BA293)-1)*100+1, 100))</f>
        <v/>
      </c>
      <c r="BB293" t="str">
        <f>TRIM(MID(SUBSTITUTE($G293, ",", REPT(" ", 100)), (COLUMNS($AJ$2:BB293)-1)*100+1, 100))</f>
        <v/>
      </c>
      <c r="BC293" t="str">
        <f>TRIM(MID(SUBSTITUTE($G293, ",", REPT(" ", 100)), (COLUMNS($AJ$2:BC293)-1)*100+1, 100))</f>
        <v/>
      </c>
      <c r="BH293">
        <f t="shared" si="6"/>
        <v>1</v>
      </c>
    </row>
    <row r="294" spans="1:60" x14ac:dyDescent="0.5">
      <c r="A294" s="32" t="s">
        <v>436</v>
      </c>
      <c r="B294" s="257">
        <v>46315</v>
      </c>
      <c r="C294" s="2">
        <v>5</v>
      </c>
      <c r="D294" s="272"/>
      <c r="E294" s="271"/>
      <c r="F294" s="260">
        <v>1</v>
      </c>
      <c r="G294" s="38" t="s">
        <v>652</v>
      </c>
      <c r="I294" s="38">
        <v>0</v>
      </c>
      <c r="AL294" t="str">
        <f>TRIM(MID(SUBSTITUTE($G294, ",", REPT(" ", 100)), (COLUMNS($AJ$2:AL294)-1)*100+1, 100))</f>
        <v/>
      </c>
      <c r="AM294" s="1">
        <v>45950</v>
      </c>
      <c r="AN294" s="2">
        <v>4</v>
      </c>
      <c r="AO294" s="2">
        <v>6</v>
      </c>
      <c r="AZ294" t="str">
        <f>TRIM(MID(SUBSTITUTE($G294, ",", REPT(" ", 100)), (COLUMNS($AJ$2:AZ294)-1)*100+1, 100))</f>
        <v/>
      </c>
      <c r="BA294" t="str">
        <f>TRIM(MID(SUBSTITUTE($G294, ",", REPT(" ", 100)), (COLUMNS($AJ$2:BA294)-1)*100+1, 100))</f>
        <v/>
      </c>
      <c r="BB294" t="str">
        <f>TRIM(MID(SUBSTITUTE($G294, ",", REPT(" ", 100)), (COLUMNS($AJ$2:BB294)-1)*100+1, 100))</f>
        <v/>
      </c>
      <c r="BC294" t="str">
        <f>TRIM(MID(SUBSTITUTE($G294, ",", REPT(" ", 100)), (COLUMNS($AJ$2:BC294)-1)*100+1, 100))</f>
        <v/>
      </c>
      <c r="BH294">
        <f t="shared" si="6"/>
        <v>1</v>
      </c>
    </row>
    <row r="295" spans="1:60" ht="14.7" thickBot="1" x14ac:dyDescent="0.55000000000000004">
      <c r="A295" s="32" t="s">
        <v>437</v>
      </c>
      <c r="B295" s="258">
        <v>46316</v>
      </c>
      <c r="C295" s="2">
        <v>5.6</v>
      </c>
      <c r="D295" s="272"/>
      <c r="E295" s="271"/>
      <c r="F295" s="260">
        <v>1</v>
      </c>
      <c r="G295" s="38" t="s">
        <v>652</v>
      </c>
      <c r="I295" s="38">
        <v>0</v>
      </c>
      <c r="AL295" t="str">
        <f>TRIM(MID(SUBSTITUTE($G295, ",", REPT(" ", 100)), (COLUMNS($AJ$2:AL295)-1)*100+1, 100))</f>
        <v/>
      </c>
      <c r="AM295" s="1">
        <v>45951</v>
      </c>
      <c r="AN295" s="2">
        <v>6</v>
      </c>
      <c r="AO295" s="2">
        <v>6</v>
      </c>
      <c r="AZ295" t="str">
        <f>TRIM(MID(SUBSTITUTE($G295, ",", REPT(" ", 100)), (COLUMNS($AJ$2:AZ295)-1)*100+1, 100))</f>
        <v/>
      </c>
      <c r="BA295" t="str">
        <f>TRIM(MID(SUBSTITUTE($G295, ",", REPT(" ", 100)), (COLUMNS($AJ$2:BA295)-1)*100+1, 100))</f>
        <v/>
      </c>
      <c r="BB295" t="str">
        <f>TRIM(MID(SUBSTITUTE($G295, ",", REPT(" ", 100)), (COLUMNS($AJ$2:BB295)-1)*100+1, 100))</f>
        <v/>
      </c>
      <c r="BC295" t="str">
        <f>TRIM(MID(SUBSTITUTE($G295, ",", REPT(" ", 100)), (COLUMNS($AJ$2:BC295)-1)*100+1, 100))</f>
        <v/>
      </c>
      <c r="BH295">
        <f t="shared" si="6"/>
        <v>1</v>
      </c>
    </row>
    <row r="296" spans="1:60" x14ac:dyDescent="0.5">
      <c r="A296" s="32" t="s">
        <v>431</v>
      </c>
      <c r="B296" s="257">
        <v>46317</v>
      </c>
      <c r="C296" s="2">
        <v>5.8</v>
      </c>
      <c r="D296" s="272"/>
      <c r="E296" s="271"/>
      <c r="F296" s="260">
        <v>1</v>
      </c>
      <c r="G296" s="38" t="s">
        <v>652</v>
      </c>
      <c r="H296" s="38" t="s">
        <v>660</v>
      </c>
      <c r="I296" s="38">
        <v>0</v>
      </c>
      <c r="AL296" t="str">
        <f>TRIM(MID(SUBSTITUTE($G296, ",", REPT(" ", 100)), (COLUMNS($AJ$2:AL296)-1)*100+1, 100))</f>
        <v/>
      </c>
      <c r="AM296" s="1">
        <v>45952</v>
      </c>
      <c r="AN296" s="2">
        <v>6</v>
      </c>
      <c r="AO296" s="2">
        <v>6</v>
      </c>
      <c r="AZ296" t="str">
        <f>TRIM(MID(SUBSTITUTE($G296, ",", REPT(" ", 100)), (COLUMNS($AJ$2:AZ296)-1)*100+1, 100))</f>
        <v/>
      </c>
      <c r="BA296" t="str">
        <f>TRIM(MID(SUBSTITUTE($G296, ",", REPT(" ", 100)), (COLUMNS($AJ$2:BA296)-1)*100+1, 100))</f>
        <v/>
      </c>
      <c r="BB296" t="str">
        <f>TRIM(MID(SUBSTITUTE($G296, ",", REPT(" ", 100)), (COLUMNS($AJ$2:BB296)-1)*100+1, 100))</f>
        <v/>
      </c>
      <c r="BC296" t="str">
        <f>TRIM(MID(SUBSTITUTE($G296, ",", REPT(" ", 100)), (COLUMNS($AJ$2:BC296)-1)*100+1, 100))</f>
        <v/>
      </c>
      <c r="BH296">
        <f t="shared" si="6"/>
        <v>1</v>
      </c>
    </row>
    <row r="297" spans="1:60" ht="14.7" thickBot="1" x14ac:dyDescent="0.55000000000000004">
      <c r="A297" s="32" t="s">
        <v>432</v>
      </c>
      <c r="B297" s="258">
        <v>46318</v>
      </c>
      <c r="C297" s="2">
        <v>5.2</v>
      </c>
      <c r="D297" s="272"/>
      <c r="E297" s="271"/>
      <c r="F297" s="260">
        <v>0</v>
      </c>
      <c r="G297" s="38" t="s">
        <v>652</v>
      </c>
      <c r="I297" s="38">
        <v>0</v>
      </c>
      <c r="AL297" t="str">
        <f>TRIM(MID(SUBSTITUTE($G297, ",", REPT(" ", 100)), (COLUMNS($AJ$2:AL297)-1)*100+1, 100))</f>
        <v/>
      </c>
      <c r="AM297" s="1">
        <v>45953</v>
      </c>
      <c r="AN297" s="2">
        <v>3</v>
      </c>
      <c r="AO297" s="2">
        <v>4</v>
      </c>
      <c r="AZ297" t="str">
        <f>TRIM(MID(SUBSTITUTE($G297, ",", REPT(" ", 100)), (COLUMNS($AJ$2:AZ297)-1)*100+1, 100))</f>
        <v/>
      </c>
      <c r="BA297" t="str">
        <f>TRIM(MID(SUBSTITUTE($G297, ",", REPT(" ", 100)), (COLUMNS($AJ$2:BA297)-1)*100+1, 100))</f>
        <v/>
      </c>
      <c r="BB297" t="str">
        <f>TRIM(MID(SUBSTITUTE($G297, ",", REPT(" ", 100)), (COLUMNS($AJ$2:BB297)-1)*100+1, 100))</f>
        <v/>
      </c>
      <c r="BC297" t="str">
        <f>TRIM(MID(SUBSTITUTE($G297, ",", REPT(" ", 100)), (COLUMNS($AJ$2:BC297)-1)*100+1, 100))</f>
        <v/>
      </c>
      <c r="BH297">
        <f t="shared" si="6"/>
        <v>1</v>
      </c>
    </row>
    <row r="298" spans="1:60" x14ac:dyDescent="0.5">
      <c r="A298" s="32" t="s">
        <v>433</v>
      </c>
      <c r="B298" s="257">
        <v>46319</v>
      </c>
      <c r="C298" s="2"/>
      <c r="D298" s="272"/>
      <c r="E298" s="271"/>
      <c r="F298" s="260">
        <v>1</v>
      </c>
      <c r="G298" s="38" t="s">
        <v>652</v>
      </c>
      <c r="I298" s="38">
        <v>0</v>
      </c>
      <c r="AL298" t="str">
        <f>TRIM(MID(SUBSTITUTE($G298, ",", REPT(" ", 100)), (COLUMNS($AJ$2:AL298)-1)*100+1, 100))</f>
        <v/>
      </c>
      <c r="AM298" s="1">
        <v>45954</v>
      </c>
      <c r="AN298" s="2">
        <v>8.3000000000000007</v>
      </c>
      <c r="AO298" s="2">
        <v>4</v>
      </c>
      <c r="AZ298" t="str">
        <f>TRIM(MID(SUBSTITUTE($G298, ",", REPT(" ", 100)), (COLUMNS($AJ$2:AZ298)-1)*100+1, 100))</f>
        <v/>
      </c>
      <c r="BA298" t="str">
        <f>TRIM(MID(SUBSTITUTE($G298, ",", REPT(" ", 100)), (COLUMNS($AJ$2:BA298)-1)*100+1, 100))</f>
        <v/>
      </c>
      <c r="BB298" t="str">
        <f>TRIM(MID(SUBSTITUTE($G298, ",", REPT(" ", 100)), (COLUMNS($AJ$2:BB298)-1)*100+1, 100))</f>
        <v/>
      </c>
      <c r="BC298" t="str">
        <f>TRIM(MID(SUBSTITUTE($G298, ",", REPT(" ", 100)), (COLUMNS($AJ$2:BC298)-1)*100+1, 100))</f>
        <v/>
      </c>
      <c r="BH298">
        <f t="shared" si="6"/>
        <v>1</v>
      </c>
    </row>
    <row r="299" spans="1:60" ht="14.7" thickBot="1" x14ac:dyDescent="0.55000000000000004">
      <c r="A299" s="32" t="s">
        <v>434</v>
      </c>
      <c r="B299" s="258">
        <v>46320</v>
      </c>
      <c r="C299" s="2"/>
      <c r="D299" s="272"/>
      <c r="E299" s="271"/>
      <c r="F299" s="260">
        <v>1</v>
      </c>
      <c r="G299" s="38" t="s">
        <v>652</v>
      </c>
      <c r="I299" s="38">
        <v>0</v>
      </c>
      <c r="AL299" t="str">
        <f>TRIM(MID(SUBSTITUTE($G299, ",", REPT(" ", 100)), (COLUMNS($AJ$2:AL299)-1)*100+1, 100))</f>
        <v/>
      </c>
      <c r="AM299" s="1">
        <v>45955</v>
      </c>
      <c r="AN299" s="2">
        <v>5.7</v>
      </c>
      <c r="AO299" s="2">
        <v>6</v>
      </c>
      <c r="AZ299" t="str">
        <f>TRIM(MID(SUBSTITUTE($G299, ",", REPT(" ", 100)), (COLUMNS($AJ$2:AZ299)-1)*100+1, 100))</f>
        <v/>
      </c>
      <c r="BA299" t="str">
        <f>TRIM(MID(SUBSTITUTE($G299, ",", REPT(" ", 100)), (COLUMNS($AJ$2:BA299)-1)*100+1, 100))</f>
        <v/>
      </c>
      <c r="BB299" t="str">
        <f>TRIM(MID(SUBSTITUTE($G299, ",", REPT(" ", 100)), (COLUMNS($AJ$2:BB299)-1)*100+1, 100))</f>
        <v/>
      </c>
      <c r="BC299" t="str">
        <f>TRIM(MID(SUBSTITUTE($G299, ",", REPT(" ", 100)), (COLUMNS($AJ$2:BC299)-1)*100+1, 100))</f>
        <v/>
      </c>
      <c r="BH299">
        <f t="shared" si="6"/>
        <v>1</v>
      </c>
    </row>
    <row r="300" spans="1:60" x14ac:dyDescent="0.5">
      <c r="A300" s="32" t="s">
        <v>435</v>
      </c>
      <c r="B300" s="257">
        <v>46321</v>
      </c>
      <c r="C300" s="2"/>
      <c r="D300" s="272"/>
      <c r="E300" s="271"/>
      <c r="F300" s="260">
        <v>1</v>
      </c>
      <c r="G300" s="38" t="s">
        <v>652</v>
      </c>
      <c r="I300" s="38">
        <v>0</v>
      </c>
      <c r="AL300" t="str">
        <f>TRIM(MID(SUBSTITUTE($G300, ",", REPT(" ", 100)), (COLUMNS($AJ$2:AL300)-1)*100+1, 100))</f>
        <v/>
      </c>
      <c r="AM300" s="1">
        <v>45956</v>
      </c>
      <c r="AN300" s="2">
        <v>4</v>
      </c>
      <c r="AO300" s="2">
        <v>6</v>
      </c>
      <c r="AZ300" t="str">
        <f>TRIM(MID(SUBSTITUTE($G300, ",", REPT(" ", 100)), (COLUMNS($AJ$2:AZ300)-1)*100+1, 100))</f>
        <v/>
      </c>
      <c r="BA300" t="str">
        <f>TRIM(MID(SUBSTITUTE($G300, ",", REPT(" ", 100)), (COLUMNS($AJ$2:BA300)-1)*100+1, 100))</f>
        <v/>
      </c>
      <c r="BB300" t="str">
        <f>TRIM(MID(SUBSTITUTE($G300, ",", REPT(" ", 100)), (COLUMNS($AJ$2:BB300)-1)*100+1, 100))</f>
        <v/>
      </c>
      <c r="BC300" t="str">
        <f>TRIM(MID(SUBSTITUTE($G300, ",", REPT(" ", 100)), (COLUMNS($AJ$2:BC300)-1)*100+1, 100))</f>
        <v/>
      </c>
      <c r="BH300">
        <f t="shared" si="6"/>
        <v>1</v>
      </c>
    </row>
    <row r="301" spans="1:60" ht="14.7" thickBot="1" x14ac:dyDescent="0.55000000000000004">
      <c r="A301" s="32" t="s">
        <v>436</v>
      </c>
      <c r="B301" s="258">
        <v>46322</v>
      </c>
      <c r="C301" s="2"/>
      <c r="D301" s="272"/>
      <c r="E301" s="271"/>
      <c r="F301" s="260">
        <v>1</v>
      </c>
      <c r="G301" s="38" t="s">
        <v>652</v>
      </c>
      <c r="I301" s="38">
        <v>0</v>
      </c>
      <c r="AL301" t="str">
        <f>TRIM(MID(SUBSTITUTE($G301, ",", REPT(" ", 100)), (COLUMNS($AJ$2:AL301)-1)*100+1, 100))</f>
        <v/>
      </c>
      <c r="AM301" s="1">
        <v>45957</v>
      </c>
      <c r="AN301" s="2">
        <v>4.5</v>
      </c>
      <c r="AO301" s="2">
        <v>4</v>
      </c>
      <c r="AZ301" t="str">
        <f>TRIM(MID(SUBSTITUTE($G301, ",", REPT(" ", 100)), (COLUMNS($AJ$2:AZ301)-1)*100+1, 100))</f>
        <v/>
      </c>
      <c r="BA301" t="str">
        <f>TRIM(MID(SUBSTITUTE($G301, ",", REPT(" ", 100)), (COLUMNS($AJ$2:BA301)-1)*100+1, 100))</f>
        <v/>
      </c>
      <c r="BB301" t="str">
        <f>TRIM(MID(SUBSTITUTE($G301, ",", REPT(" ", 100)), (COLUMNS($AJ$2:BB301)-1)*100+1, 100))</f>
        <v/>
      </c>
      <c r="BC301" t="str">
        <f>TRIM(MID(SUBSTITUTE($G301, ",", REPT(" ", 100)), (COLUMNS($AJ$2:BC301)-1)*100+1, 100))</f>
        <v/>
      </c>
      <c r="BH301">
        <f t="shared" si="6"/>
        <v>1</v>
      </c>
    </row>
    <row r="302" spans="1:60" x14ac:dyDescent="0.5">
      <c r="A302" s="32" t="s">
        <v>437</v>
      </c>
      <c r="B302" s="257">
        <v>46323</v>
      </c>
      <c r="C302" s="2"/>
      <c r="D302" s="272"/>
      <c r="E302" s="271"/>
      <c r="F302" s="260">
        <v>1</v>
      </c>
      <c r="G302" s="38" t="s">
        <v>652</v>
      </c>
      <c r="I302" s="38">
        <v>0</v>
      </c>
      <c r="AL302" t="str">
        <f>TRIM(MID(SUBSTITUTE($G302, ",", REPT(" ", 100)), (COLUMNS($AJ$2:AL302)-1)*100+1, 100))</f>
        <v/>
      </c>
      <c r="AM302" s="1">
        <v>45958</v>
      </c>
      <c r="AN302" s="2">
        <v>7</v>
      </c>
      <c r="AO302" s="2">
        <v>6</v>
      </c>
      <c r="AZ302" t="str">
        <f>TRIM(MID(SUBSTITUTE($G302, ",", REPT(" ", 100)), (COLUMNS($AJ$2:AZ302)-1)*100+1, 100))</f>
        <v/>
      </c>
      <c r="BA302" t="str">
        <f>TRIM(MID(SUBSTITUTE($G302, ",", REPT(" ", 100)), (COLUMNS($AJ$2:BA302)-1)*100+1, 100))</f>
        <v/>
      </c>
      <c r="BB302" t="str">
        <f>TRIM(MID(SUBSTITUTE($G302, ",", REPT(" ", 100)), (COLUMNS($AJ$2:BB302)-1)*100+1, 100))</f>
        <v/>
      </c>
      <c r="BC302" t="str">
        <f>TRIM(MID(SUBSTITUTE($G302, ",", REPT(" ", 100)), (COLUMNS($AJ$2:BC302)-1)*100+1, 100))</f>
        <v/>
      </c>
      <c r="BH302">
        <f t="shared" si="6"/>
        <v>1</v>
      </c>
    </row>
    <row r="303" spans="1:60" ht="14.7" thickBot="1" x14ac:dyDescent="0.55000000000000004">
      <c r="A303" s="32" t="s">
        <v>431</v>
      </c>
      <c r="B303" s="258">
        <v>46324</v>
      </c>
      <c r="C303" s="2"/>
      <c r="D303" s="272"/>
      <c r="E303" s="271"/>
      <c r="F303" s="260">
        <v>1</v>
      </c>
      <c r="G303" s="38" t="s">
        <v>652</v>
      </c>
      <c r="I303" s="38">
        <v>0</v>
      </c>
      <c r="AL303" t="str">
        <f>TRIM(MID(SUBSTITUTE($G303, ",", REPT(" ", 100)), (COLUMNS($AJ$2:AL303)-1)*100+1, 100))</f>
        <v/>
      </c>
      <c r="AM303" s="1">
        <v>45959</v>
      </c>
      <c r="AN303" s="2">
        <v>4.5</v>
      </c>
      <c r="AO303" s="2">
        <v>8</v>
      </c>
      <c r="AY303" t="str">
        <f>TRIM(MID(SUBSTITUTE($G303, ",", REPT(" ", 100)), (COLUMNS($AJ$2:AY303)-1)*100+1, 100))</f>
        <v/>
      </c>
      <c r="AZ303" t="str">
        <f>TRIM(MID(SUBSTITUTE($G303, ",", REPT(" ", 100)), (COLUMNS($AJ$2:AZ303)-1)*100+1, 100))</f>
        <v/>
      </c>
      <c r="BA303" t="str">
        <f>TRIM(MID(SUBSTITUTE($G303, ",", REPT(" ", 100)), (COLUMNS($AJ$2:BA303)-1)*100+1, 100))</f>
        <v/>
      </c>
      <c r="BB303" t="str">
        <f>TRIM(MID(SUBSTITUTE($G303, ",", REPT(" ", 100)), (COLUMNS($AJ$2:BB303)-1)*100+1, 100))</f>
        <v/>
      </c>
      <c r="BC303" t="str">
        <f>TRIM(MID(SUBSTITUTE($G303, ",", REPT(" ", 100)), (COLUMNS($AJ$2:BC303)-1)*100+1, 100))</f>
        <v/>
      </c>
      <c r="BH303">
        <f t="shared" si="6"/>
        <v>1</v>
      </c>
    </row>
    <row r="304" spans="1:60" x14ac:dyDescent="0.5">
      <c r="A304" s="32" t="s">
        <v>432</v>
      </c>
      <c r="B304" s="257">
        <v>46325</v>
      </c>
      <c r="C304" s="2"/>
      <c r="D304" s="272"/>
      <c r="E304" s="271"/>
      <c r="F304" s="260">
        <v>1</v>
      </c>
      <c r="G304" s="38" t="s">
        <v>652</v>
      </c>
      <c r="I304" s="38">
        <v>0</v>
      </c>
      <c r="AL304" t="str">
        <f>TRIM(MID(SUBSTITUTE($G304, ",", REPT(" ", 100)), (COLUMNS($AJ$2:AL304)-1)*100+1, 100))</f>
        <v/>
      </c>
      <c r="AM304" s="1">
        <v>45960</v>
      </c>
      <c r="AN304" s="2">
        <v>5</v>
      </c>
      <c r="AO304" s="2">
        <v>8</v>
      </c>
      <c r="AY304" t="str">
        <f>TRIM(MID(SUBSTITUTE($G304, ",", REPT(" ", 100)), (COLUMNS($AJ$2:AY304)-1)*100+1, 100))</f>
        <v/>
      </c>
      <c r="AZ304" t="str">
        <f>TRIM(MID(SUBSTITUTE($G304, ",", REPT(" ", 100)), (COLUMNS($AJ$2:AZ304)-1)*100+1, 100))</f>
        <v/>
      </c>
      <c r="BA304" t="str">
        <f>TRIM(MID(SUBSTITUTE($G304, ",", REPT(" ", 100)), (COLUMNS($AJ$2:BA304)-1)*100+1, 100))</f>
        <v/>
      </c>
      <c r="BB304" t="str">
        <f>TRIM(MID(SUBSTITUTE($G304, ",", REPT(" ", 100)), (COLUMNS($AJ$2:BB304)-1)*100+1, 100))</f>
        <v/>
      </c>
      <c r="BC304" t="str">
        <f>TRIM(MID(SUBSTITUTE($G304, ",", REPT(" ", 100)), (COLUMNS($AJ$2:BC304)-1)*100+1, 100))</f>
        <v/>
      </c>
      <c r="BH304">
        <f t="shared" si="6"/>
        <v>1</v>
      </c>
    </row>
    <row r="305" spans="1:60" ht="14.7" thickBot="1" x14ac:dyDescent="0.55000000000000004">
      <c r="A305" s="32" t="s">
        <v>433</v>
      </c>
      <c r="B305" s="258">
        <v>46326</v>
      </c>
      <c r="C305" s="2"/>
      <c r="D305" s="272"/>
      <c r="E305" s="271"/>
      <c r="F305" s="260">
        <v>1</v>
      </c>
      <c r="G305" s="38" t="s">
        <v>652</v>
      </c>
      <c r="I305" s="38">
        <v>0</v>
      </c>
      <c r="AL305" t="str">
        <f>TRIM(MID(SUBSTITUTE($G305, ",", REPT(" ", 100)), (COLUMNS($AJ$2:AL305)-1)*100+1, 100))</f>
        <v/>
      </c>
      <c r="AM305" s="1">
        <v>45961</v>
      </c>
      <c r="AN305" s="2">
        <v>6</v>
      </c>
      <c r="AO305" s="2">
        <v>10</v>
      </c>
      <c r="AY305" t="str">
        <f>TRIM(MID(SUBSTITUTE($G305, ",", REPT(" ", 100)), (COLUMNS($AJ$2:AY305)-1)*100+1, 100))</f>
        <v/>
      </c>
      <c r="AZ305" t="str">
        <f>TRIM(MID(SUBSTITUTE($G305, ",", REPT(" ", 100)), (COLUMNS($AJ$2:AZ305)-1)*100+1, 100))</f>
        <v/>
      </c>
      <c r="BA305" t="str">
        <f>TRIM(MID(SUBSTITUTE($G305, ",", REPT(" ", 100)), (COLUMNS($AJ$2:BA305)-1)*100+1, 100))</f>
        <v/>
      </c>
      <c r="BB305" t="str">
        <f>TRIM(MID(SUBSTITUTE($G305, ",", REPT(" ", 100)), (COLUMNS($AJ$2:BB305)-1)*100+1, 100))</f>
        <v/>
      </c>
      <c r="BC305" t="str">
        <f>TRIM(MID(SUBSTITUTE($G305, ",", REPT(" ", 100)), (COLUMNS($AJ$2:BC305)-1)*100+1, 100))</f>
        <v/>
      </c>
      <c r="BH305">
        <f t="shared" si="6"/>
        <v>1</v>
      </c>
    </row>
    <row r="306" spans="1:60" x14ac:dyDescent="0.5">
      <c r="A306" s="32" t="s">
        <v>434</v>
      </c>
      <c r="B306" s="257">
        <v>46327</v>
      </c>
      <c r="C306" s="2"/>
      <c r="D306" s="272"/>
      <c r="E306" s="271"/>
      <c r="I306" s="38">
        <v>0</v>
      </c>
      <c r="AL306" t="str">
        <f>TRIM(MID(SUBSTITUTE($G306, ",", REPT(" ", 100)), (COLUMNS($AJ$2:AL306)-1)*100+1, 100))</f>
        <v/>
      </c>
      <c r="AM306" s="1">
        <v>45962</v>
      </c>
      <c r="AN306" s="2">
        <v>4.8</v>
      </c>
      <c r="AO306" s="2">
        <v>6</v>
      </c>
      <c r="AQ306" t="str">
        <f>TRIM(MID(SUBSTITUTE($G306, ",", REPT(" ", 100)), (COLUMNS($AJ$2:AQ306)-1)*100+1, 100))</f>
        <v/>
      </c>
      <c r="AR306" t="str">
        <f>TRIM(MID(SUBSTITUTE($G306, ",", REPT(" ", 100)), (COLUMNS($AJ$2:AR306)-1)*100+1, 100))</f>
        <v/>
      </c>
      <c r="AS306" t="str">
        <f>TRIM(MID(SUBSTITUTE($G306, ",", REPT(" ", 100)), (COLUMNS($AJ$2:AS306)-1)*100+1, 100))</f>
        <v/>
      </c>
      <c r="AT306" t="str">
        <f>TRIM(MID(SUBSTITUTE($G306, ",", REPT(" ", 100)), (COLUMNS($AJ$2:AT306)-1)*100+1, 100))</f>
        <v/>
      </c>
      <c r="AU306" t="str">
        <f>TRIM(MID(SUBSTITUTE($G306, ",", REPT(" ", 100)), (COLUMNS($AJ$2:AU306)-1)*100+1, 100))</f>
        <v/>
      </c>
      <c r="AV306" t="str">
        <f>TRIM(MID(SUBSTITUTE($G306, ",", REPT(" ", 100)), (COLUMNS($AJ$2:AV306)-1)*100+1, 100))</f>
        <v/>
      </c>
      <c r="AW306" t="str">
        <f>TRIM(MID(SUBSTITUTE($G306, ",", REPT(" ", 100)), (COLUMNS($AJ$2:AW306)-1)*100+1, 100))</f>
        <v/>
      </c>
      <c r="AX306" t="str">
        <f>TRIM(MID(SUBSTITUTE($G306, ",", REPT(" ", 100)), (COLUMNS($AJ$2:AX306)-1)*100+1, 100))</f>
        <v/>
      </c>
      <c r="AY306" t="str">
        <f>TRIM(MID(SUBSTITUTE($G306, ",", REPT(" ", 100)), (COLUMNS($AJ$2:AY306)-1)*100+1, 100))</f>
        <v/>
      </c>
      <c r="AZ306" t="str">
        <f>TRIM(MID(SUBSTITUTE($G306, ",", REPT(" ", 100)), (COLUMNS($AJ$2:AZ306)-1)*100+1, 100))</f>
        <v/>
      </c>
      <c r="BA306" t="str">
        <f>TRIM(MID(SUBSTITUTE($G306, ",", REPT(" ", 100)), (COLUMNS($AJ$2:BA306)-1)*100+1, 100))</f>
        <v/>
      </c>
      <c r="BB306" t="str">
        <f>TRIM(MID(SUBSTITUTE($G306, ",", REPT(" ", 100)), (COLUMNS($AJ$2:BB306)-1)*100+1, 100))</f>
        <v/>
      </c>
      <c r="BC306" t="str">
        <f>TRIM(MID(SUBSTITUTE($G306, ",", REPT(" ", 100)), (COLUMNS($AJ$2:BC306)-1)*100+1, 100))</f>
        <v/>
      </c>
      <c r="BH306">
        <f t="shared" si="6"/>
        <v>1</v>
      </c>
    </row>
    <row r="307" spans="1:60" ht="14.7" thickBot="1" x14ac:dyDescent="0.55000000000000004">
      <c r="A307" s="32" t="s">
        <v>435</v>
      </c>
      <c r="B307" s="258">
        <v>46328</v>
      </c>
      <c r="C307" s="2"/>
      <c r="D307" s="272"/>
      <c r="E307" s="271"/>
      <c r="H307" s="273"/>
      <c r="I307" s="38">
        <v>0</v>
      </c>
      <c r="AL307" t="str">
        <f>TRIM(MID(SUBSTITUTE($G307, ",", REPT(" ", 100)), (COLUMNS($AJ$2:AL307)-1)*100+1, 100))</f>
        <v/>
      </c>
      <c r="AM307" s="1">
        <v>45963</v>
      </c>
      <c r="AN307" s="2">
        <v>4.5</v>
      </c>
      <c r="AO307" s="2">
        <v>2</v>
      </c>
      <c r="AQ307" t="str">
        <f>TRIM(MID(SUBSTITUTE($G307, ",", REPT(" ", 100)), (COLUMNS($AJ$2:AQ307)-1)*100+1, 100))</f>
        <v/>
      </c>
      <c r="AR307" t="str">
        <f>TRIM(MID(SUBSTITUTE($G307, ",", REPT(" ", 100)), (COLUMNS($AJ$2:AR307)-1)*100+1, 100))</f>
        <v/>
      </c>
      <c r="AS307" t="str">
        <f>TRIM(MID(SUBSTITUTE($G307, ",", REPT(" ", 100)), (COLUMNS($AJ$2:AS307)-1)*100+1, 100))</f>
        <v/>
      </c>
      <c r="AT307" t="str">
        <f>TRIM(MID(SUBSTITUTE($G307, ",", REPT(" ", 100)), (COLUMNS($AJ$2:AT307)-1)*100+1, 100))</f>
        <v/>
      </c>
      <c r="AU307" t="str">
        <f>TRIM(MID(SUBSTITUTE($G307, ",", REPT(" ", 100)), (COLUMNS($AJ$2:AU307)-1)*100+1, 100))</f>
        <v/>
      </c>
      <c r="AV307" t="str">
        <f>TRIM(MID(SUBSTITUTE($G307, ",", REPT(" ", 100)), (COLUMNS($AJ$2:AV307)-1)*100+1, 100))</f>
        <v/>
      </c>
      <c r="AW307" t="str">
        <f>TRIM(MID(SUBSTITUTE($G307, ",", REPT(" ", 100)), (COLUMNS($AJ$2:AW307)-1)*100+1, 100))</f>
        <v/>
      </c>
      <c r="AX307" t="str">
        <f>TRIM(MID(SUBSTITUTE($G307, ",", REPT(" ", 100)), (COLUMNS($AJ$2:AX307)-1)*100+1, 100))</f>
        <v/>
      </c>
      <c r="AY307" t="str">
        <f>TRIM(MID(SUBSTITUTE($G307, ",", REPT(" ", 100)), (COLUMNS($AJ$2:AY307)-1)*100+1, 100))</f>
        <v/>
      </c>
      <c r="AZ307" t="str">
        <f>TRIM(MID(SUBSTITUTE($G307, ",", REPT(" ", 100)), (COLUMNS($AJ$2:AZ307)-1)*100+1, 100))</f>
        <v/>
      </c>
      <c r="BA307" t="str">
        <f>TRIM(MID(SUBSTITUTE($G307, ",", REPT(" ", 100)), (COLUMNS($AJ$2:BA307)-1)*100+1, 100))</f>
        <v/>
      </c>
      <c r="BB307" t="str">
        <f>TRIM(MID(SUBSTITUTE($G307, ",", REPT(" ", 100)), (COLUMNS($AJ$2:BB307)-1)*100+1, 100))</f>
        <v/>
      </c>
      <c r="BC307" t="str">
        <f>TRIM(MID(SUBSTITUTE($G307, ",", REPT(" ", 100)), (COLUMNS($AJ$2:BC307)-1)*100+1, 100))</f>
        <v/>
      </c>
      <c r="BH307">
        <f t="shared" si="6"/>
        <v>1</v>
      </c>
    </row>
    <row r="308" spans="1:60" x14ac:dyDescent="0.5">
      <c r="A308" s="32" t="s">
        <v>436</v>
      </c>
      <c r="B308" s="257">
        <v>46329</v>
      </c>
      <c r="C308" s="2"/>
      <c r="D308" s="272"/>
      <c r="E308" s="271"/>
      <c r="H308" s="273"/>
      <c r="I308" s="38">
        <v>0</v>
      </c>
      <c r="AL308" t="str">
        <f>TRIM(MID(SUBSTITUTE($G308, ",", REPT(" ", 100)), (COLUMNS($AJ$2:AL308)-1)*100+1, 100))</f>
        <v/>
      </c>
      <c r="AM308" s="1">
        <v>45964</v>
      </c>
      <c r="AN308" s="2">
        <v>0.5</v>
      </c>
      <c r="AO308" s="2">
        <v>0</v>
      </c>
      <c r="AQ308" t="str">
        <f>TRIM(MID(SUBSTITUTE($G308, ",", REPT(" ", 100)), (COLUMNS($AJ$2:AQ308)-1)*100+1, 100))</f>
        <v/>
      </c>
      <c r="AR308" t="str">
        <f>TRIM(MID(SUBSTITUTE($G308, ",", REPT(" ", 100)), (COLUMNS($AJ$2:AR308)-1)*100+1, 100))</f>
        <v/>
      </c>
      <c r="AS308" t="str">
        <f>TRIM(MID(SUBSTITUTE($G308, ",", REPT(" ", 100)), (COLUMNS($AJ$2:AS308)-1)*100+1, 100))</f>
        <v/>
      </c>
      <c r="AT308" t="str">
        <f>TRIM(MID(SUBSTITUTE($G308, ",", REPT(" ", 100)), (COLUMNS($AJ$2:AT308)-1)*100+1, 100))</f>
        <v/>
      </c>
      <c r="AU308" t="str">
        <f>TRIM(MID(SUBSTITUTE($G308, ",", REPT(" ", 100)), (COLUMNS($AJ$2:AU308)-1)*100+1, 100))</f>
        <v/>
      </c>
      <c r="AV308" t="str">
        <f>TRIM(MID(SUBSTITUTE($G308, ",", REPT(" ", 100)), (COLUMNS($AJ$2:AV308)-1)*100+1, 100))</f>
        <v/>
      </c>
      <c r="AW308" t="str">
        <f>TRIM(MID(SUBSTITUTE($G308, ",", REPT(" ", 100)), (COLUMNS($AJ$2:AW308)-1)*100+1, 100))</f>
        <v/>
      </c>
      <c r="AX308" t="str">
        <f>TRIM(MID(SUBSTITUTE($G308, ",", REPT(" ", 100)), (COLUMNS($AJ$2:AX308)-1)*100+1, 100))</f>
        <v/>
      </c>
      <c r="AY308" t="str">
        <f>TRIM(MID(SUBSTITUTE($G308, ",", REPT(" ", 100)), (COLUMNS($AJ$2:AY308)-1)*100+1, 100))</f>
        <v/>
      </c>
      <c r="AZ308" t="str">
        <f>TRIM(MID(SUBSTITUTE($G308, ",", REPT(" ", 100)), (COLUMNS($AJ$2:AZ308)-1)*100+1, 100))</f>
        <v/>
      </c>
      <c r="BA308" t="str">
        <f>TRIM(MID(SUBSTITUTE($G308, ",", REPT(" ", 100)), (COLUMNS($AJ$2:BA308)-1)*100+1, 100))</f>
        <v/>
      </c>
      <c r="BB308" t="str">
        <f>TRIM(MID(SUBSTITUTE($G308, ",", REPT(" ", 100)), (COLUMNS($AJ$2:BB308)-1)*100+1, 100))</f>
        <v/>
      </c>
      <c r="BC308" t="str">
        <f>TRIM(MID(SUBSTITUTE($G308, ",", REPT(" ", 100)), (COLUMNS($AJ$2:BC308)-1)*100+1, 100))</f>
        <v/>
      </c>
      <c r="BH308">
        <f t="shared" si="6"/>
        <v>1</v>
      </c>
    </row>
    <row r="309" spans="1:60" ht="14.7" thickBot="1" x14ac:dyDescent="0.55000000000000004">
      <c r="A309" s="32" t="s">
        <v>437</v>
      </c>
      <c r="B309" s="258">
        <v>46330</v>
      </c>
      <c r="C309" s="2"/>
      <c r="D309" s="272"/>
      <c r="E309" s="271"/>
      <c r="I309" s="38">
        <v>0</v>
      </c>
      <c r="AL309" t="str">
        <f>TRIM(MID(SUBSTITUTE($G309, ",", REPT(" ", 100)), (COLUMNS($AJ$2:AL309)-1)*100+1, 100))</f>
        <v/>
      </c>
      <c r="AM309" s="1">
        <v>45965</v>
      </c>
      <c r="AN309" s="2">
        <v>6</v>
      </c>
      <c r="AO309" s="2">
        <v>4</v>
      </c>
      <c r="AQ309" t="str">
        <f>TRIM(MID(SUBSTITUTE($G309, ",", REPT(" ", 100)), (COLUMNS($AJ$2:AQ309)-1)*100+1, 100))</f>
        <v/>
      </c>
      <c r="AR309" t="str">
        <f>TRIM(MID(SUBSTITUTE($G309, ",", REPT(" ", 100)), (COLUMNS($AJ$2:AR309)-1)*100+1, 100))</f>
        <v/>
      </c>
      <c r="AS309" t="str">
        <f>TRIM(MID(SUBSTITUTE($G309, ",", REPT(" ", 100)), (COLUMNS($AJ$2:AS309)-1)*100+1, 100))</f>
        <v/>
      </c>
      <c r="AT309" t="str">
        <f>TRIM(MID(SUBSTITUTE($G309, ",", REPT(" ", 100)), (COLUMNS($AJ$2:AT309)-1)*100+1, 100))</f>
        <v/>
      </c>
      <c r="AU309" t="str">
        <f>TRIM(MID(SUBSTITUTE($G309, ",", REPT(" ", 100)), (COLUMNS($AJ$2:AU309)-1)*100+1, 100))</f>
        <v/>
      </c>
      <c r="AV309" t="str">
        <f>TRIM(MID(SUBSTITUTE($G309, ",", REPT(" ", 100)), (COLUMNS($AJ$2:AV309)-1)*100+1, 100))</f>
        <v/>
      </c>
      <c r="AW309" t="str">
        <f>TRIM(MID(SUBSTITUTE($G309, ",", REPT(" ", 100)), (COLUMNS($AJ$2:AW309)-1)*100+1, 100))</f>
        <v/>
      </c>
      <c r="AX309" t="str">
        <f>TRIM(MID(SUBSTITUTE($G309, ",", REPT(" ", 100)), (COLUMNS($AJ$2:AX309)-1)*100+1, 100))</f>
        <v/>
      </c>
      <c r="AY309" t="str">
        <f>TRIM(MID(SUBSTITUTE($G309, ",", REPT(" ", 100)), (COLUMNS($AJ$2:AY309)-1)*100+1, 100))</f>
        <v/>
      </c>
      <c r="AZ309" t="str">
        <f>TRIM(MID(SUBSTITUTE($G309, ",", REPT(" ", 100)), (COLUMNS($AJ$2:AZ309)-1)*100+1, 100))</f>
        <v/>
      </c>
      <c r="BA309" t="str">
        <f>TRIM(MID(SUBSTITUTE($G309, ",", REPT(" ", 100)), (COLUMNS($AJ$2:BA309)-1)*100+1, 100))</f>
        <v/>
      </c>
      <c r="BB309" t="str">
        <f>TRIM(MID(SUBSTITUTE($G309, ",", REPT(" ", 100)), (COLUMNS($AJ$2:BB309)-1)*100+1, 100))</f>
        <v/>
      </c>
      <c r="BC309" t="str">
        <f>TRIM(MID(SUBSTITUTE($G309, ",", REPT(" ", 100)), (COLUMNS($AJ$2:BC309)-1)*100+1, 100))</f>
        <v/>
      </c>
      <c r="BH309">
        <f t="shared" si="6"/>
        <v>1</v>
      </c>
    </row>
    <row r="310" spans="1:60" x14ac:dyDescent="0.5">
      <c r="A310" s="32" t="s">
        <v>431</v>
      </c>
      <c r="B310" s="257">
        <v>46331</v>
      </c>
      <c r="C310" s="2"/>
      <c r="D310" s="272"/>
      <c r="E310" s="271"/>
      <c r="I310" s="38">
        <v>0</v>
      </c>
      <c r="AL310" t="str">
        <f>TRIM(MID(SUBSTITUTE($G310, ",", REPT(" ", 100)), (COLUMNS($AJ$2:AL310)-1)*100+1, 100))</f>
        <v/>
      </c>
      <c r="AM310" s="1">
        <v>45966</v>
      </c>
      <c r="AN310" s="2">
        <v>5</v>
      </c>
      <c r="AO310" s="2">
        <v>6</v>
      </c>
      <c r="AQ310" t="str">
        <f>TRIM(MID(SUBSTITUTE($G310, ",", REPT(" ", 100)), (COLUMNS($AJ$2:AQ310)-1)*100+1, 100))</f>
        <v/>
      </c>
      <c r="AR310" t="str">
        <f>TRIM(MID(SUBSTITUTE($G310, ",", REPT(" ", 100)), (COLUMNS($AJ$2:AR310)-1)*100+1, 100))</f>
        <v/>
      </c>
      <c r="AS310" t="str">
        <f>TRIM(MID(SUBSTITUTE($G310, ",", REPT(" ", 100)), (COLUMNS($AJ$2:AS310)-1)*100+1, 100))</f>
        <v/>
      </c>
      <c r="AT310" t="str">
        <f>TRIM(MID(SUBSTITUTE($G310, ",", REPT(" ", 100)), (COLUMNS($AJ$2:AT310)-1)*100+1, 100))</f>
        <v/>
      </c>
      <c r="AU310" t="str">
        <f>TRIM(MID(SUBSTITUTE($G310, ",", REPT(" ", 100)), (COLUMNS($AJ$2:AU310)-1)*100+1, 100))</f>
        <v/>
      </c>
      <c r="AV310" t="str">
        <f>TRIM(MID(SUBSTITUTE($G310, ",", REPT(" ", 100)), (COLUMNS($AJ$2:AV310)-1)*100+1, 100))</f>
        <v/>
      </c>
      <c r="AW310" t="str">
        <f>TRIM(MID(SUBSTITUTE($G310, ",", REPT(" ", 100)), (COLUMNS($AJ$2:AW310)-1)*100+1, 100))</f>
        <v/>
      </c>
      <c r="AX310" t="str">
        <f>TRIM(MID(SUBSTITUTE($G310, ",", REPT(" ", 100)), (COLUMNS($AJ$2:AX310)-1)*100+1, 100))</f>
        <v/>
      </c>
      <c r="AY310" t="str">
        <f>TRIM(MID(SUBSTITUTE($G310, ",", REPT(" ", 100)), (COLUMNS($AJ$2:AY310)-1)*100+1, 100))</f>
        <v/>
      </c>
      <c r="AZ310" t="str">
        <f>TRIM(MID(SUBSTITUTE($G310, ",", REPT(" ", 100)), (COLUMNS($AJ$2:AZ310)-1)*100+1, 100))</f>
        <v/>
      </c>
      <c r="BA310" t="str">
        <f>TRIM(MID(SUBSTITUTE($G310, ",", REPT(" ", 100)), (COLUMNS($AJ$2:BA310)-1)*100+1, 100))</f>
        <v/>
      </c>
      <c r="BB310" t="str">
        <f>TRIM(MID(SUBSTITUTE($G310, ",", REPT(" ", 100)), (COLUMNS($AJ$2:BB310)-1)*100+1, 100))</f>
        <v/>
      </c>
      <c r="BC310" t="str">
        <f>TRIM(MID(SUBSTITUTE($G310, ",", REPT(" ", 100)), (COLUMNS($AJ$2:BC310)-1)*100+1, 100))</f>
        <v/>
      </c>
      <c r="BH310">
        <f t="shared" si="6"/>
        <v>1</v>
      </c>
    </row>
    <row r="311" spans="1:60" ht="14.7" thickBot="1" x14ac:dyDescent="0.55000000000000004">
      <c r="A311" s="32" t="s">
        <v>432</v>
      </c>
      <c r="B311" s="258">
        <v>46332</v>
      </c>
      <c r="C311" s="2"/>
      <c r="D311" s="272"/>
      <c r="E311" s="271"/>
      <c r="I311" s="38">
        <v>0</v>
      </c>
      <c r="AL311" t="str">
        <f>TRIM(MID(SUBSTITUTE($G311, ",", REPT(" ", 100)), (COLUMNS($AJ$2:AL311)-1)*100+1, 100))</f>
        <v/>
      </c>
      <c r="AM311" s="1">
        <v>45967</v>
      </c>
      <c r="AN311" s="2">
        <v>6</v>
      </c>
      <c r="AO311" s="2">
        <v>6</v>
      </c>
      <c r="AQ311" t="str">
        <f>TRIM(MID(SUBSTITUTE($G311, ",", REPT(" ", 100)), (COLUMNS($AJ$2:AQ311)-1)*100+1, 100))</f>
        <v/>
      </c>
      <c r="AR311" t="str">
        <f>TRIM(MID(SUBSTITUTE($G311, ",", REPT(" ", 100)), (COLUMNS($AJ$2:AR311)-1)*100+1, 100))</f>
        <v/>
      </c>
      <c r="AS311" t="str">
        <f>TRIM(MID(SUBSTITUTE($G311, ",", REPT(" ", 100)), (COLUMNS($AJ$2:AS311)-1)*100+1, 100))</f>
        <v/>
      </c>
      <c r="AT311" t="str">
        <f>TRIM(MID(SUBSTITUTE($G311, ",", REPT(" ", 100)), (COLUMNS($AJ$2:AT311)-1)*100+1, 100))</f>
        <v/>
      </c>
      <c r="AU311" t="str">
        <f>TRIM(MID(SUBSTITUTE($G311, ",", REPT(" ", 100)), (COLUMNS($AJ$2:AU311)-1)*100+1, 100))</f>
        <v/>
      </c>
      <c r="AV311" t="str">
        <f>TRIM(MID(SUBSTITUTE($G311, ",", REPT(" ", 100)), (COLUMNS($AJ$2:AV311)-1)*100+1, 100))</f>
        <v/>
      </c>
      <c r="AW311" t="str">
        <f>TRIM(MID(SUBSTITUTE($G311, ",", REPT(" ", 100)), (COLUMNS($AJ$2:AW311)-1)*100+1, 100))</f>
        <v/>
      </c>
      <c r="AX311" t="str">
        <f>TRIM(MID(SUBSTITUTE($G311, ",", REPT(" ", 100)), (COLUMNS($AJ$2:AX311)-1)*100+1, 100))</f>
        <v/>
      </c>
      <c r="AY311" t="str">
        <f>TRIM(MID(SUBSTITUTE($G311, ",", REPT(" ", 100)), (COLUMNS($AJ$2:AY311)-1)*100+1, 100))</f>
        <v/>
      </c>
      <c r="AZ311" t="str">
        <f>TRIM(MID(SUBSTITUTE($G311, ",", REPT(" ", 100)), (COLUMNS($AJ$2:AZ311)-1)*100+1, 100))</f>
        <v/>
      </c>
      <c r="BA311" t="str">
        <f>TRIM(MID(SUBSTITUTE($G311, ",", REPT(" ", 100)), (COLUMNS($AJ$2:BA311)-1)*100+1, 100))</f>
        <v/>
      </c>
      <c r="BB311" t="str">
        <f>TRIM(MID(SUBSTITUTE($G311, ",", REPT(" ", 100)), (COLUMNS($AJ$2:BB311)-1)*100+1, 100))</f>
        <v/>
      </c>
      <c r="BC311" t="str">
        <f>TRIM(MID(SUBSTITUTE($G311, ",", REPT(" ", 100)), (COLUMNS($AJ$2:BC311)-1)*100+1, 100))</f>
        <v/>
      </c>
      <c r="BH311">
        <f t="shared" si="6"/>
        <v>1</v>
      </c>
    </row>
    <row r="312" spans="1:60" x14ac:dyDescent="0.5">
      <c r="A312" s="32" t="s">
        <v>433</v>
      </c>
      <c r="B312" s="257">
        <v>46333</v>
      </c>
      <c r="C312" s="2"/>
      <c r="D312" s="272"/>
      <c r="E312" s="271"/>
      <c r="I312" s="38">
        <v>0</v>
      </c>
      <c r="AL312" t="str">
        <f>TRIM(MID(SUBSTITUTE($G312, ",", REPT(" ", 100)), (COLUMNS($AJ$2:AL312)-1)*100+1, 100))</f>
        <v/>
      </c>
      <c r="AM312" s="1">
        <v>45968</v>
      </c>
      <c r="AN312" s="2">
        <v>5.8</v>
      </c>
      <c r="AO312" s="2">
        <v>6</v>
      </c>
      <c r="AQ312" t="str">
        <f>TRIM(MID(SUBSTITUTE($G312, ",", REPT(" ", 100)), (COLUMNS($AJ$2:AQ312)-1)*100+1, 100))</f>
        <v/>
      </c>
      <c r="AR312" t="str">
        <f>TRIM(MID(SUBSTITUTE($G312, ",", REPT(" ", 100)), (COLUMNS($AJ$2:AR312)-1)*100+1, 100))</f>
        <v/>
      </c>
      <c r="AS312" t="str">
        <f>TRIM(MID(SUBSTITUTE($G312, ",", REPT(" ", 100)), (COLUMNS($AJ$2:AS312)-1)*100+1, 100))</f>
        <v/>
      </c>
      <c r="AT312" t="str">
        <f>TRIM(MID(SUBSTITUTE($G312, ",", REPT(" ", 100)), (COLUMNS($AJ$2:AT312)-1)*100+1, 100))</f>
        <v/>
      </c>
      <c r="AU312" t="str">
        <f>TRIM(MID(SUBSTITUTE($G312, ",", REPT(" ", 100)), (COLUMNS($AJ$2:AU312)-1)*100+1, 100))</f>
        <v/>
      </c>
      <c r="AV312" t="str">
        <f>TRIM(MID(SUBSTITUTE($G312, ",", REPT(" ", 100)), (COLUMNS($AJ$2:AV312)-1)*100+1, 100))</f>
        <v/>
      </c>
      <c r="AW312" t="str">
        <f>TRIM(MID(SUBSTITUTE($G312, ",", REPT(" ", 100)), (COLUMNS($AJ$2:AW312)-1)*100+1, 100))</f>
        <v/>
      </c>
      <c r="AX312" t="str">
        <f>TRIM(MID(SUBSTITUTE($G312, ",", REPT(" ", 100)), (COLUMNS($AJ$2:AX312)-1)*100+1, 100))</f>
        <v/>
      </c>
      <c r="AY312" t="str">
        <f>TRIM(MID(SUBSTITUTE($G312, ",", REPT(" ", 100)), (COLUMNS($AJ$2:AY312)-1)*100+1, 100))</f>
        <v/>
      </c>
      <c r="AZ312" t="str">
        <f>TRIM(MID(SUBSTITUTE($G312, ",", REPT(" ", 100)), (COLUMNS($AJ$2:AZ312)-1)*100+1, 100))</f>
        <v/>
      </c>
      <c r="BA312" t="str">
        <f>TRIM(MID(SUBSTITUTE($G312, ",", REPT(" ", 100)), (COLUMNS($AJ$2:BA312)-1)*100+1, 100))</f>
        <v/>
      </c>
      <c r="BB312" t="str">
        <f>TRIM(MID(SUBSTITUTE($G312, ",", REPT(" ", 100)), (COLUMNS($AJ$2:BB312)-1)*100+1, 100))</f>
        <v/>
      </c>
      <c r="BC312" t="str">
        <f>TRIM(MID(SUBSTITUTE($G312, ",", REPT(" ", 100)), (COLUMNS($AJ$2:BC312)-1)*100+1, 100))</f>
        <v/>
      </c>
      <c r="BH312">
        <f t="shared" si="6"/>
        <v>1</v>
      </c>
    </row>
    <row r="313" spans="1:60" ht="14.7" thickBot="1" x14ac:dyDescent="0.55000000000000004">
      <c r="A313" s="32" t="s">
        <v>434</v>
      </c>
      <c r="B313" s="258">
        <v>46334</v>
      </c>
      <c r="C313" s="2"/>
      <c r="D313" s="272"/>
      <c r="E313" s="271"/>
      <c r="I313" s="38">
        <v>0</v>
      </c>
      <c r="AL313" t="str">
        <f>TRIM(MID(SUBSTITUTE($G313, ",", REPT(" ", 100)), (COLUMNS($AJ$2:AL313)-1)*100+1, 100))</f>
        <v/>
      </c>
      <c r="AM313" s="1">
        <v>45969</v>
      </c>
      <c r="AN313" s="2">
        <v>6</v>
      </c>
      <c r="AO313" s="2">
        <v>8</v>
      </c>
      <c r="AQ313" t="str">
        <f>TRIM(MID(SUBSTITUTE($G313, ",", REPT(" ", 100)), (COLUMNS($AJ$2:AQ313)-1)*100+1, 100))</f>
        <v/>
      </c>
      <c r="AR313" t="str">
        <f>TRIM(MID(SUBSTITUTE($G313, ",", REPT(" ", 100)), (COLUMNS($AJ$2:AR313)-1)*100+1, 100))</f>
        <v/>
      </c>
      <c r="AS313" t="str">
        <f>TRIM(MID(SUBSTITUTE($G313, ",", REPT(" ", 100)), (COLUMNS($AJ$2:AS313)-1)*100+1, 100))</f>
        <v/>
      </c>
      <c r="AT313" t="str">
        <f>TRIM(MID(SUBSTITUTE($G313, ",", REPT(" ", 100)), (COLUMNS($AJ$2:AT313)-1)*100+1, 100))</f>
        <v/>
      </c>
      <c r="AU313" t="str">
        <f>TRIM(MID(SUBSTITUTE($G313, ",", REPT(" ", 100)), (COLUMNS($AJ$2:AU313)-1)*100+1, 100))</f>
        <v/>
      </c>
      <c r="AV313" t="str">
        <f>TRIM(MID(SUBSTITUTE($G313, ",", REPT(" ", 100)), (COLUMNS($AJ$2:AV313)-1)*100+1, 100))</f>
        <v/>
      </c>
      <c r="AW313" t="str">
        <f>TRIM(MID(SUBSTITUTE($G313, ",", REPT(" ", 100)), (COLUMNS($AJ$2:AW313)-1)*100+1, 100))</f>
        <v/>
      </c>
      <c r="AX313" t="str">
        <f>TRIM(MID(SUBSTITUTE($G313, ",", REPT(" ", 100)), (COLUMNS($AJ$2:AX313)-1)*100+1, 100))</f>
        <v/>
      </c>
      <c r="AY313" t="str">
        <f>TRIM(MID(SUBSTITUTE($G313, ",", REPT(" ", 100)), (COLUMNS($AJ$2:AY313)-1)*100+1, 100))</f>
        <v/>
      </c>
      <c r="AZ313" t="str">
        <f>TRIM(MID(SUBSTITUTE($G313, ",", REPT(" ", 100)), (COLUMNS($AJ$2:AZ313)-1)*100+1, 100))</f>
        <v/>
      </c>
      <c r="BA313" t="str">
        <f>TRIM(MID(SUBSTITUTE($G313, ",", REPT(" ", 100)), (COLUMNS($AJ$2:BA313)-1)*100+1, 100))</f>
        <v/>
      </c>
      <c r="BB313" t="str">
        <f>TRIM(MID(SUBSTITUTE($G313, ",", REPT(" ", 100)), (COLUMNS($AJ$2:BB313)-1)*100+1, 100))</f>
        <v/>
      </c>
      <c r="BC313" t="str">
        <f>TRIM(MID(SUBSTITUTE($G313, ",", REPT(" ", 100)), (COLUMNS($AJ$2:BC313)-1)*100+1, 100))</f>
        <v/>
      </c>
      <c r="BH313">
        <f t="shared" si="6"/>
        <v>1</v>
      </c>
    </row>
    <row r="314" spans="1:60" x14ac:dyDescent="0.5">
      <c r="A314" s="32" t="s">
        <v>435</v>
      </c>
      <c r="B314" s="257">
        <v>46335</v>
      </c>
      <c r="C314" s="2"/>
      <c r="D314" s="272"/>
      <c r="E314" s="271"/>
      <c r="I314" s="38">
        <v>0</v>
      </c>
      <c r="AL314" t="str">
        <f>TRIM(MID(SUBSTITUTE($G314, ",", REPT(" ", 100)), (COLUMNS($AJ$2:AL314)-1)*100+1, 100))</f>
        <v/>
      </c>
      <c r="AM314" s="1">
        <v>45970</v>
      </c>
      <c r="AN314" s="2">
        <v>5.5</v>
      </c>
      <c r="AO314" s="2">
        <v>6</v>
      </c>
      <c r="AQ314" t="str">
        <f>TRIM(MID(SUBSTITUTE($G314, ",", REPT(" ", 100)), (COLUMNS($AJ$2:AQ314)-1)*100+1, 100))</f>
        <v/>
      </c>
      <c r="AR314" t="str">
        <f>TRIM(MID(SUBSTITUTE($G314, ",", REPT(" ", 100)), (COLUMNS($AJ$2:AR314)-1)*100+1, 100))</f>
        <v/>
      </c>
      <c r="AS314" t="str">
        <f>TRIM(MID(SUBSTITUTE($G314, ",", REPT(" ", 100)), (COLUMNS($AJ$2:AS314)-1)*100+1, 100))</f>
        <v/>
      </c>
      <c r="AT314" t="str">
        <f>TRIM(MID(SUBSTITUTE($G314, ",", REPT(" ", 100)), (COLUMNS($AJ$2:AT314)-1)*100+1, 100))</f>
        <v/>
      </c>
      <c r="AU314" t="str">
        <f>TRIM(MID(SUBSTITUTE($G314, ",", REPT(" ", 100)), (COLUMNS($AJ$2:AU314)-1)*100+1, 100))</f>
        <v/>
      </c>
      <c r="AV314" t="str">
        <f>TRIM(MID(SUBSTITUTE($G314, ",", REPT(" ", 100)), (COLUMNS($AJ$2:AV314)-1)*100+1, 100))</f>
        <v/>
      </c>
      <c r="AW314" t="str">
        <f>TRIM(MID(SUBSTITUTE($G314, ",", REPT(" ", 100)), (COLUMNS($AJ$2:AW314)-1)*100+1, 100))</f>
        <v/>
      </c>
      <c r="AX314" t="str">
        <f>TRIM(MID(SUBSTITUTE($G314, ",", REPT(" ", 100)), (COLUMNS($AJ$2:AX314)-1)*100+1, 100))</f>
        <v/>
      </c>
      <c r="AY314" t="str">
        <f>TRIM(MID(SUBSTITUTE($G314, ",", REPT(" ", 100)), (COLUMNS($AJ$2:AY314)-1)*100+1, 100))</f>
        <v/>
      </c>
      <c r="AZ314" t="str">
        <f>TRIM(MID(SUBSTITUTE($G314, ",", REPT(" ", 100)), (COLUMNS($AJ$2:AZ314)-1)*100+1, 100))</f>
        <v/>
      </c>
      <c r="BA314" t="str">
        <f>TRIM(MID(SUBSTITUTE($G314, ",", REPT(" ", 100)), (COLUMNS($AJ$2:BA314)-1)*100+1, 100))</f>
        <v/>
      </c>
      <c r="BB314" t="str">
        <f>TRIM(MID(SUBSTITUTE($G314, ",", REPT(" ", 100)), (COLUMNS($AJ$2:BB314)-1)*100+1, 100))</f>
        <v/>
      </c>
      <c r="BC314" t="str">
        <f>TRIM(MID(SUBSTITUTE($G314, ",", REPT(" ", 100)), (COLUMNS($AJ$2:BC314)-1)*100+1, 100))</f>
        <v/>
      </c>
      <c r="BH314">
        <f t="shared" si="6"/>
        <v>1</v>
      </c>
    </row>
    <row r="315" spans="1:60" ht="14.7" thickBot="1" x14ac:dyDescent="0.55000000000000004">
      <c r="A315" s="32" t="s">
        <v>436</v>
      </c>
      <c r="B315" s="258">
        <v>46336</v>
      </c>
      <c r="C315" s="2"/>
      <c r="D315" s="272"/>
      <c r="E315" s="271"/>
      <c r="I315" s="38">
        <v>0</v>
      </c>
      <c r="AL315" t="str">
        <f>TRIM(MID(SUBSTITUTE($G315, ",", REPT(" ", 100)), (COLUMNS($AJ$2:AL315)-1)*100+1, 100))</f>
        <v/>
      </c>
      <c r="AM315" s="1">
        <v>45971</v>
      </c>
      <c r="AN315" s="2">
        <v>5.6</v>
      </c>
      <c r="AO315" s="2">
        <v>8</v>
      </c>
      <c r="AQ315" t="str">
        <f>TRIM(MID(SUBSTITUTE($G315, ",", REPT(" ", 100)), (COLUMNS($AJ$2:AQ315)-1)*100+1, 100))</f>
        <v/>
      </c>
      <c r="AR315" t="str">
        <f>TRIM(MID(SUBSTITUTE($G315, ",", REPT(" ", 100)), (COLUMNS($AJ$2:AR315)-1)*100+1, 100))</f>
        <v/>
      </c>
      <c r="AS315" t="str">
        <f>TRIM(MID(SUBSTITUTE($G315, ",", REPT(" ", 100)), (COLUMNS($AJ$2:AS315)-1)*100+1, 100))</f>
        <v/>
      </c>
      <c r="AT315" t="str">
        <f>TRIM(MID(SUBSTITUTE($G315, ",", REPT(" ", 100)), (COLUMNS($AJ$2:AT315)-1)*100+1, 100))</f>
        <v/>
      </c>
      <c r="AU315" t="str">
        <f>TRIM(MID(SUBSTITUTE($G315, ",", REPT(" ", 100)), (COLUMNS($AJ$2:AU315)-1)*100+1, 100))</f>
        <v/>
      </c>
      <c r="AV315" t="str">
        <f>TRIM(MID(SUBSTITUTE($G315, ",", REPT(" ", 100)), (COLUMNS($AJ$2:AV315)-1)*100+1, 100))</f>
        <v/>
      </c>
      <c r="AW315" t="str">
        <f>TRIM(MID(SUBSTITUTE($G315, ",", REPT(" ", 100)), (COLUMNS($AJ$2:AW315)-1)*100+1, 100))</f>
        <v/>
      </c>
      <c r="AX315" t="str">
        <f>TRIM(MID(SUBSTITUTE($G315, ",", REPT(" ", 100)), (COLUMNS($AJ$2:AX315)-1)*100+1, 100))</f>
        <v/>
      </c>
      <c r="AY315" t="str">
        <f>TRIM(MID(SUBSTITUTE($G315, ",", REPT(" ", 100)), (COLUMNS($AJ$2:AY315)-1)*100+1, 100))</f>
        <v/>
      </c>
      <c r="AZ315" t="str">
        <f>TRIM(MID(SUBSTITUTE($G315, ",", REPT(" ", 100)), (COLUMNS($AJ$2:AZ315)-1)*100+1, 100))</f>
        <v/>
      </c>
      <c r="BA315" t="str">
        <f>TRIM(MID(SUBSTITUTE($G315, ",", REPT(" ", 100)), (COLUMNS($AJ$2:BA315)-1)*100+1, 100))</f>
        <v/>
      </c>
      <c r="BB315" t="str">
        <f>TRIM(MID(SUBSTITUTE($G315, ",", REPT(" ", 100)), (COLUMNS($AJ$2:BB315)-1)*100+1, 100))</f>
        <v/>
      </c>
      <c r="BC315" t="str">
        <f>TRIM(MID(SUBSTITUTE($G315, ",", REPT(" ", 100)), (COLUMNS($AJ$2:BC315)-1)*100+1, 100))</f>
        <v/>
      </c>
      <c r="BH315">
        <f t="shared" si="6"/>
        <v>1</v>
      </c>
    </row>
    <row r="316" spans="1:60" x14ac:dyDescent="0.5">
      <c r="A316" s="32" t="s">
        <v>437</v>
      </c>
      <c r="B316" s="257">
        <v>46337</v>
      </c>
      <c r="C316" s="2"/>
      <c r="D316" s="272"/>
      <c r="E316" s="271"/>
      <c r="I316" s="38">
        <v>0</v>
      </c>
      <c r="AL316" t="str">
        <f>TRIM(MID(SUBSTITUTE($G316, ",", REPT(" ", 100)), (COLUMNS($AJ$2:AL316)-1)*100+1, 100))</f>
        <v/>
      </c>
      <c r="AM316" s="1">
        <v>45972</v>
      </c>
      <c r="AN316" s="2">
        <v>5</v>
      </c>
      <c r="AO316" s="2">
        <v>8</v>
      </c>
      <c r="AQ316" t="str">
        <f>TRIM(MID(SUBSTITUTE($G316, ",", REPT(" ", 100)), (COLUMNS($AJ$2:AQ316)-1)*100+1, 100))</f>
        <v/>
      </c>
      <c r="AR316" t="str">
        <f>TRIM(MID(SUBSTITUTE($G316, ",", REPT(" ", 100)), (COLUMNS($AJ$2:AR316)-1)*100+1, 100))</f>
        <v/>
      </c>
      <c r="AS316" t="str">
        <f>TRIM(MID(SUBSTITUTE($G316, ",", REPT(" ", 100)), (COLUMNS($AJ$2:AS316)-1)*100+1, 100))</f>
        <v/>
      </c>
      <c r="AT316" t="str">
        <f>TRIM(MID(SUBSTITUTE($G316, ",", REPT(" ", 100)), (COLUMNS($AJ$2:AT316)-1)*100+1, 100))</f>
        <v/>
      </c>
      <c r="AU316" t="str">
        <f>TRIM(MID(SUBSTITUTE($G316, ",", REPT(" ", 100)), (COLUMNS($AJ$2:AU316)-1)*100+1, 100))</f>
        <v/>
      </c>
      <c r="AV316" t="str">
        <f>TRIM(MID(SUBSTITUTE($G316, ",", REPT(" ", 100)), (COLUMNS($AJ$2:AV316)-1)*100+1, 100))</f>
        <v/>
      </c>
      <c r="AW316" t="str">
        <f>TRIM(MID(SUBSTITUTE($G316, ",", REPT(" ", 100)), (COLUMNS($AJ$2:AW316)-1)*100+1, 100))</f>
        <v/>
      </c>
      <c r="AX316" t="str">
        <f>TRIM(MID(SUBSTITUTE($G316, ",", REPT(" ", 100)), (COLUMNS($AJ$2:AX316)-1)*100+1, 100))</f>
        <v/>
      </c>
      <c r="AY316" t="str">
        <f>TRIM(MID(SUBSTITUTE($G316, ",", REPT(" ", 100)), (COLUMNS($AJ$2:AY316)-1)*100+1, 100))</f>
        <v/>
      </c>
      <c r="AZ316" t="str">
        <f>TRIM(MID(SUBSTITUTE($G316, ",", REPT(" ", 100)), (COLUMNS($AJ$2:AZ316)-1)*100+1, 100))</f>
        <v/>
      </c>
      <c r="BA316" t="str">
        <f>TRIM(MID(SUBSTITUTE($G316, ",", REPT(" ", 100)), (COLUMNS($AJ$2:BA316)-1)*100+1, 100))</f>
        <v/>
      </c>
      <c r="BB316" t="str">
        <f>TRIM(MID(SUBSTITUTE($G316, ",", REPT(" ", 100)), (COLUMNS($AJ$2:BB316)-1)*100+1, 100))</f>
        <v/>
      </c>
      <c r="BC316" t="str">
        <f>TRIM(MID(SUBSTITUTE($G316, ",", REPT(" ", 100)), (COLUMNS($AJ$2:BC316)-1)*100+1, 100))</f>
        <v/>
      </c>
      <c r="BH316">
        <f t="shared" si="6"/>
        <v>1</v>
      </c>
    </row>
    <row r="317" spans="1:60" ht="14.7" thickBot="1" x14ac:dyDescent="0.55000000000000004">
      <c r="A317" s="32" t="s">
        <v>431</v>
      </c>
      <c r="B317" s="258">
        <v>46338</v>
      </c>
      <c r="C317" s="2"/>
      <c r="D317" s="272"/>
      <c r="E317" s="271"/>
      <c r="I317" s="38">
        <v>0</v>
      </c>
      <c r="AL317" t="str">
        <f>TRIM(MID(SUBSTITUTE($G317, ",", REPT(" ", 100)), (COLUMNS($AJ$2:AL317)-1)*100+1, 100))</f>
        <v/>
      </c>
      <c r="AM317" s="1">
        <v>45973</v>
      </c>
      <c r="AN317" s="2">
        <v>6.5</v>
      </c>
      <c r="AO317" s="2">
        <v>2</v>
      </c>
      <c r="AQ317" t="str">
        <f>TRIM(MID(SUBSTITUTE($G317, ",", REPT(" ", 100)), (COLUMNS($AJ$2:AQ317)-1)*100+1, 100))</f>
        <v/>
      </c>
      <c r="AR317" t="str">
        <f>TRIM(MID(SUBSTITUTE($G317, ",", REPT(" ", 100)), (COLUMNS($AJ$2:AR317)-1)*100+1, 100))</f>
        <v/>
      </c>
      <c r="AS317" t="str">
        <f>TRIM(MID(SUBSTITUTE($G317, ",", REPT(" ", 100)), (COLUMNS($AJ$2:AS317)-1)*100+1, 100))</f>
        <v/>
      </c>
      <c r="AT317" t="str">
        <f>TRIM(MID(SUBSTITUTE($G317, ",", REPT(" ", 100)), (COLUMNS($AJ$2:AT317)-1)*100+1, 100))</f>
        <v/>
      </c>
      <c r="AU317" t="str">
        <f>TRIM(MID(SUBSTITUTE($G317, ",", REPT(" ", 100)), (COLUMNS($AJ$2:AU317)-1)*100+1, 100))</f>
        <v/>
      </c>
      <c r="AV317" t="str">
        <f>TRIM(MID(SUBSTITUTE($G317, ",", REPT(" ", 100)), (COLUMNS($AJ$2:AV317)-1)*100+1, 100))</f>
        <v/>
      </c>
      <c r="AW317" t="str">
        <f>TRIM(MID(SUBSTITUTE($G317, ",", REPT(" ", 100)), (COLUMNS($AJ$2:AW317)-1)*100+1, 100))</f>
        <v/>
      </c>
      <c r="AX317" t="str">
        <f>TRIM(MID(SUBSTITUTE($G317, ",", REPT(" ", 100)), (COLUMNS($AJ$2:AX317)-1)*100+1, 100))</f>
        <v/>
      </c>
      <c r="AY317" t="str">
        <f>TRIM(MID(SUBSTITUTE($G317, ",", REPT(" ", 100)), (COLUMNS($AJ$2:AY317)-1)*100+1, 100))</f>
        <v/>
      </c>
      <c r="AZ317" t="str">
        <f>TRIM(MID(SUBSTITUTE($G317, ",", REPT(" ", 100)), (COLUMNS($AJ$2:AZ317)-1)*100+1, 100))</f>
        <v/>
      </c>
      <c r="BA317" t="str">
        <f>TRIM(MID(SUBSTITUTE($G317, ",", REPT(" ", 100)), (COLUMNS($AJ$2:BA317)-1)*100+1, 100))</f>
        <v/>
      </c>
      <c r="BB317" t="str">
        <f>TRIM(MID(SUBSTITUTE($G317, ",", REPT(" ", 100)), (COLUMNS($AJ$2:BB317)-1)*100+1, 100))</f>
        <v/>
      </c>
      <c r="BC317" t="str">
        <f>TRIM(MID(SUBSTITUTE($G317, ",", REPT(" ", 100)), (COLUMNS($AJ$2:BC317)-1)*100+1, 100))</f>
        <v/>
      </c>
      <c r="BH317">
        <f t="shared" si="6"/>
        <v>1</v>
      </c>
    </row>
    <row r="318" spans="1:60" x14ac:dyDescent="0.5">
      <c r="A318" s="32" t="s">
        <v>432</v>
      </c>
      <c r="B318" s="257">
        <v>46339</v>
      </c>
      <c r="C318" s="2"/>
      <c r="D318" s="272"/>
      <c r="E318" s="271"/>
      <c r="I318" s="38">
        <v>0</v>
      </c>
      <c r="AL318" t="str">
        <f>TRIM(MID(SUBSTITUTE($G318, ",", REPT(" ", 100)), (COLUMNS($AJ$2:AL318)-1)*100+1, 100))</f>
        <v/>
      </c>
      <c r="AM318" s="1">
        <v>45974</v>
      </c>
      <c r="AN318" s="2">
        <v>5.5</v>
      </c>
      <c r="AO318" s="2">
        <v>6</v>
      </c>
      <c r="AQ318" t="str">
        <f>TRIM(MID(SUBSTITUTE($G318, ",", REPT(" ", 100)), (COLUMNS($AJ$2:AQ318)-1)*100+1, 100))</f>
        <v/>
      </c>
      <c r="AR318" t="str">
        <f>TRIM(MID(SUBSTITUTE($G318, ",", REPT(" ", 100)), (COLUMNS($AJ$2:AR318)-1)*100+1, 100))</f>
        <v/>
      </c>
      <c r="AS318" t="str">
        <f>TRIM(MID(SUBSTITUTE($G318, ",", REPT(" ", 100)), (COLUMNS($AJ$2:AS318)-1)*100+1, 100))</f>
        <v/>
      </c>
      <c r="AT318" t="str">
        <f>TRIM(MID(SUBSTITUTE($G318, ",", REPT(" ", 100)), (COLUMNS($AJ$2:AT318)-1)*100+1, 100))</f>
        <v/>
      </c>
      <c r="AU318" t="str">
        <f>TRIM(MID(SUBSTITUTE($G318, ",", REPT(" ", 100)), (COLUMNS($AJ$2:AU318)-1)*100+1, 100))</f>
        <v/>
      </c>
      <c r="AV318" t="str">
        <f>TRIM(MID(SUBSTITUTE($G318, ",", REPT(" ", 100)), (COLUMNS($AJ$2:AV318)-1)*100+1, 100))</f>
        <v/>
      </c>
      <c r="AW318" t="str">
        <f>TRIM(MID(SUBSTITUTE($G318, ",", REPT(" ", 100)), (COLUMNS($AJ$2:AW318)-1)*100+1, 100))</f>
        <v/>
      </c>
      <c r="AX318" t="str">
        <f>TRIM(MID(SUBSTITUTE($G318, ",", REPT(" ", 100)), (COLUMNS($AJ$2:AX318)-1)*100+1, 100))</f>
        <v/>
      </c>
      <c r="AY318" t="str">
        <f>TRIM(MID(SUBSTITUTE($G318, ",", REPT(" ", 100)), (COLUMNS($AJ$2:AY318)-1)*100+1, 100))</f>
        <v/>
      </c>
      <c r="AZ318" t="str">
        <f>TRIM(MID(SUBSTITUTE($G318, ",", REPT(" ", 100)), (COLUMNS($AJ$2:AZ318)-1)*100+1, 100))</f>
        <v/>
      </c>
      <c r="BA318" t="str">
        <f>TRIM(MID(SUBSTITUTE($G318, ",", REPT(" ", 100)), (COLUMNS($AJ$2:BA318)-1)*100+1, 100))</f>
        <v/>
      </c>
      <c r="BB318" t="str">
        <f>TRIM(MID(SUBSTITUTE($G318, ",", REPT(" ", 100)), (COLUMNS($AJ$2:BB318)-1)*100+1, 100))</f>
        <v/>
      </c>
      <c r="BC318" t="str">
        <f>TRIM(MID(SUBSTITUTE($G318, ",", REPT(" ", 100)), (COLUMNS($AJ$2:BC318)-1)*100+1, 100))</f>
        <v/>
      </c>
      <c r="BH318">
        <f t="shared" si="6"/>
        <v>1</v>
      </c>
    </row>
    <row r="319" spans="1:60" ht="14.7" thickBot="1" x14ac:dyDescent="0.55000000000000004">
      <c r="A319" s="32" t="s">
        <v>433</v>
      </c>
      <c r="B319" s="258">
        <v>46340</v>
      </c>
      <c r="C319" s="2"/>
      <c r="D319" s="272"/>
      <c r="E319" s="271"/>
      <c r="I319" s="38">
        <v>0</v>
      </c>
      <c r="AL319" t="str">
        <f>TRIM(MID(SUBSTITUTE($G319, ",", REPT(" ", 100)), (COLUMNS($AJ$2:AL319)-1)*100+1, 100))</f>
        <v/>
      </c>
      <c r="AM319" s="1">
        <v>45975</v>
      </c>
      <c r="AN319" s="2">
        <v>7.5</v>
      </c>
      <c r="AO319" s="2">
        <v>8</v>
      </c>
      <c r="AQ319" t="str">
        <f>TRIM(MID(SUBSTITUTE($G319, ",", REPT(" ", 100)), (COLUMNS($AJ$2:AQ319)-1)*100+1, 100))</f>
        <v/>
      </c>
      <c r="AR319" t="str">
        <f>TRIM(MID(SUBSTITUTE($G319, ",", REPT(" ", 100)), (COLUMNS($AJ$2:AR319)-1)*100+1, 100))</f>
        <v/>
      </c>
      <c r="AS319" t="str">
        <f>TRIM(MID(SUBSTITUTE($G319, ",", REPT(" ", 100)), (COLUMNS($AJ$2:AS319)-1)*100+1, 100))</f>
        <v/>
      </c>
      <c r="AT319" t="str">
        <f>TRIM(MID(SUBSTITUTE($G319, ",", REPT(" ", 100)), (COLUMNS($AJ$2:AT319)-1)*100+1, 100))</f>
        <v/>
      </c>
      <c r="AU319" t="str">
        <f>TRIM(MID(SUBSTITUTE($G319, ",", REPT(" ", 100)), (COLUMNS($AJ$2:AU319)-1)*100+1, 100))</f>
        <v/>
      </c>
      <c r="AV319" t="str">
        <f>TRIM(MID(SUBSTITUTE($G319, ",", REPT(" ", 100)), (COLUMNS($AJ$2:AV319)-1)*100+1, 100))</f>
        <v/>
      </c>
      <c r="AW319" t="str">
        <f>TRIM(MID(SUBSTITUTE($G319, ",", REPT(" ", 100)), (COLUMNS($AJ$2:AW319)-1)*100+1, 100))</f>
        <v/>
      </c>
      <c r="AX319" t="str">
        <f>TRIM(MID(SUBSTITUTE($G319, ",", REPT(" ", 100)), (COLUMNS($AJ$2:AX319)-1)*100+1, 100))</f>
        <v/>
      </c>
      <c r="AY319" t="str">
        <f>TRIM(MID(SUBSTITUTE($G319, ",", REPT(" ", 100)), (COLUMNS($AJ$2:AY319)-1)*100+1, 100))</f>
        <v/>
      </c>
      <c r="AZ319" t="str">
        <f>TRIM(MID(SUBSTITUTE($G319, ",", REPT(" ", 100)), (COLUMNS($AJ$2:AZ319)-1)*100+1, 100))</f>
        <v/>
      </c>
      <c r="BA319" t="str">
        <f>TRIM(MID(SUBSTITUTE($G319, ",", REPT(" ", 100)), (COLUMNS($AJ$2:BA319)-1)*100+1, 100))</f>
        <v/>
      </c>
      <c r="BB319" t="str">
        <f>TRIM(MID(SUBSTITUTE($G319, ",", REPT(" ", 100)), (COLUMNS($AJ$2:BB319)-1)*100+1, 100))</f>
        <v/>
      </c>
      <c r="BC319" t="str">
        <f>TRIM(MID(SUBSTITUTE($G319, ",", REPT(" ", 100)), (COLUMNS($AJ$2:BC319)-1)*100+1, 100))</f>
        <v/>
      </c>
      <c r="BH319">
        <f t="shared" si="6"/>
        <v>1</v>
      </c>
    </row>
    <row r="320" spans="1:60" x14ac:dyDescent="0.5">
      <c r="A320" s="32" t="s">
        <v>434</v>
      </c>
      <c r="B320" s="257">
        <v>46341</v>
      </c>
      <c r="C320" s="2"/>
      <c r="D320" s="272"/>
      <c r="E320" s="271"/>
      <c r="I320" s="38">
        <v>0</v>
      </c>
      <c r="AL320" t="str">
        <f>TRIM(MID(SUBSTITUTE($G320, ",", REPT(" ", 100)), (COLUMNS($AJ$2:AL320)-1)*100+1, 100))</f>
        <v/>
      </c>
      <c r="AM320" s="1">
        <v>45976</v>
      </c>
      <c r="AN320" s="2">
        <v>9</v>
      </c>
      <c r="AO320" s="2">
        <v>8</v>
      </c>
      <c r="AQ320" t="str">
        <f>TRIM(MID(SUBSTITUTE($G320, ",", REPT(" ", 100)), (COLUMNS($AJ$2:AQ320)-1)*100+1, 100))</f>
        <v/>
      </c>
      <c r="AR320" t="str">
        <f>TRIM(MID(SUBSTITUTE($G320, ",", REPT(" ", 100)), (COLUMNS($AJ$2:AR320)-1)*100+1, 100))</f>
        <v/>
      </c>
      <c r="AS320" t="str">
        <f>TRIM(MID(SUBSTITUTE($G320, ",", REPT(" ", 100)), (COLUMNS($AJ$2:AS320)-1)*100+1, 100))</f>
        <v/>
      </c>
      <c r="AT320" t="str">
        <f>TRIM(MID(SUBSTITUTE($G320, ",", REPT(" ", 100)), (COLUMNS($AJ$2:AT320)-1)*100+1, 100))</f>
        <v/>
      </c>
      <c r="AU320" t="str">
        <f>TRIM(MID(SUBSTITUTE($G320, ",", REPT(" ", 100)), (COLUMNS($AJ$2:AU320)-1)*100+1, 100))</f>
        <v/>
      </c>
      <c r="AV320" t="str">
        <f>TRIM(MID(SUBSTITUTE($G320, ",", REPT(" ", 100)), (COLUMNS($AJ$2:AV320)-1)*100+1, 100))</f>
        <v/>
      </c>
      <c r="AW320" t="str">
        <f>TRIM(MID(SUBSTITUTE($G320, ",", REPT(" ", 100)), (COLUMNS($AJ$2:AW320)-1)*100+1, 100))</f>
        <v/>
      </c>
      <c r="AX320" t="str">
        <f>TRIM(MID(SUBSTITUTE($G320, ",", REPT(" ", 100)), (COLUMNS($AJ$2:AX320)-1)*100+1, 100))</f>
        <v/>
      </c>
      <c r="AY320" t="str">
        <f>TRIM(MID(SUBSTITUTE($G320, ",", REPT(" ", 100)), (COLUMNS($AJ$2:AY320)-1)*100+1, 100))</f>
        <v/>
      </c>
      <c r="AZ320" t="str">
        <f>TRIM(MID(SUBSTITUTE($G320, ",", REPT(" ", 100)), (COLUMNS($AJ$2:AZ320)-1)*100+1, 100))</f>
        <v/>
      </c>
      <c r="BA320" t="str">
        <f>TRIM(MID(SUBSTITUTE($G320, ",", REPT(" ", 100)), (COLUMNS($AJ$2:BA320)-1)*100+1, 100))</f>
        <v/>
      </c>
      <c r="BB320" t="str">
        <f>TRIM(MID(SUBSTITUTE($G320, ",", REPT(" ", 100)), (COLUMNS($AJ$2:BB320)-1)*100+1, 100))</f>
        <v/>
      </c>
      <c r="BC320" t="str">
        <f>TRIM(MID(SUBSTITUTE($G320, ",", REPT(" ", 100)), (COLUMNS($AJ$2:BC320)-1)*100+1, 100))</f>
        <v/>
      </c>
      <c r="BH320">
        <f t="shared" si="6"/>
        <v>1</v>
      </c>
    </row>
    <row r="321" spans="1:60" ht="14.7" thickBot="1" x14ac:dyDescent="0.55000000000000004">
      <c r="A321" s="32" t="s">
        <v>435</v>
      </c>
      <c r="B321" s="258">
        <v>46342</v>
      </c>
      <c r="C321" s="2"/>
      <c r="D321" s="272"/>
      <c r="E321" s="271"/>
      <c r="I321" s="38">
        <v>0</v>
      </c>
      <c r="AL321" t="str">
        <f>TRIM(MID(SUBSTITUTE($G321, ",", REPT(" ", 100)), (COLUMNS($AJ$2:AL321)-1)*100+1, 100))</f>
        <v/>
      </c>
      <c r="AM321" s="1">
        <v>45977</v>
      </c>
      <c r="AN321" s="2">
        <v>6.8</v>
      </c>
      <c r="AO321" s="2">
        <v>6</v>
      </c>
      <c r="AQ321" t="str">
        <f>TRIM(MID(SUBSTITUTE($G321, ",", REPT(" ", 100)), (COLUMNS($AJ$2:AQ321)-1)*100+1, 100))</f>
        <v/>
      </c>
      <c r="AR321" t="str">
        <f>TRIM(MID(SUBSTITUTE($G321, ",", REPT(" ", 100)), (COLUMNS($AJ$2:AR321)-1)*100+1, 100))</f>
        <v/>
      </c>
      <c r="AS321" t="str">
        <f>TRIM(MID(SUBSTITUTE($G321, ",", REPT(" ", 100)), (COLUMNS($AJ$2:AS321)-1)*100+1, 100))</f>
        <v/>
      </c>
      <c r="AT321" t="str">
        <f>TRIM(MID(SUBSTITUTE($G321, ",", REPT(" ", 100)), (COLUMNS($AJ$2:AT321)-1)*100+1, 100))</f>
        <v/>
      </c>
      <c r="AU321" t="str">
        <f>TRIM(MID(SUBSTITUTE($G321, ",", REPT(" ", 100)), (COLUMNS($AJ$2:AU321)-1)*100+1, 100))</f>
        <v/>
      </c>
      <c r="AV321" t="str">
        <f>TRIM(MID(SUBSTITUTE($G321, ",", REPT(" ", 100)), (COLUMNS($AJ$2:AV321)-1)*100+1, 100))</f>
        <v/>
      </c>
      <c r="AW321" t="str">
        <f>TRIM(MID(SUBSTITUTE($G321, ",", REPT(" ", 100)), (COLUMNS($AJ$2:AW321)-1)*100+1, 100))</f>
        <v/>
      </c>
      <c r="AX321" t="str">
        <f>TRIM(MID(SUBSTITUTE($G321, ",", REPT(" ", 100)), (COLUMNS($AJ$2:AX321)-1)*100+1, 100))</f>
        <v/>
      </c>
      <c r="AY321" t="str">
        <f>TRIM(MID(SUBSTITUTE($G321, ",", REPT(" ", 100)), (COLUMNS($AJ$2:AY321)-1)*100+1, 100))</f>
        <v/>
      </c>
      <c r="AZ321" t="str">
        <f>TRIM(MID(SUBSTITUTE($G321, ",", REPT(" ", 100)), (COLUMNS($AJ$2:AZ321)-1)*100+1, 100))</f>
        <v/>
      </c>
      <c r="BA321" t="str">
        <f>TRIM(MID(SUBSTITUTE($G321, ",", REPT(" ", 100)), (COLUMNS($AJ$2:BA321)-1)*100+1, 100))</f>
        <v/>
      </c>
      <c r="BB321" t="str">
        <f>TRIM(MID(SUBSTITUTE($G321, ",", REPT(" ", 100)), (COLUMNS($AJ$2:BB321)-1)*100+1, 100))</f>
        <v/>
      </c>
      <c r="BC321" t="str">
        <f>TRIM(MID(SUBSTITUTE($G321, ",", REPT(" ", 100)), (COLUMNS($AJ$2:BC321)-1)*100+1, 100))</f>
        <v/>
      </c>
      <c r="BH321">
        <f t="shared" si="6"/>
        <v>1</v>
      </c>
    </row>
    <row r="322" spans="1:60" x14ac:dyDescent="0.5">
      <c r="A322" s="32" t="s">
        <v>436</v>
      </c>
      <c r="B322" s="257">
        <v>46343</v>
      </c>
      <c r="C322" s="2"/>
      <c r="D322" s="272"/>
      <c r="E322" s="271"/>
      <c r="I322" s="38">
        <v>0</v>
      </c>
      <c r="AL322" t="str">
        <f>TRIM(MID(SUBSTITUTE($G322, ",", REPT(" ", 100)), (COLUMNS($AJ$2:AL322)-1)*100+1, 100))</f>
        <v/>
      </c>
      <c r="AM322" s="1">
        <v>45978</v>
      </c>
      <c r="AN322" s="2">
        <v>7</v>
      </c>
      <c r="AO322" s="2">
        <v>6</v>
      </c>
      <c r="AQ322" t="str">
        <f>TRIM(MID(SUBSTITUTE($G322, ",", REPT(" ", 100)), (COLUMNS($AJ$2:AQ322)-1)*100+1, 100))</f>
        <v/>
      </c>
      <c r="AR322" t="str">
        <f>TRIM(MID(SUBSTITUTE($G322, ",", REPT(" ", 100)), (COLUMNS($AJ$2:AR322)-1)*100+1, 100))</f>
        <v/>
      </c>
      <c r="AS322" t="str">
        <f>TRIM(MID(SUBSTITUTE($G322, ",", REPT(" ", 100)), (COLUMNS($AJ$2:AS322)-1)*100+1, 100))</f>
        <v/>
      </c>
      <c r="AT322" t="str">
        <f>TRIM(MID(SUBSTITUTE($G322, ",", REPT(" ", 100)), (COLUMNS($AJ$2:AT322)-1)*100+1, 100))</f>
        <v/>
      </c>
      <c r="AU322" t="str">
        <f>TRIM(MID(SUBSTITUTE($G322, ",", REPT(" ", 100)), (COLUMNS($AJ$2:AU322)-1)*100+1, 100))</f>
        <v/>
      </c>
      <c r="AV322" t="str">
        <f>TRIM(MID(SUBSTITUTE($G322, ",", REPT(" ", 100)), (COLUMNS($AJ$2:AV322)-1)*100+1, 100))</f>
        <v/>
      </c>
      <c r="AW322" t="str">
        <f>TRIM(MID(SUBSTITUTE($G322, ",", REPT(" ", 100)), (COLUMNS($AJ$2:AW322)-1)*100+1, 100))</f>
        <v/>
      </c>
      <c r="AX322" t="str">
        <f>TRIM(MID(SUBSTITUTE($G322, ",", REPT(" ", 100)), (COLUMNS($AJ$2:AX322)-1)*100+1, 100))</f>
        <v/>
      </c>
      <c r="AY322" t="str">
        <f>TRIM(MID(SUBSTITUTE($G322, ",", REPT(" ", 100)), (COLUMNS($AJ$2:AY322)-1)*100+1, 100))</f>
        <v/>
      </c>
      <c r="AZ322" t="str">
        <f>TRIM(MID(SUBSTITUTE($G322, ",", REPT(" ", 100)), (COLUMNS($AJ$2:AZ322)-1)*100+1, 100))</f>
        <v/>
      </c>
      <c r="BA322" t="str">
        <f>TRIM(MID(SUBSTITUTE($G322, ",", REPT(" ", 100)), (COLUMNS($AJ$2:BA322)-1)*100+1, 100))</f>
        <v/>
      </c>
      <c r="BB322" t="str">
        <f>TRIM(MID(SUBSTITUTE($G322, ",", REPT(" ", 100)), (COLUMNS($AJ$2:BB322)-1)*100+1, 100))</f>
        <v/>
      </c>
      <c r="BC322" t="str">
        <f>TRIM(MID(SUBSTITUTE($G322, ",", REPT(" ", 100)), (COLUMNS($AJ$2:BC322)-1)*100+1, 100))</f>
        <v/>
      </c>
      <c r="BH322">
        <f t="shared" si="6"/>
        <v>1</v>
      </c>
    </row>
    <row r="323" spans="1:60" ht="14.7" thickBot="1" x14ac:dyDescent="0.55000000000000004">
      <c r="A323" s="32" t="s">
        <v>437</v>
      </c>
      <c r="B323" s="258">
        <v>46344</v>
      </c>
      <c r="C323" s="2"/>
      <c r="D323" s="272"/>
      <c r="E323" s="271"/>
      <c r="I323" s="38">
        <v>0</v>
      </c>
      <c r="AL323" t="str">
        <f>TRIM(MID(SUBSTITUTE($G323, ",", REPT(" ", 100)), (COLUMNS($AJ$2:AL323)-1)*100+1, 100))</f>
        <v/>
      </c>
      <c r="AM323" s="1">
        <v>45979</v>
      </c>
      <c r="AN323" s="2">
        <v>6</v>
      </c>
      <c r="AO323" s="2">
        <v>4</v>
      </c>
      <c r="AQ323" t="str">
        <f>TRIM(MID(SUBSTITUTE($G323, ",", REPT(" ", 100)), (COLUMNS($AJ$2:AQ323)-1)*100+1, 100))</f>
        <v/>
      </c>
      <c r="AR323" t="str">
        <f>TRIM(MID(SUBSTITUTE($G323, ",", REPT(" ", 100)), (COLUMNS($AJ$2:AR323)-1)*100+1, 100))</f>
        <v/>
      </c>
      <c r="AS323" t="str">
        <f>TRIM(MID(SUBSTITUTE($G323, ",", REPT(" ", 100)), (COLUMNS($AJ$2:AS323)-1)*100+1, 100))</f>
        <v/>
      </c>
      <c r="AT323" t="str">
        <f>TRIM(MID(SUBSTITUTE($G323, ",", REPT(" ", 100)), (COLUMNS($AJ$2:AT323)-1)*100+1, 100))</f>
        <v/>
      </c>
      <c r="AU323" t="str">
        <f>TRIM(MID(SUBSTITUTE($G323, ",", REPT(" ", 100)), (COLUMNS($AJ$2:AU323)-1)*100+1, 100))</f>
        <v/>
      </c>
      <c r="AV323" t="str">
        <f>TRIM(MID(SUBSTITUTE($G323, ",", REPT(" ", 100)), (COLUMNS($AJ$2:AV323)-1)*100+1, 100))</f>
        <v/>
      </c>
      <c r="AW323" t="str">
        <f>TRIM(MID(SUBSTITUTE($G323, ",", REPT(" ", 100)), (COLUMNS($AJ$2:AW323)-1)*100+1, 100))</f>
        <v/>
      </c>
      <c r="AX323" t="str">
        <f>TRIM(MID(SUBSTITUTE($G323, ",", REPT(" ", 100)), (COLUMNS($AJ$2:AX323)-1)*100+1, 100))</f>
        <v/>
      </c>
      <c r="AY323" t="str">
        <f>TRIM(MID(SUBSTITUTE($G323, ",", REPT(" ", 100)), (COLUMNS($AJ$2:AY323)-1)*100+1, 100))</f>
        <v/>
      </c>
      <c r="AZ323" t="str">
        <f>TRIM(MID(SUBSTITUTE($G323, ",", REPT(" ", 100)), (COLUMNS($AJ$2:AZ323)-1)*100+1, 100))</f>
        <v/>
      </c>
      <c r="BA323" t="str">
        <f>TRIM(MID(SUBSTITUTE($G323, ",", REPT(" ", 100)), (COLUMNS($AJ$2:BA323)-1)*100+1, 100))</f>
        <v/>
      </c>
      <c r="BB323" t="str">
        <f>TRIM(MID(SUBSTITUTE($G323, ",", REPT(" ", 100)), (COLUMNS($AJ$2:BB323)-1)*100+1, 100))</f>
        <v/>
      </c>
      <c r="BC323" t="str">
        <f>TRIM(MID(SUBSTITUTE($G323, ",", REPT(" ", 100)), (COLUMNS($AJ$2:BC323)-1)*100+1, 100))</f>
        <v/>
      </c>
      <c r="BH323">
        <f t="shared" ref="BH323:BH366" si="7">1/(LEN(G323)-LEN(SUBSTITUTE(G323,",",""))+1)</f>
        <v>1</v>
      </c>
    </row>
    <row r="324" spans="1:60" x14ac:dyDescent="0.5">
      <c r="A324" s="32" t="s">
        <v>431</v>
      </c>
      <c r="B324" s="257">
        <v>46345</v>
      </c>
      <c r="C324" s="2"/>
      <c r="D324" s="272"/>
      <c r="E324" s="271"/>
      <c r="I324" s="38">
        <v>0</v>
      </c>
      <c r="AL324" t="str">
        <f>TRIM(MID(SUBSTITUTE($G324, ",", REPT(" ", 100)), (COLUMNS($AJ$2:AL324)-1)*100+1, 100))</f>
        <v/>
      </c>
      <c r="AM324" s="1">
        <v>45980</v>
      </c>
      <c r="AN324" s="2">
        <v>6</v>
      </c>
      <c r="AO324" s="2">
        <v>8</v>
      </c>
      <c r="AQ324" t="str">
        <f>TRIM(MID(SUBSTITUTE($G324, ",", REPT(" ", 100)), (COLUMNS($AJ$2:AQ324)-1)*100+1, 100))</f>
        <v/>
      </c>
      <c r="AR324" t="str">
        <f>TRIM(MID(SUBSTITUTE($G324, ",", REPT(" ", 100)), (COLUMNS($AJ$2:AR324)-1)*100+1, 100))</f>
        <v/>
      </c>
      <c r="AS324" t="str">
        <f>TRIM(MID(SUBSTITUTE($G324, ",", REPT(" ", 100)), (COLUMNS($AJ$2:AS324)-1)*100+1, 100))</f>
        <v/>
      </c>
      <c r="AT324" t="str">
        <f>TRIM(MID(SUBSTITUTE($G324, ",", REPT(" ", 100)), (COLUMNS($AJ$2:AT324)-1)*100+1, 100))</f>
        <v/>
      </c>
      <c r="AU324" t="str">
        <f>TRIM(MID(SUBSTITUTE($G324, ",", REPT(" ", 100)), (COLUMNS($AJ$2:AU324)-1)*100+1, 100))</f>
        <v/>
      </c>
      <c r="AV324" t="str">
        <f>TRIM(MID(SUBSTITUTE($G324, ",", REPT(" ", 100)), (COLUMNS($AJ$2:AV324)-1)*100+1, 100))</f>
        <v/>
      </c>
      <c r="AW324" t="str">
        <f>TRIM(MID(SUBSTITUTE($G324, ",", REPT(" ", 100)), (COLUMNS($AJ$2:AW324)-1)*100+1, 100))</f>
        <v/>
      </c>
      <c r="AX324" t="str">
        <f>TRIM(MID(SUBSTITUTE($G324, ",", REPT(" ", 100)), (COLUMNS($AJ$2:AX324)-1)*100+1, 100))</f>
        <v/>
      </c>
      <c r="AY324" t="str">
        <f>TRIM(MID(SUBSTITUTE($G324, ",", REPT(" ", 100)), (COLUMNS($AJ$2:AY324)-1)*100+1, 100))</f>
        <v/>
      </c>
      <c r="AZ324" t="str">
        <f>TRIM(MID(SUBSTITUTE($G324, ",", REPT(" ", 100)), (COLUMNS($AJ$2:AZ324)-1)*100+1, 100))</f>
        <v/>
      </c>
      <c r="BA324" t="str">
        <f>TRIM(MID(SUBSTITUTE($G324, ",", REPT(" ", 100)), (COLUMNS($AJ$2:BA324)-1)*100+1, 100))</f>
        <v/>
      </c>
      <c r="BB324" t="str">
        <f>TRIM(MID(SUBSTITUTE($G324, ",", REPT(" ", 100)), (COLUMNS($AJ$2:BB324)-1)*100+1, 100))</f>
        <v/>
      </c>
      <c r="BC324" t="str">
        <f>TRIM(MID(SUBSTITUTE($G324, ",", REPT(" ", 100)), (COLUMNS($AJ$2:BC324)-1)*100+1, 100))</f>
        <v/>
      </c>
      <c r="BH324">
        <f t="shared" si="7"/>
        <v>1</v>
      </c>
    </row>
    <row r="325" spans="1:60" ht="14.7" thickBot="1" x14ac:dyDescent="0.55000000000000004">
      <c r="A325" s="32" t="s">
        <v>432</v>
      </c>
      <c r="B325" s="258">
        <v>46346</v>
      </c>
      <c r="C325" s="2"/>
      <c r="D325" s="272"/>
      <c r="E325" s="271"/>
      <c r="I325" s="38">
        <v>0</v>
      </c>
      <c r="AL325" t="str">
        <f>TRIM(MID(SUBSTITUTE($G325, ",", REPT(" ", 100)), (COLUMNS($AJ$2:AL325)-1)*100+1, 100))</f>
        <v/>
      </c>
      <c r="AM325" s="1">
        <v>45981</v>
      </c>
      <c r="AN325" s="2">
        <v>5.6</v>
      </c>
      <c r="AO325" s="2">
        <v>6</v>
      </c>
      <c r="AQ325" t="str">
        <f>TRIM(MID(SUBSTITUTE($G325, ",", REPT(" ", 100)), (COLUMNS($AJ$2:AQ325)-1)*100+1, 100))</f>
        <v/>
      </c>
      <c r="AR325" t="str">
        <f>TRIM(MID(SUBSTITUTE($G325, ",", REPT(" ", 100)), (COLUMNS($AJ$2:AR325)-1)*100+1, 100))</f>
        <v/>
      </c>
      <c r="AS325" t="str">
        <f>TRIM(MID(SUBSTITUTE($G325, ",", REPT(" ", 100)), (COLUMNS($AJ$2:AS325)-1)*100+1, 100))</f>
        <v/>
      </c>
      <c r="AT325" t="str">
        <f>TRIM(MID(SUBSTITUTE($G325, ",", REPT(" ", 100)), (COLUMNS($AJ$2:AT325)-1)*100+1, 100))</f>
        <v/>
      </c>
      <c r="AU325" t="str">
        <f>TRIM(MID(SUBSTITUTE($G325, ",", REPT(" ", 100)), (COLUMNS($AJ$2:AU325)-1)*100+1, 100))</f>
        <v/>
      </c>
      <c r="AV325" t="str">
        <f>TRIM(MID(SUBSTITUTE($G325, ",", REPT(" ", 100)), (COLUMNS($AJ$2:AV325)-1)*100+1, 100))</f>
        <v/>
      </c>
      <c r="AW325" t="str">
        <f>TRIM(MID(SUBSTITUTE($G325, ",", REPT(" ", 100)), (COLUMNS($AJ$2:AW325)-1)*100+1, 100))</f>
        <v/>
      </c>
      <c r="AX325" t="str">
        <f>TRIM(MID(SUBSTITUTE($G325, ",", REPT(" ", 100)), (COLUMNS($AJ$2:AX325)-1)*100+1, 100))</f>
        <v/>
      </c>
      <c r="AY325" t="str">
        <f>TRIM(MID(SUBSTITUTE($G325, ",", REPT(" ", 100)), (COLUMNS($AJ$2:AY325)-1)*100+1, 100))</f>
        <v/>
      </c>
      <c r="AZ325" t="str">
        <f>TRIM(MID(SUBSTITUTE($G325, ",", REPT(" ", 100)), (COLUMNS($AJ$2:AZ325)-1)*100+1, 100))</f>
        <v/>
      </c>
      <c r="BA325" t="str">
        <f>TRIM(MID(SUBSTITUTE($G325, ",", REPT(" ", 100)), (COLUMNS($AJ$2:BA325)-1)*100+1, 100))</f>
        <v/>
      </c>
      <c r="BB325" t="str">
        <f>TRIM(MID(SUBSTITUTE($G325, ",", REPT(" ", 100)), (COLUMNS($AJ$2:BB325)-1)*100+1, 100))</f>
        <v/>
      </c>
      <c r="BC325" t="str">
        <f>TRIM(MID(SUBSTITUTE($G325, ",", REPT(" ", 100)), (COLUMNS($AJ$2:BC325)-1)*100+1, 100))</f>
        <v/>
      </c>
      <c r="BH325">
        <f t="shared" si="7"/>
        <v>1</v>
      </c>
    </row>
    <row r="326" spans="1:60" x14ac:dyDescent="0.5">
      <c r="A326" s="32" t="s">
        <v>433</v>
      </c>
      <c r="B326" s="257">
        <v>46347</v>
      </c>
      <c r="C326" s="2"/>
      <c r="D326" s="272"/>
      <c r="E326" s="271"/>
      <c r="I326" s="38">
        <v>0</v>
      </c>
      <c r="AL326" t="str">
        <f>TRIM(MID(SUBSTITUTE($G326, ",", REPT(" ", 100)), (COLUMNS($AJ$2:AL326)-1)*100+1, 100))</f>
        <v/>
      </c>
      <c r="AM326" s="1">
        <v>45982</v>
      </c>
      <c r="AN326" s="2">
        <v>5.5</v>
      </c>
      <c r="AO326" s="2">
        <v>4</v>
      </c>
      <c r="AQ326" t="str">
        <f>TRIM(MID(SUBSTITUTE($G326, ",", REPT(" ", 100)), (COLUMNS($AJ$2:AQ326)-1)*100+1, 100))</f>
        <v/>
      </c>
      <c r="AR326" t="str">
        <f>TRIM(MID(SUBSTITUTE($G326, ",", REPT(" ", 100)), (COLUMNS($AJ$2:AR326)-1)*100+1, 100))</f>
        <v/>
      </c>
      <c r="AS326" t="str">
        <f>TRIM(MID(SUBSTITUTE($G326, ",", REPT(" ", 100)), (COLUMNS($AJ$2:AS326)-1)*100+1, 100))</f>
        <v/>
      </c>
      <c r="AT326" t="str">
        <f>TRIM(MID(SUBSTITUTE($G326, ",", REPT(" ", 100)), (COLUMNS($AJ$2:AT326)-1)*100+1, 100))</f>
        <v/>
      </c>
      <c r="AU326" t="str">
        <f>TRIM(MID(SUBSTITUTE($G326, ",", REPT(" ", 100)), (COLUMNS($AJ$2:AU326)-1)*100+1, 100))</f>
        <v/>
      </c>
      <c r="AV326" t="str">
        <f>TRIM(MID(SUBSTITUTE($G326, ",", REPT(" ", 100)), (COLUMNS($AJ$2:AV326)-1)*100+1, 100))</f>
        <v/>
      </c>
      <c r="AW326" t="str">
        <f>TRIM(MID(SUBSTITUTE($G326, ",", REPT(" ", 100)), (COLUMNS($AJ$2:AW326)-1)*100+1, 100))</f>
        <v/>
      </c>
      <c r="AX326" t="str">
        <f>TRIM(MID(SUBSTITUTE($G326, ",", REPT(" ", 100)), (COLUMNS($AJ$2:AX326)-1)*100+1, 100))</f>
        <v/>
      </c>
      <c r="AY326" t="str">
        <f>TRIM(MID(SUBSTITUTE($G326, ",", REPT(" ", 100)), (COLUMNS($AJ$2:AY326)-1)*100+1, 100))</f>
        <v/>
      </c>
      <c r="AZ326" t="str">
        <f>TRIM(MID(SUBSTITUTE($G326, ",", REPT(" ", 100)), (COLUMNS($AJ$2:AZ326)-1)*100+1, 100))</f>
        <v/>
      </c>
      <c r="BA326" t="str">
        <f>TRIM(MID(SUBSTITUTE($G326, ",", REPT(" ", 100)), (COLUMNS($AJ$2:BA326)-1)*100+1, 100))</f>
        <v/>
      </c>
      <c r="BB326" t="str">
        <f>TRIM(MID(SUBSTITUTE($G326, ",", REPT(" ", 100)), (COLUMNS($AJ$2:BB326)-1)*100+1, 100))</f>
        <v/>
      </c>
      <c r="BC326" t="str">
        <f>TRIM(MID(SUBSTITUTE($G326, ",", REPT(" ", 100)), (COLUMNS($AJ$2:BC326)-1)*100+1, 100))</f>
        <v/>
      </c>
      <c r="BH326">
        <f t="shared" si="7"/>
        <v>1</v>
      </c>
    </row>
    <row r="327" spans="1:60" ht="14.7" thickBot="1" x14ac:dyDescent="0.55000000000000004">
      <c r="A327" s="32" t="s">
        <v>434</v>
      </c>
      <c r="B327" s="258">
        <v>46348</v>
      </c>
      <c r="C327" s="2"/>
      <c r="D327" s="272"/>
      <c r="E327" s="271"/>
      <c r="I327" s="38">
        <v>0</v>
      </c>
      <c r="AL327" t="str">
        <f>TRIM(MID(SUBSTITUTE($G327, ",", REPT(" ", 100)), (COLUMNS($AJ$2:AL327)-1)*100+1, 100))</f>
        <v/>
      </c>
      <c r="AM327" s="1">
        <v>45983</v>
      </c>
      <c r="AN327" s="2">
        <v>5</v>
      </c>
      <c r="AO327" s="2">
        <v>4</v>
      </c>
      <c r="AQ327" t="str">
        <f>TRIM(MID(SUBSTITUTE($G327, ",", REPT(" ", 100)), (COLUMNS($AJ$2:AQ327)-1)*100+1, 100))</f>
        <v/>
      </c>
      <c r="AR327" t="str">
        <f>TRIM(MID(SUBSTITUTE($G327, ",", REPT(" ", 100)), (COLUMNS($AJ$2:AR327)-1)*100+1, 100))</f>
        <v/>
      </c>
      <c r="AS327" t="str">
        <f>TRIM(MID(SUBSTITUTE($G327, ",", REPT(" ", 100)), (COLUMNS($AJ$2:AS327)-1)*100+1, 100))</f>
        <v/>
      </c>
      <c r="AT327" t="str">
        <f>TRIM(MID(SUBSTITUTE($G327, ",", REPT(" ", 100)), (COLUMNS($AJ$2:AT327)-1)*100+1, 100))</f>
        <v/>
      </c>
      <c r="AU327" t="str">
        <f>TRIM(MID(SUBSTITUTE($G327, ",", REPT(" ", 100)), (COLUMNS($AJ$2:AU327)-1)*100+1, 100))</f>
        <v/>
      </c>
      <c r="AV327" t="str">
        <f>TRIM(MID(SUBSTITUTE($G327, ",", REPT(" ", 100)), (COLUMNS($AJ$2:AV327)-1)*100+1, 100))</f>
        <v/>
      </c>
      <c r="AW327" t="str">
        <f>TRIM(MID(SUBSTITUTE($G327, ",", REPT(" ", 100)), (COLUMNS($AJ$2:AW327)-1)*100+1, 100))</f>
        <v/>
      </c>
      <c r="AX327" t="str">
        <f>TRIM(MID(SUBSTITUTE($G327, ",", REPT(" ", 100)), (COLUMNS($AJ$2:AX327)-1)*100+1, 100))</f>
        <v/>
      </c>
      <c r="AY327" t="str">
        <f>TRIM(MID(SUBSTITUTE($G327, ",", REPT(" ", 100)), (COLUMNS($AJ$2:AY327)-1)*100+1, 100))</f>
        <v/>
      </c>
      <c r="AZ327" t="str">
        <f>TRIM(MID(SUBSTITUTE($G327, ",", REPT(" ", 100)), (COLUMNS($AJ$2:AZ327)-1)*100+1, 100))</f>
        <v/>
      </c>
      <c r="BA327" t="str">
        <f>TRIM(MID(SUBSTITUTE($G327, ",", REPT(" ", 100)), (COLUMNS($AJ$2:BA327)-1)*100+1, 100))</f>
        <v/>
      </c>
      <c r="BB327" t="str">
        <f>TRIM(MID(SUBSTITUTE($G327, ",", REPT(" ", 100)), (COLUMNS($AJ$2:BB327)-1)*100+1, 100))</f>
        <v/>
      </c>
      <c r="BC327" t="str">
        <f>TRIM(MID(SUBSTITUTE($G327, ",", REPT(" ", 100)), (COLUMNS($AJ$2:BC327)-1)*100+1, 100))</f>
        <v/>
      </c>
      <c r="BH327">
        <f t="shared" si="7"/>
        <v>1</v>
      </c>
    </row>
    <row r="328" spans="1:60" x14ac:dyDescent="0.5">
      <c r="A328" s="32" t="s">
        <v>435</v>
      </c>
      <c r="B328" s="257">
        <v>46349</v>
      </c>
      <c r="C328" s="2"/>
      <c r="D328" s="272"/>
      <c r="E328" s="271"/>
      <c r="I328" s="38">
        <v>0</v>
      </c>
      <c r="AL328" t="str">
        <f>TRIM(MID(SUBSTITUTE($G328, ",", REPT(" ", 100)), (COLUMNS($AJ$2:AL328)-1)*100+1, 100))</f>
        <v/>
      </c>
      <c r="AM328" s="1">
        <v>45984</v>
      </c>
      <c r="AN328" s="2">
        <v>8</v>
      </c>
      <c r="AO328" s="2">
        <v>6</v>
      </c>
      <c r="AQ328" t="str">
        <f>TRIM(MID(SUBSTITUTE($G328, ",", REPT(" ", 100)), (COLUMNS($AJ$2:AQ328)-1)*100+1, 100))</f>
        <v/>
      </c>
      <c r="AR328" t="str">
        <f>TRIM(MID(SUBSTITUTE($G328, ",", REPT(" ", 100)), (COLUMNS($AJ$2:AR328)-1)*100+1, 100))</f>
        <v/>
      </c>
      <c r="AS328" t="str">
        <f>TRIM(MID(SUBSTITUTE($G328, ",", REPT(" ", 100)), (COLUMNS($AJ$2:AS328)-1)*100+1, 100))</f>
        <v/>
      </c>
      <c r="AT328" t="str">
        <f>TRIM(MID(SUBSTITUTE($G328, ",", REPT(" ", 100)), (COLUMNS($AJ$2:AT328)-1)*100+1, 100))</f>
        <v/>
      </c>
      <c r="AU328" t="str">
        <f>TRIM(MID(SUBSTITUTE($G328, ",", REPT(" ", 100)), (COLUMNS($AJ$2:AU328)-1)*100+1, 100))</f>
        <v/>
      </c>
      <c r="AV328" t="str">
        <f>TRIM(MID(SUBSTITUTE($G328, ",", REPT(" ", 100)), (COLUMNS($AJ$2:AV328)-1)*100+1, 100))</f>
        <v/>
      </c>
      <c r="AW328" t="str">
        <f>TRIM(MID(SUBSTITUTE($G328, ",", REPT(" ", 100)), (COLUMNS($AJ$2:AW328)-1)*100+1, 100))</f>
        <v/>
      </c>
      <c r="AX328" t="str">
        <f>TRIM(MID(SUBSTITUTE($G328, ",", REPT(" ", 100)), (COLUMNS($AJ$2:AX328)-1)*100+1, 100))</f>
        <v/>
      </c>
      <c r="AY328" t="str">
        <f>TRIM(MID(SUBSTITUTE($G328, ",", REPT(" ", 100)), (COLUMNS($AJ$2:AY328)-1)*100+1, 100))</f>
        <v/>
      </c>
      <c r="AZ328" t="str">
        <f>TRIM(MID(SUBSTITUTE($G328, ",", REPT(" ", 100)), (COLUMNS($AJ$2:AZ328)-1)*100+1, 100))</f>
        <v/>
      </c>
      <c r="BA328" t="str">
        <f>TRIM(MID(SUBSTITUTE($G328, ",", REPT(" ", 100)), (COLUMNS($AJ$2:BA328)-1)*100+1, 100))</f>
        <v/>
      </c>
      <c r="BB328" t="str">
        <f>TRIM(MID(SUBSTITUTE($G328, ",", REPT(" ", 100)), (COLUMNS($AJ$2:BB328)-1)*100+1, 100))</f>
        <v/>
      </c>
      <c r="BC328" t="str">
        <f>TRIM(MID(SUBSTITUTE($G328, ",", REPT(" ", 100)), (COLUMNS($AJ$2:BC328)-1)*100+1, 100))</f>
        <v/>
      </c>
      <c r="BH328">
        <f t="shared" si="7"/>
        <v>1</v>
      </c>
    </row>
    <row r="329" spans="1:60" ht="14.7" thickBot="1" x14ac:dyDescent="0.55000000000000004">
      <c r="A329" s="32" t="s">
        <v>436</v>
      </c>
      <c r="B329" s="258">
        <v>46350</v>
      </c>
      <c r="C329" s="2"/>
      <c r="D329" s="272"/>
      <c r="E329" s="271"/>
      <c r="I329" s="38">
        <v>0</v>
      </c>
      <c r="AL329" t="str">
        <f>TRIM(MID(SUBSTITUTE($G329, ",", REPT(" ", 100)), (COLUMNS($AJ$2:AL329)-1)*100+1, 100))</f>
        <v/>
      </c>
      <c r="AM329" s="1">
        <v>45985</v>
      </c>
      <c r="AN329" s="2">
        <v>7.5</v>
      </c>
      <c r="AO329" s="2">
        <v>8</v>
      </c>
      <c r="AQ329" t="str">
        <f>TRIM(MID(SUBSTITUTE($G329, ",", REPT(" ", 100)), (COLUMNS($AJ$2:AQ329)-1)*100+1, 100))</f>
        <v/>
      </c>
      <c r="AR329" t="str">
        <f>TRIM(MID(SUBSTITUTE($G329, ",", REPT(" ", 100)), (COLUMNS($AJ$2:AR329)-1)*100+1, 100))</f>
        <v/>
      </c>
      <c r="AS329" t="str">
        <f>TRIM(MID(SUBSTITUTE($G329, ",", REPT(" ", 100)), (COLUMNS($AJ$2:AS329)-1)*100+1, 100))</f>
        <v/>
      </c>
      <c r="AT329" t="str">
        <f>TRIM(MID(SUBSTITUTE($G329, ",", REPT(" ", 100)), (COLUMNS($AJ$2:AT329)-1)*100+1, 100))</f>
        <v/>
      </c>
      <c r="AU329" t="str">
        <f>TRIM(MID(SUBSTITUTE($G329, ",", REPT(" ", 100)), (COLUMNS($AJ$2:AU329)-1)*100+1, 100))</f>
        <v/>
      </c>
      <c r="AV329" t="str">
        <f>TRIM(MID(SUBSTITUTE($G329, ",", REPT(" ", 100)), (COLUMNS($AJ$2:AV329)-1)*100+1, 100))</f>
        <v/>
      </c>
      <c r="AW329" t="str">
        <f>TRIM(MID(SUBSTITUTE($G329, ",", REPT(" ", 100)), (COLUMNS($AJ$2:AW329)-1)*100+1, 100))</f>
        <v/>
      </c>
      <c r="AX329" t="str">
        <f>TRIM(MID(SUBSTITUTE($G329, ",", REPT(" ", 100)), (COLUMNS($AJ$2:AX329)-1)*100+1, 100))</f>
        <v/>
      </c>
      <c r="AY329" t="str">
        <f>TRIM(MID(SUBSTITUTE($G329, ",", REPT(" ", 100)), (COLUMNS($AJ$2:AY329)-1)*100+1, 100))</f>
        <v/>
      </c>
      <c r="AZ329" t="str">
        <f>TRIM(MID(SUBSTITUTE($G329, ",", REPT(" ", 100)), (COLUMNS($AJ$2:AZ329)-1)*100+1, 100))</f>
        <v/>
      </c>
      <c r="BA329" t="str">
        <f>TRIM(MID(SUBSTITUTE($G329, ",", REPT(" ", 100)), (COLUMNS($AJ$2:BA329)-1)*100+1, 100))</f>
        <v/>
      </c>
      <c r="BB329" t="str">
        <f>TRIM(MID(SUBSTITUTE($G329, ",", REPT(" ", 100)), (COLUMNS($AJ$2:BB329)-1)*100+1, 100))</f>
        <v/>
      </c>
      <c r="BC329" t="str">
        <f>TRIM(MID(SUBSTITUTE($G329, ",", REPT(" ", 100)), (COLUMNS($AJ$2:BC329)-1)*100+1, 100))</f>
        <v/>
      </c>
      <c r="BH329">
        <f t="shared" si="7"/>
        <v>1</v>
      </c>
    </row>
    <row r="330" spans="1:60" x14ac:dyDescent="0.5">
      <c r="A330" s="32" t="s">
        <v>437</v>
      </c>
      <c r="B330" s="257">
        <v>46351</v>
      </c>
      <c r="C330" s="2"/>
      <c r="D330" s="272"/>
      <c r="E330" s="271"/>
      <c r="I330" s="38">
        <v>0</v>
      </c>
      <c r="AL330" t="str">
        <f>TRIM(MID(SUBSTITUTE($G330, ",", REPT(" ", 100)), (COLUMNS($AJ$2:AL330)-1)*100+1, 100))</f>
        <v/>
      </c>
      <c r="AM330" s="1">
        <v>45986</v>
      </c>
      <c r="AN330" s="2">
        <v>10</v>
      </c>
      <c r="AO330" s="2">
        <v>4</v>
      </c>
      <c r="AQ330" t="str">
        <f>TRIM(MID(SUBSTITUTE($G330, ",", REPT(" ", 100)), (COLUMNS($AJ$2:AQ330)-1)*100+1, 100))</f>
        <v/>
      </c>
      <c r="AR330" t="str">
        <f>TRIM(MID(SUBSTITUTE($G330, ",", REPT(" ", 100)), (COLUMNS($AJ$2:AR330)-1)*100+1, 100))</f>
        <v/>
      </c>
      <c r="AS330" t="str">
        <f>TRIM(MID(SUBSTITUTE($G330, ",", REPT(" ", 100)), (COLUMNS($AJ$2:AS330)-1)*100+1, 100))</f>
        <v/>
      </c>
      <c r="AT330" t="str">
        <f>TRIM(MID(SUBSTITUTE($G330, ",", REPT(" ", 100)), (COLUMNS($AJ$2:AT330)-1)*100+1, 100))</f>
        <v/>
      </c>
      <c r="AU330" t="str">
        <f>TRIM(MID(SUBSTITUTE($G330, ",", REPT(" ", 100)), (COLUMNS($AJ$2:AU330)-1)*100+1, 100))</f>
        <v/>
      </c>
      <c r="AV330" t="str">
        <f>TRIM(MID(SUBSTITUTE($G330, ",", REPT(" ", 100)), (COLUMNS($AJ$2:AV330)-1)*100+1, 100))</f>
        <v/>
      </c>
      <c r="AW330" t="str">
        <f>TRIM(MID(SUBSTITUTE($G330, ",", REPT(" ", 100)), (COLUMNS($AJ$2:AW330)-1)*100+1, 100))</f>
        <v/>
      </c>
      <c r="AX330" t="str">
        <f>TRIM(MID(SUBSTITUTE($G330, ",", REPT(" ", 100)), (COLUMNS($AJ$2:AX330)-1)*100+1, 100))</f>
        <v/>
      </c>
      <c r="AY330" t="str">
        <f>TRIM(MID(SUBSTITUTE($G330, ",", REPT(" ", 100)), (COLUMNS($AJ$2:AY330)-1)*100+1, 100))</f>
        <v/>
      </c>
      <c r="AZ330" t="str">
        <f>TRIM(MID(SUBSTITUTE($G330, ",", REPT(" ", 100)), (COLUMNS($AJ$2:AZ330)-1)*100+1, 100))</f>
        <v/>
      </c>
      <c r="BA330" t="str">
        <f>TRIM(MID(SUBSTITUTE($G330, ",", REPT(" ", 100)), (COLUMNS($AJ$2:BA330)-1)*100+1, 100))</f>
        <v/>
      </c>
      <c r="BB330" t="str">
        <f>TRIM(MID(SUBSTITUTE($G330, ",", REPT(" ", 100)), (COLUMNS($AJ$2:BB330)-1)*100+1, 100))</f>
        <v/>
      </c>
      <c r="BC330" t="str">
        <f>TRIM(MID(SUBSTITUTE($G330, ",", REPT(" ", 100)), (COLUMNS($AJ$2:BC330)-1)*100+1, 100))</f>
        <v/>
      </c>
      <c r="BH330">
        <f t="shared" si="7"/>
        <v>1</v>
      </c>
    </row>
    <row r="331" spans="1:60" ht="14.7" thickBot="1" x14ac:dyDescent="0.55000000000000004">
      <c r="A331" s="32" t="s">
        <v>431</v>
      </c>
      <c r="B331" s="258">
        <v>46352</v>
      </c>
      <c r="C331" s="2"/>
      <c r="D331" s="272"/>
      <c r="E331" s="271"/>
      <c r="I331" s="38">
        <v>0</v>
      </c>
      <c r="AL331" t="str">
        <f>TRIM(MID(SUBSTITUTE($G331, ",", REPT(" ", 100)), (COLUMNS($AJ$2:AL331)-1)*100+1, 100))</f>
        <v/>
      </c>
      <c r="AM331" s="1">
        <v>45987</v>
      </c>
      <c r="AN331" s="2">
        <v>9.9</v>
      </c>
      <c r="AO331" s="2">
        <v>6</v>
      </c>
      <c r="AQ331" t="str">
        <f>TRIM(MID(SUBSTITUTE($G331, ",", REPT(" ", 100)), (COLUMNS($AJ$2:AQ331)-1)*100+1, 100))</f>
        <v/>
      </c>
      <c r="AR331" t="str">
        <f>TRIM(MID(SUBSTITUTE($G331, ",", REPT(" ", 100)), (COLUMNS($AJ$2:AR331)-1)*100+1, 100))</f>
        <v/>
      </c>
      <c r="AS331" t="str">
        <f>TRIM(MID(SUBSTITUTE($G331, ",", REPT(" ", 100)), (COLUMNS($AJ$2:AS331)-1)*100+1, 100))</f>
        <v/>
      </c>
      <c r="AT331" t="str">
        <f>TRIM(MID(SUBSTITUTE($G331, ",", REPT(" ", 100)), (COLUMNS($AJ$2:AT331)-1)*100+1, 100))</f>
        <v/>
      </c>
      <c r="AU331" t="str">
        <f>TRIM(MID(SUBSTITUTE($G331, ",", REPT(" ", 100)), (COLUMNS($AJ$2:AU331)-1)*100+1, 100))</f>
        <v/>
      </c>
      <c r="AV331" t="str">
        <f>TRIM(MID(SUBSTITUTE($G331, ",", REPT(" ", 100)), (COLUMNS($AJ$2:AV331)-1)*100+1, 100))</f>
        <v/>
      </c>
      <c r="AW331" t="str">
        <f>TRIM(MID(SUBSTITUTE($G331, ",", REPT(" ", 100)), (COLUMNS($AJ$2:AW331)-1)*100+1, 100))</f>
        <v/>
      </c>
      <c r="AX331" t="str">
        <f>TRIM(MID(SUBSTITUTE($G331, ",", REPT(" ", 100)), (COLUMNS($AJ$2:AX331)-1)*100+1, 100))</f>
        <v/>
      </c>
      <c r="AY331" t="str">
        <f>TRIM(MID(SUBSTITUTE($G331, ",", REPT(" ", 100)), (COLUMNS($AJ$2:AY331)-1)*100+1, 100))</f>
        <v/>
      </c>
      <c r="AZ331" t="str">
        <f>TRIM(MID(SUBSTITUTE($G331, ",", REPT(" ", 100)), (COLUMNS($AJ$2:AZ331)-1)*100+1, 100))</f>
        <v/>
      </c>
      <c r="BA331" t="str">
        <f>TRIM(MID(SUBSTITUTE($G331, ",", REPT(" ", 100)), (COLUMNS($AJ$2:BA331)-1)*100+1, 100))</f>
        <v/>
      </c>
      <c r="BB331" t="str">
        <f>TRIM(MID(SUBSTITUTE($G331, ",", REPT(" ", 100)), (COLUMNS($AJ$2:BB331)-1)*100+1, 100))</f>
        <v/>
      </c>
      <c r="BC331" t="str">
        <f>TRIM(MID(SUBSTITUTE($G331, ",", REPT(" ", 100)), (COLUMNS($AJ$2:BC331)-1)*100+1, 100))</f>
        <v/>
      </c>
      <c r="BH331">
        <f t="shared" si="7"/>
        <v>1</v>
      </c>
    </row>
    <row r="332" spans="1:60" x14ac:dyDescent="0.5">
      <c r="A332" s="32" t="s">
        <v>432</v>
      </c>
      <c r="B332" s="257">
        <v>46353</v>
      </c>
      <c r="C332" s="2"/>
      <c r="D332" s="272"/>
      <c r="E332" s="271"/>
      <c r="I332" s="38">
        <v>0</v>
      </c>
      <c r="AL332" t="str">
        <f>TRIM(MID(SUBSTITUTE($G332, ",", REPT(" ", 100)), (COLUMNS($AJ$2:AL332)-1)*100+1, 100))</f>
        <v/>
      </c>
      <c r="AM332" s="1">
        <v>45988</v>
      </c>
      <c r="AN332" s="2">
        <v>4.7</v>
      </c>
      <c r="AO332" s="2">
        <v>6</v>
      </c>
      <c r="AQ332" t="str">
        <f>TRIM(MID(SUBSTITUTE($G332, ",", REPT(" ", 100)), (COLUMNS($AJ$2:AQ332)-1)*100+1, 100))</f>
        <v/>
      </c>
      <c r="AR332" t="str">
        <f>TRIM(MID(SUBSTITUTE($G332, ",", REPT(" ", 100)), (COLUMNS($AJ$2:AR332)-1)*100+1, 100))</f>
        <v/>
      </c>
      <c r="AS332" t="str">
        <f>TRIM(MID(SUBSTITUTE($G332, ",", REPT(" ", 100)), (COLUMNS($AJ$2:AS332)-1)*100+1, 100))</f>
        <v/>
      </c>
      <c r="AT332" t="str">
        <f>TRIM(MID(SUBSTITUTE($G332, ",", REPT(" ", 100)), (COLUMNS($AJ$2:AT332)-1)*100+1, 100))</f>
        <v/>
      </c>
      <c r="AU332" t="str">
        <f>TRIM(MID(SUBSTITUTE($G332, ",", REPT(" ", 100)), (COLUMNS($AJ$2:AU332)-1)*100+1, 100))</f>
        <v/>
      </c>
      <c r="AV332" t="str">
        <f>TRIM(MID(SUBSTITUTE($G332, ",", REPT(" ", 100)), (COLUMNS($AJ$2:AV332)-1)*100+1, 100))</f>
        <v/>
      </c>
      <c r="AW332" t="str">
        <f>TRIM(MID(SUBSTITUTE($G332, ",", REPT(" ", 100)), (COLUMNS($AJ$2:AW332)-1)*100+1, 100))</f>
        <v/>
      </c>
      <c r="AX332" t="str">
        <f>TRIM(MID(SUBSTITUTE($G332, ",", REPT(" ", 100)), (COLUMNS($AJ$2:AX332)-1)*100+1, 100))</f>
        <v/>
      </c>
      <c r="AY332" t="str">
        <f>TRIM(MID(SUBSTITUTE($G332, ",", REPT(" ", 100)), (COLUMNS($AJ$2:AY332)-1)*100+1, 100))</f>
        <v/>
      </c>
      <c r="AZ332" t="str">
        <f>TRIM(MID(SUBSTITUTE($G332, ",", REPT(" ", 100)), (COLUMNS($AJ$2:AZ332)-1)*100+1, 100))</f>
        <v/>
      </c>
      <c r="BA332" t="str">
        <f>TRIM(MID(SUBSTITUTE($G332, ",", REPT(" ", 100)), (COLUMNS($AJ$2:BA332)-1)*100+1, 100))</f>
        <v/>
      </c>
      <c r="BB332" t="str">
        <f>TRIM(MID(SUBSTITUTE($G332, ",", REPT(" ", 100)), (COLUMNS($AJ$2:BB332)-1)*100+1, 100))</f>
        <v/>
      </c>
      <c r="BC332" t="str">
        <f>TRIM(MID(SUBSTITUTE($G332, ",", REPT(" ", 100)), (COLUMNS($AJ$2:BC332)-1)*100+1, 100))</f>
        <v/>
      </c>
      <c r="BH332">
        <f t="shared" si="7"/>
        <v>1</v>
      </c>
    </row>
    <row r="333" spans="1:60" ht="14.7" thickBot="1" x14ac:dyDescent="0.55000000000000004">
      <c r="A333" s="32" t="s">
        <v>433</v>
      </c>
      <c r="B333" s="258">
        <v>46354</v>
      </c>
      <c r="C333" s="2"/>
      <c r="D333" s="272"/>
      <c r="E333" s="271"/>
      <c r="I333" s="38">
        <v>0</v>
      </c>
      <c r="AL333" t="str">
        <f>TRIM(MID(SUBSTITUTE($G333, ",", REPT(" ", 100)), (COLUMNS($AJ$2:AL333)-1)*100+1, 100))</f>
        <v/>
      </c>
      <c r="AM333" s="1">
        <v>45989</v>
      </c>
      <c r="AN333" s="2">
        <v>5.3</v>
      </c>
      <c r="AO333" s="2">
        <v>2</v>
      </c>
      <c r="AQ333" t="str">
        <f>TRIM(MID(SUBSTITUTE($G333, ",", REPT(" ", 100)), (COLUMNS($AJ$2:AQ333)-1)*100+1, 100))</f>
        <v/>
      </c>
      <c r="AR333" t="str">
        <f>TRIM(MID(SUBSTITUTE($G333, ",", REPT(" ", 100)), (COLUMNS($AJ$2:AR333)-1)*100+1, 100))</f>
        <v/>
      </c>
      <c r="AS333" t="str">
        <f>TRIM(MID(SUBSTITUTE($G333, ",", REPT(" ", 100)), (COLUMNS($AJ$2:AS333)-1)*100+1, 100))</f>
        <v/>
      </c>
      <c r="AT333" t="str">
        <f>TRIM(MID(SUBSTITUTE($G333, ",", REPT(" ", 100)), (COLUMNS($AJ$2:AT333)-1)*100+1, 100))</f>
        <v/>
      </c>
      <c r="AU333" t="str">
        <f>TRIM(MID(SUBSTITUTE($G333, ",", REPT(" ", 100)), (COLUMNS($AJ$2:AU333)-1)*100+1, 100))</f>
        <v/>
      </c>
      <c r="AV333" t="str">
        <f>TRIM(MID(SUBSTITUTE($G333, ",", REPT(" ", 100)), (COLUMNS($AJ$2:AV333)-1)*100+1, 100))</f>
        <v/>
      </c>
      <c r="AW333" t="str">
        <f>TRIM(MID(SUBSTITUTE($G333, ",", REPT(" ", 100)), (COLUMNS($AJ$2:AW333)-1)*100+1, 100))</f>
        <v/>
      </c>
      <c r="AX333" t="str">
        <f>TRIM(MID(SUBSTITUTE($G333, ",", REPT(" ", 100)), (COLUMNS($AJ$2:AX333)-1)*100+1, 100))</f>
        <v/>
      </c>
      <c r="AY333" t="str">
        <f>TRIM(MID(SUBSTITUTE($G333, ",", REPT(" ", 100)), (COLUMNS($AJ$2:AY333)-1)*100+1, 100))</f>
        <v/>
      </c>
      <c r="AZ333" t="str">
        <f>TRIM(MID(SUBSTITUTE($G333, ",", REPT(" ", 100)), (COLUMNS($AJ$2:AZ333)-1)*100+1, 100))</f>
        <v/>
      </c>
      <c r="BA333" t="str">
        <f>TRIM(MID(SUBSTITUTE($G333, ",", REPT(" ", 100)), (COLUMNS($AJ$2:BA333)-1)*100+1, 100))</f>
        <v/>
      </c>
      <c r="BB333" t="str">
        <f>TRIM(MID(SUBSTITUTE($G333, ",", REPT(" ", 100)), (COLUMNS($AJ$2:BB333)-1)*100+1, 100))</f>
        <v/>
      </c>
      <c r="BC333" t="str">
        <f>TRIM(MID(SUBSTITUTE($G333, ",", REPT(" ", 100)), (COLUMNS($AJ$2:BC333)-1)*100+1, 100))</f>
        <v/>
      </c>
      <c r="BH333">
        <f t="shared" si="7"/>
        <v>1</v>
      </c>
    </row>
    <row r="334" spans="1:60" x14ac:dyDescent="0.5">
      <c r="A334" s="32" t="s">
        <v>434</v>
      </c>
      <c r="B334" s="257">
        <v>46355</v>
      </c>
      <c r="C334" s="2"/>
      <c r="D334" s="272"/>
      <c r="E334" s="271"/>
      <c r="I334" s="38">
        <v>0</v>
      </c>
      <c r="AL334" t="str">
        <f>TRIM(MID(SUBSTITUTE($G334, ",", REPT(" ", 100)), (COLUMNS($AJ$2:AL334)-1)*100+1, 100))</f>
        <v/>
      </c>
      <c r="AM334" s="1">
        <v>45990</v>
      </c>
      <c r="AN334" s="2"/>
      <c r="AO334" s="2">
        <v>6</v>
      </c>
      <c r="AQ334" t="str">
        <f>TRIM(MID(SUBSTITUTE($G334, ",", REPT(" ", 100)), (COLUMNS($AJ$2:AQ334)-1)*100+1, 100))</f>
        <v/>
      </c>
      <c r="AR334" t="str">
        <f>TRIM(MID(SUBSTITUTE($G334, ",", REPT(" ", 100)), (COLUMNS($AJ$2:AR334)-1)*100+1, 100))</f>
        <v/>
      </c>
      <c r="AS334" t="str">
        <f>TRIM(MID(SUBSTITUTE($G334, ",", REPT(" ", 100)), (COLUMNS($AJ$2:AS334)-1)*100+1, 100))</f>
        <v/>
      </c>
      <c r="AT334" t="str">
        <f>TRIM(MID(SUBSTITUTE($G334, ",", REPT(" ", 100)), (COLUMNS($AJ$2:AT334)-1)*100+1, 100))</f>
        <v/>
      </c>
      <c r="AU334" t="str">
        <f>TRIM(MID(SUBSTITUTE($G334, ",", REPT(" ", 100)), (COLUMNS($AJ$2:AU334)-1)*100+1, 100))</f>
        <v/>
      </c>
      <c r="AV334" t="str">
        <f>TRIM(MID(SUBSTITUTE($G334, ",", REPT(" ", 100)), (COLUMNS($AJ$2:AV334)-1)*100+1, 100))</f>
        <v/>
      </c>
      <c r="AW334" t="str">
        <f>TRIM(MID(SUBSTITUTE($G334, ",", REPT(" ", 100)), (COLUMNS($AJ$2:AW334)-1)*100+1, 100))</f>
        <v/>
      </c>
      <c r="AX334" t="str">
        <f>TRIM(MID(SUBSTITUTE($G334, ",", REPT(" ", 100)), (COLUMNS($AJ$2:AX334)-1)*100+1, 100))</f>
        <v/>
      </c>
      <c r="AY334" t="str">
        <f>TRIM(MID(SUBSTITUTE($G334, ",", REPT(" ", 100)), (COLUMNS($AJ$2:AY334)-1)*100+1, 100))</f>
        <v/>
      </c>
      <c r="AZ334" t="str">
        <f>TRIM(MID(SUBSTITUTE($G334, ",", REPT(" ", 100)), (COLUMNS($AJ$2:AZ334)-1)*100+1, 100))</f>
        <v/>
      </c>
      <c r="BA334" t="str">
        <f>TRIM(MID(SUBSTITUTE($G334, ",", REPT(" ", 100)), (COLUMNS($AJ$2:BA334)-1)*100+1, 100))</f>
        <v/>
      </c>
      <c r="BB334" t="str">
        <f>TRIM(MID(SUBSTITUTE($G334, ",", REPT(" ", 100)), (COLUMNS($AJ$2:BB334)-1)*100+1, 100))</f>
        <v/>
      </c>
      <c r="BC334" t="str">
        <f>TRIM(MID(SUBSTITUTE($G334, ",", REPT(" ", 100)), (COLUMNS($AJ$2:BC334)-1)*100+1, 100))</f>
        <v/>
      </c>
      <c r="BH334">
        <f t="shared" si="7"/>
        <v>1</v>
      </c>
    </row>
    <row r="335" spans="1:60" ht="14.7" thickBot="1" x14ac:dyDescent="0.55000000000000004">
      <c r="A335" s="32" t="s">
        <v>435</v>
      </c>
      <c r="B335" s="258">
        <v>46356</v>
      </c>
      <c r="C335" s="2"/>
      <c r="D335" s="272"/>
      <c r="E335" s="271"/>
      <c r="I335" s="38">
        <v>0</v>
      </c>
      <c r="AL335" t="str">
        <f>TRIM(MID(SUBSTITUTE($G335, ",", REPT(" ", 100)), (COLUMNS($AJ$2:AL335)-1)*100+1, 100))</f>
        <v/>
      </c>
      <c r="AM335" s="1">
        <v>45991</v>
      </c>
      <c r="AN335" s="2"/>
      <c r="AO335" s="2">
        <v>6</v>
      </c>
      <c r="AQ335" t="str">
        <f>TRIM(MID(SUBSTITUTE($G335, ",", REPT(" ", 100)), (COLUMNS($AJ$2:AQ335)-1)*100+1, 100))</f>
        <v/>
      </c>
      <c r="AR335" t="str">
        <f>TRIM(MID(SUBSTITUTE($G335, ",", REPT(" ", 100)), (COLUMNS($AJ$2:AR335)-1)*100+1, 100))</f>
        <v/>
      </c>
      <c r="AS335" t="str">
        <f>TRIM(MID(SUBSTITUTE($G335, ",", REPT(" ", 100)), (COLUMNS($AJ$2:AS335)-1)*100+1, 100))</f>
        <v/>
      </c>
      <c r="AT335" t="str">
        <f>TRIM(MID(SUBSTITUTE($G335, ",", REPT(" ", 100)), (COLUMNS($AJ$2:AT335)-1)*100+1, 100))</f>
        <v/>
      </c>
      <c r="AU335" t="str">
        <f>TRIM(MID(SUBSTITUTE($G335, ",", REPT(" ", 100)), (COLUMNS($AJ$2:AU335)-1)*100+1, 100))</f>
        <v/>
      </c>
      <c r="AV335" t="str">
        <f>TRIM(MID(SUBSTITUTE($G335, ",", REPT(" ", 100)), (COLUMNS($AJ$2:AV335)-1)*100+1, 100))</f>
        <v/>
      </c>
      <c r="AW335" t="str">
        <f>TRIM(MID(SUBSTITUTE($G335, ",", REPT(" ", 100)), (COLUMNS($AJ$2:AW335)-1)*100+1, 100))</f>
        <v/>
      </c>
      <c r="AX335" t="str">
        <f>TRIM(MID(SUBSTITUTE($G335, ",", REPT(" ", 100)), (COLUMNS($AJ$2:AX335)-1)*100+1, 100))</f>
        <v/>
      </c>
      <c r="AY335" t="str">
        <f>TRIM(MID(SUBSTITUTE($G335, ",", REPT(" ", 100)), (COLUMNS($AJ$2:AY335)-1)*100+1, 100))</f>
        <v/>
      </c>
      <c r="AZ335" t="str">
        <f>TRIM(MID(SUBSTITUTE($G335, ",", REPT(" ", 100)), (COLUMNS($AJ$2:AZ335)-1)*100+1, 100))</f>
        <v/>
      </c>
      <c r="BA335" t="str">
        <f>TRIM(MID(SUBSTITUTE($G335, ",", REPT(" ", 100)), (COLUMNS($AJ$2:BA335)-1)*100+1, 100))</f>
        <v/>
      </c>
      <c r="BB335" t="str">
        <f>TRIM(MID(SUBSTITUTE($G335, ",", REPT(" ", 100)), (COLUMNS($AJ$2:BB335)-1)*100+1, 100))</f>
        <v/>
      </c>
      <c r="BC335" t="str">
        <f>TRIM(MID(SUBSTITUTE($G335, ",", REPT(" ", 100)), (COLUMNS($AJ$2:BC335)-1)*100+1, 100))</f>
        <v/>
      </c>
      <c r="BH335">
        <f t="shared" si="7"/>
        <v>1</v>
      </c>
    </row>
    <row r="336" spans="1:60" x14ac:dyDescent="0.5">
      <c r="A336" s="32" t="s">
        <v>436</v>
      </c>
      <c r="B336" s="257">
        <v>46357</v>
      </c>
      <c r="C336" s="2"/>
      <c r="D336" s="272"/>
      <c r="E336" s="271"/>
      <c r="I336" s="38">
        <v>0</v>
      </c>
      <c r="AL336" t="str">
        <f>TRIM(MID(SUBSTITUTE($G336, ",", REPT(" ", 100)), (COLUMNS($AJ$2:AL336)-1)*100+1, 100))</f>
        <v/>
      </c>
      <c r="AM336" s="1">
        <v>45992</v>
      </c>
      <c r="AN336" s="2"/>
      <c r="AO336" s="2">
        <v>6</v>
      </c>
      <c r="AQ336" t="str">
        <f>TRIM(MID(SUBSTITUTE($G336, ",", REPT(" ", 100)), (COLUMNS($AJ$2:AQ336)-1)*100+1, 100))</f>
        <v/>
      </c>
      <c r="AR336" t="str">
        <f>TRIM(MID(SUBSTITUTE($G336, ",", REPT(" ", 100)), (COLUMNS($AJ$2:AR336)-1)*100+1, 100))</f>
        <v/>
      </c>
      <c r="AS336" t="str">
        <f>TRIM(MID(SUBSTITUTE($G336, ",", REPT(" ", 100)), (COLUMNS($AJ$2:AS336)-1)*100+1, 100))</f>
        <v/>
      </c>
      <c r="AT336" t="str">
        <f>TRIM(MID(SUBSTITUTE($G336, ",", REPT(" ", 100)), (COLUMNS($AJ$2:AT336)-1)*100+1, 100))</f>
        <v/>
      </c>
      <c r="AU336" t="str">
        <f>TRIM(MID(SUBSTITUTE($G336, ",", REPT(" ", 100)), (COLUMNS($AJ$2:AU336)-1)*100+1, 100))</f>
        <v/>
      </c>
      <c r="AV336" t="str">
        <f>TRIM(MID(SUBSTITUTE($G336, ",", REPT(" ", 100)), (COLUMNS($AJ$2:AV336)-1)*100+1, 100))</f>
        <v/>
      </c>
      <c r="AW336" t="str">
        <f>TRIM(MID(SUBSTITUTE($G336, ",", REPT(" ", 100)), (COLUMNS($AJ$2:AW336)-1)*100+1, 100))</f>
        <v/>
      </c>
      <c r="AX336" t="str">
        <f>TRIM(MID(SUBSTITUTE($G336, ",", REPT(" ", 100)), (COLUMNS($AJ$2:AX336)-1)*100+1, 100))</f>
        <v/>
      </c>
      <c r="AY336" t="str">
        <f>TRIM(MID(SUBSTITUTE($G336, ",", REPT(" ", 100)), (COLUMNS($AJ$2:AY336)-1)*100+1, 100))</f>
        <v/>
      </c>
      <c r="AZ336" t="str">
        <f>TRIM(MID(SUBSTITUTE($G336, ",", REPT(" ", 100)), (COLUMNS($AJ$2:AZ336)-1)*100+1, 100))</f>
        <v/>
      </c>
      <c r="BA336" t="str">
        <f>TRIM(MID(SUBSTITUTE($G336, ",", REPT(" ", 100)), (COLUMNS($AJ$2:BA336)-1)*100+1, 100))</f>
        <v/>
      </c>
      <c r="BB336" t="str">
        <f>TRIM(MID(SUBSTITUTE($G336, ",", REPT(" ", 100)), (COLUMNS($AJ$2:BB336)-1)*100+1, 100))</f>
        <v/>
      </c>
      <c r="BC336" t="str">
        <f>TRIM(MID(SUBSTITUTE($G336, ",", REPT(" ", 100)), (COLUMNS($AJ$2:BC336)-1)*100+1, 100))</f>
        <v/>
      </c>
      <c r="BH336">
        <f t="shared" si="7"/>
        <v>1</v>
      </c>
    </row>
    <row r="337" spans="1:60" ht="14.7" thickBot="1" x14ac:dyDescent="0.55000000000000004">
      <c r="A337" s="32" t="s">
        <v>437</v>
      </c>
      <c r="B337" s="258">
        <v>46358</v>
      </c>
      <c r="C337" s="2"/>
      <c r="D337" s="272"/>
      <c r="E337" s="271"/>
      <c r="I337" s="38">
        <v>0</v>
      </c>
      <c r="AL337" t="str">
        <f>TRIM(MID(SUBSTITUTE($G337, ",", REPT(" ", 100)), (COLUMNS($AJ$2:AL337)-1)*100+1, 100))</f>
        <v/>
      </c>
      <c r="AM337" s="1">
        <v>45993</v>
      </c>
      <c r="AN337" s="2"/>
      <c r="AO337" s="2">
        <v>4</v>
      </c>
      <c r="AQ337" t="str">
        <f>TRIM(MID(SUBSTITUTE($G337, ",", REPT(" ", 100)), (COLUMNS($AJ$2:AQ337)-1)*100+1, 100))</f>
        <v/>
      </c>
      <c r="AR337" t="str">
        <f>TRIM(MID(SUBSTITUTE($G337, ",", REPT(" ", 100)), (COLUMNS($AJ$2:AR337)-1)*100+1, 100))</f>
        <v/>
      </c>
      <c r="AS337" t="str">
        <f>TRIM(MID(SUBSTITUTE($G337, ",", REPT(" ", 100)), (COLUMNS($AJ$2:AS337)-1)*100+1, 100))</f>
        <v/>
      </c>
      <c r="AT337" t="str">
        <f>TRIM(MID(SUBSTITUTE($G337, ",", REPT(" ", 100)), (COLUMNS($AJ$2:AT337)-1)*100+1, 100))</f>
        <v/>
      </c>
      <c r="AU337" t="str">
        <f>TRIM(MID(SUBSTITUTE($G337, ",", REPT(" ", 100)), (COLUMNS($AJ$2:AU337)-1)*100+1, 100))</f>
        <v/>
      </c>
      <c r="AV337" t="str">
        <f>TRIM(MID(SUBSTITUTE($G337, ",", REPT(" ", 100)), (COLUMNS($AJ$2:AV337)-1)*100+1, 100))</f>
        <v/>
      </c>
      <c r="AW337" t="str">
        <f>TRIM(MID(SUBSTITUTE($G337, ",", REPT(" ", 100)), (COLUMNS($AJ$2:AW337)-1)*100+1, 100))</f>
        <v/>
      </c>
      <c r="AX337" t="str">
        <f>TRIM(MID(SUBSTITUTE($G337, ",", REPT(" ", 100)), (COLUMNS($AJ$2:AX337)-1)*100+1, 100))</f>
        <v/>
      </c>
      <c r="AY337" t="str">
        <f>TRIM(MID(SUBSTITUTE($G337, ",", REPT(" ", 100)), (COLUMNS($AJ$2:AY337)-1)*100+1, 100))</f>
        <v/>
      </c>
      <c r="AZ337" t="str">
        <f>TRIM(MID(SUBSTITUTE($G337, ",", REPT(" ", 100)), (COLUMNS($AJ$2:AZ337)-1)*100+1, 100))</f>
        <v/>
      </c>
      <c r="BA337" t="str">
        <f>TRIM(MID(SUBSTITUTE($G337, ",", REPT(" ", 100)), (COLUMNS($AJ$2:BA337)-1)*100+1, 100))</f>
        <v/>
      </c>
      <c r="BB337" t="str">
        <f>TRIM(MID(SUBSTITUTE($G337, ",", REPT(" ", 100)), (COLUMNS($AJ$2:BB337)-1)*100+1, 100))</f>
        <v/>
      </c>
      <c r="BC337" t="str">
        <f>TRIM(MID(SUBSTITUTE($G337, ",", REPT(" ", 100)), (COLUMNS($AJ$2:BC337)-1)*100+1, 100))</f>
        <v/>
      </c>
      <c r="BH337">
        <f t="shared" si="7"/>
        <v>1</v>
      </c>
    </row>
    <row r="338" spans="1:60" x14ac:dyDescent="0.5">
      <c r="A338" s="32" t="s">
        <v>431</v>
      </c>
      <c r="B338" s="257">
        <v>46359</v>
      </c>
      <c r="C338" s="2"/>
      <c r="D338" s="272"/>
      <c r="E338" s="271"/>
      <c r="I338" s="38">
        <v>0</v>
      </c>
      <c r="AL338" t="str">
        <f>TRIM(MID(SUBSTITUTE($G338, ",", REPT(" ", 100)), (COLUMNS($AJ$2:AL338)-1)*100+1, 100))</f>
        <v/>
      </c>
      <c r="AM338" s="1">
        <v>45994</v>
      </c>
      <c r="AN338" s="2"/>
      <c r="AO338" s="2">
        <v>4</v>
      </c>
      <c r="AQ338" t="str">
        <f>TRIM(MID(SUBSTITUTE($G338, ",", REPT(" ", 100)), (COLUMNS($AJ$2:AQ338)-1)*100+1, 100))</f>
        <v/>
      </c>
      <c r="AR338" t="str">
        <f>TRIM(MID(SUBSTITUTE($G338, ",", REPT(" ", 100)), (COLUMNS($AJ$2:AR338)-1)*100+1, 100))</f>
        <v/>
      </c>
      <c r="AS338" t="str">
        <f>TRIM(MID(SUBSTITUTE($G338, ",", REPT(" ", 100)), (COLUMNS($AJ$2:AS338)-1)*100+1, 100))</f>
        <v/>
      </c>
      <c r="AT338" t="str">
        <f>TRIM(MID(SUBSTITUTE($G338, ",", REPT(" ", 100)), (COLUMNS($AJ$2:AT338)-1)*100+1, 100))</f>
        <v/>
      </c>
      <c r="AU338" t="str">
        <f>TRIM(MID(SUBSTITUTE($G338, ",", REPT(" ", 100)), (COLUMNS($AJ$2:AU338)-1)*100+1, 100))</f>
        <v/>
      </c>
      <c r="AV338" t="str">
        <f>TRIM(MID(SUBSTITUTE($G338, ",", REPT(" ", 100)), (COLUMNS($AJ$2:AV338)-1)*100+1, 100))</f>
        <v/>
      </c>
      <c r="AW338" t="str">
        <f>TRIM(MID(SUBSTITUTE($G338, ",", REPT(" ", 100)), (COLUMNS($AJ$2:AW338)-1)*100+1, 100))</f>
        <v/>
      </c>
      <c r="AX338" t="str">
        <f>TRIM(MID(SUBSTITUTE($G338, ",", REPT(" ", 100)), (COLUMNS($AJ$2:AX338)-1)*100+1, 100))</f>
        <v/>
      </c>
      <c r="AY338" t="str">
        <f>TRIM(MID(SUBSTITUTE($G338, ",", REPT(" ", 100)), (COLUMNS($AJ$2:AY338)-1)*100+1, 100))</f>
        <v/>
      </c>
      <c r="AZ338" t="str">
        <f>TRIM(MID(SUBSTITUTE($G338, ",", REPT(" ", 100)), (COLUMNS($AJ$2:AZ338)-1)*100+1, 100))</f>
        <v/>
      </c>
      <c r="BA338" t="str">
        <f>TRIM(MID(SUBSTITUTE($G338, ",", REPT(" ", 100)), (COLUMNS($AJ$2:BA338)-1)*100+1, 100))</f>
        <v/>
      </c>
      <c r="BB338" t="str">
        <f>TRIM(MID(SUBSTITUTE($G338, ",", REPT(" ", 100)), (COLUMNS($AJ$2:BB338)-1)*100+1, 100))</f>
        <v/>
      </c>
      <c r="BC338" t="str">
        <f>TRIM(MID(SUBSTITUTE($G338, ",", REPT(" ", 100)), (COLUMNS($AJ$2:BC338)-1)*100+1, 100))</f>
        <v/>
      </c>
      <c r="BH338">
        <f t="shared" si="7"/>
        <v>1</v>
      </c>
    </row>
    <row r="339" spans="1:60" ht="14.7" thickBot="1" x14ac:dyDescent="0.55000000000000004">
      <c r="A339" s="32" t="s">
        <v>432</v>
      </c>
      <c r="B339" s="258">
        <v>46360</v>
      </c>
      <c r="C339" s="2"/>
      <c r="D339" s="272"/>
      <c r="E339" s="271"/>
      <c r="I339" s="38">
        <v>0</v>
      </c>
      <c r="AL339" t="str">
        <f>TRIM(MID(SUBSTITUTE($G339, ",", REPT(" ", 100)), (COLUMNS($AJ$2:AL339)-1)*100+1, 100))</f>
        <v/>
      </c>
      <c r="AM339" s="1">
        <v>45995</v>
      </c>
      <c r="AN339" s="2"/>
      <c r="AO339" s="2">
        <v>6</v>
      </c>
      <c r="AQ339" t="str">
        <f>TRIM(MID(SUBSTITUTE($G339, ",", REPT(" ", 100)), (COLUMNS($AJ$2:AQ339)-1)*100+1, 100))</f>
        <v/>
      </c>
      <c r="AR339" t="str">
        <f>TRIM(MID(SUBSTITUTE($G339, ",", REPT(" ", 100)), (COLUMNS($AJ$2:AR339)-1)*100+1, 100))</f>
        <v/>
      </c>
      <c r="AS339" t="str">
        <f>TRIM(MID(SUBSTITUTE($G339, ",", REPT(" ", 100)), (COLUMNS($AJ$2:AS339)-1)*100+1, 100))</f>
        <v/>
      </c>
      <c r="AT339" t="str">
        <f>TRIM(MID(SUBSTITUTE($G339, ",", REPT(" ", 100)), (COLUMNS($AJ$2:AT339)-1)*100+1, 100))</f>
        <v/>
      </c>
      <c r="AU339" t="str">
        <f>TRIM(MID(SUBSTITUTE($G339, ",", REPT(" ", 100)), (COLUMNS($AJ$2:AU339)-1)*100+1, 100))</f>
        <v/>
      </c>
      <c r="AV339" t="str">
        <f>TRIM(MID(SUBSTITUTE($G339, ",", REPT(" ", 100)), (COLUMNS($AJ$2:AV339)-1)*100+1, 100))</f>
        <v/>
      </c>
      <c r="AW339" t="str">
        <f>TRIM(MID(SUBSTITUTE($G339, ",", REPT(" ", 100)), (COLUMNS($AJ$2:AW339)-1)*100+1, 100))</f>
        <v/>
      </c>
      <c r="AX339" t="str">
        <f>TRIM(MID(SUBSTITUTE($G339, ",", REPT(" ", 100)), (COLUMNS($AJ$2:AX339)-1)*100+1, 100))</f>
        <v/>
      </c>
      <c r="AY339" t="str">
        <f>TRIM(MID(SUBSTITUTE($G339, ",", REPT(" ", 100)), (COLUMNS($AJ$2:AY339)-1)*100+1, 100))</f>
        <v/>
      </c>
      <c r="AZ339" t="str">
        <f>TRIM(MID(SUBSTITUTE($G339, ",", REPT(" ", 100)), (COLUMNS($AJ$2:AZ339)-1)*100+1, 100))</f>
        <v/>
      </c>
      <c r="BA339" t="str">
        <f>TRIM(MID(SUBSTITUTE($G339, ",", REPT(" ", 100)), (COLUMNS($AJ$2:BA339)-1)*100+1, 100))</f>
        <v/>
      </c>
      <c r="BB339" t="str">
        <f>TRIM(MID(SUBSTITUTE($G339, ",", REPT(" ", 100)), (COLUMNS($AJ$2:BB339)-1)*100+1, 100))</f>
        <v/>
      </c>
      <c r="BC339" t="str">
        <f>TRIM(MID(SUBSTITUTE($G339, ",", REPT(" ", 100)), (COLUMNS($AJ$2:BC339)-1)*100+1, 100))</f>
        <v/>
      </c>
      <c r="BH339">
        <f t="shared" si="7"/>
        <v>1</v>
      </c>
    </row>
    <row r="340" spans="1:60" x14ac:dyDescent="0.5">
      <c r="A340" s="32" t="s">
        <v>433</v>
      </c>
      <c r="B340" s="257">
        <v>46361</v>
      </c>
      <c r="C340" s="2"/>
      <c r="D340" s="272"/>
      <c r="E340" s="271"/>
      <c r="I340" s="38">
        <v>0</v>
      </c>
      <c r="AL340" t="str">
        <f>TRIM(MID(SUBSTITUTE($G340, ",", REPT(" ", 100)), (COLUMNS($AJ$2:AL340)-1)*100+1, 100))</f>
        <v/>
      </c>
      <c r="AM340" s="1">
        <v>45996</v>
      </c>
      <c r="AN340" s="2"/>
      <c r="AO340" s="2">
        <v>6</v>
      </c>
      <c r="AQ340" t="str">
        <f>TRIM(MID(SUBSTITUTE($G340, ",", REPT(" ", 100)), (COLUMNS($AJ$2:AQ340)-1)*100+1, 100))</f>
        <v/>
      </c>
      <c r="AR340" t="str">
        <f>TRIM(MID(SUBSTITUTE($G340, ",", REPT(" ", 100)), (COLUMNS($AJ$2:AR340)-1)*100+1, 100))</f>
        <v/>
      </c>
      <c r="AS340" t="str">
        <f>TRIM(MID(SUBSTITUTE($G340, ",", REPT(" ", 100)), (COLUMNS($AJ$2:AS340)-1)*100+1, 100))</f>
        <v/>
      </c>
      <c r="AT340" t="str">
        <f>TRIM(MID(SUBSTITUTE($G340, ",", REPT(" ", 100)), (COLUMNS($AJ$2:AT340)-1)*100+1, 100))</f>
        <v/>
      </c>
      <c r="AU340" t="str">
        <f>TRIM(MID(SUBSTITUTE($G340, ",", REPT(" ", 100)), (COLUMNS($AJ$2:AU340)-1)*100+1, 100))</f>
        <v/>
      </c>
      <c r="AV340" t="str">
        <f>TRIM(MID(SUBSTITUTE($G340, ",", REPT(" ", 100)), (COLUMNS($AJ$2:AV340)-1)*100+1, 100))</f>
        <v/>
      </c>
      <c r="AW340" t="str">
        <f>TRIM(MID(SUBSTITUTE($G340, ",", REPT(" ", 100)), (COLUMNS($AJ$2:AW340)-1)*100+1, 100))</f>
        <v/>
      </c>
      <c r="AX340" t="str">
        <f>TRIM(MID(SUBSTITUTE($G340, ",", REPT(" ", 100)), (COLUMNS($AJ$2:AX340)-1)*100+1, 100))</f>
        <v/>
      </c>
      <c r="AY340" t="str">
        <f>TRIM(MID(SUBSTITUTE($G340, ",", REPT(" ", 100)), (COLUMNS($AJ$2:AY340)-1)*100+1, 100))</f>
        <v/>
      </c>
      <c r="AZ340" t="str">
        <f>TRIM(MID(SUBSTITUTE($G340, ",", REPT(" ", 100)), (COLUMNS($AJ$2:AZ340)-1)*100+1, 100))</f>
        <v/>
      </c>
      <c r="BA340" t="str">
        <f>TRIM(MID(SUBSTITUTE($G340, ",", REPT(" ", 100)), (COLUMNS($AJ$2:BA340)-1)*100+1, 100))</f>
        <v/>
      </c>
      <c r="BB340" t="str">
        <f>TRIM(MID(SUBSTITUTE($G340, ",", REPT(" ", 100)), (COLUMNS($AJ$2:BB340)-1)*100+1, 100))</f>
        <v/>
      </c>
      <c r="BC340" t="str">
        <f>TRIM(MID(SUBSTITUTE($G340, ",", REPT(" ", 100)), (COLUMNS($AJ$2:BC340)-1)*100+1, 100))</f>
        <v/>
      </c>
      <c r="BH340">
        <f t="shared" si="7"/>
        <v>1</v>
      </c>
    </row>
    <row r="341" spans="1:60" ht="14.7" thickBot="1" x14ac:dyDescent="0.55000000000000004">
      <c r="A341" s="32" t="s">
        <v>434</v>
      </c>
      <c r="B341" s="258">
        <v>46362</v>
      </c>
      <c r="C341" s="2"/>
      <c r="D341" s="272"/>
      <c r="E341" s="271"/>
      <c r="I341" s="38">
        <v>0</v>
      </c>
      <c r="AL341" t="str">
        <f>TRIM(MID(SUBSTITUTE($G341, ",", REPT(" ", 100)), (COLUMNS($AJ$2:AL341)-1)*100+1, 100))</f>
        <v/>
      </c>
      <c r="AM341" s="1">
        <v>45997</v>
      </c>
      <c r="AN341" s="2"/>
      <c r="AO341" s="2">
        <v>6</v>
      </c>
      <c r="AQ341" t="str">
        <f>TRIM(MID(SUBSTITUTE($G341, ",", REPT(" ", 100)), (COLUMNS($AJ$2:AQ341)-1)*100+1, 100))</f>
        <v/>
      </c>
      <c r="AR341" t="str">
        <f>TRIM(MID(SUBSTITUTE($G341, ",", REPT(" ", 100)), (COLUMNS($AJ$2:AR341)-1)*100+1, 100))</f>
        <v/>
      </c>
      <c r="AS341" t="str">
        <f>TRIM(MID(SUBSTITUTE($G341, ",", REPT(" ", 100)), (COLUMNS($AJ$2:AS341)-1)*100+1, 100))</f>
        <v/>
      </c>
      <c r="AT341" t="str">
        <f>TRIM(MID(SUBSTITUTE($G341, ",", REPT(" ", 100)), (COLUMNS($AJ$2:AT341)-1)*100+1, 100))</f>
        <v/>
      </c>
      <c r="AU341" t="str">
        <f>TRIM(MID(SUBSTITUTE($G341, ",", REPT(" ", 100)), (COLUMNS($AJ$2:AU341)-1)*100+1, 100))</f>
        <v/>
      </c>
      <c r="AV341" t="str">
        <f>TRIM(MID(SUBSTITUTE($G341, ",", REPT(" ", 100)), (COLUMNS($AJ$2:AV341)-1)*100+1, 100))</f>
        <v/>
      </c>
      <c r="AW341" t="str">
        <f>TRIM(MID(SUBSTITUTE($G341, ",", REPT(" ", 100)), (COLUMNS($AJ$2:AW341)-1)*100+1, 100))</f>
        <v/>
      </c>
      <c r="AX341" t="str">
        <f>TRIM(MID(SUBSTITUTE($G341, ",", REPT(" ", 100)), (COLUMNS($AJ$2:AX341)-1)*100+1, 100))</f>
        <v/>
      </c>
      <c r="AY341" t="str">
        <f>TRIM(MID(SUBSTITUTE($G341, ",", REPT(" ", 100)), (COLUMNS($AJ$2:AY341)-1)*100+1, 100))</f>
        <v/>
      </c>
      <c r="AZ341" t="str">
        <f>TRIM(MID(SUBSTITUTE($G341, ",", REPT(" ", 100)), (COLUMNS($AJ$2:AZ341)-1)*100+1, 100))</f>
        <v/>
      </c>
      <c r="BA341" t="str">
        <f>TRIM(MID(SUBSTITUTE($G341, ",", REPT(" ", 100)), (COLUMNS($AJ$2:BA341)-1)*100+1, 100))</f>
        <v/>
      </c>
      <c r="BB341" t="str">
        <f>TRIM(MID(SUBSTITUTE($G341, ",", REPT(" ", 100)), (COLUMNS($AJ$2:BB341)-1)*100+1, 100))</f>
        <v/>
      </c>
      <c r="BC341" t="str">
        <f>TRIM(MID(SUBSTITUTE($G341, ",", REPT(" ", 100)), (COLUMNS($AJ$2:BC341)-1)*100+1, 100))</f>
        <v/>
      </c>
      <c r="BH341">
        <f t="shared" si="7"/>
        <v>1</v>
      </c>
    </row>
    <row r="342" spans="1:60" x14ac:dyDescent="0.5">
      <c r="A342" s="32" t="s">
        <v>435</v>
      </c>
      <c r="B342" s="257">
        <v>46363</v>
      </c>
      <c r="C342" s="2"/>
      <c r="D342" s="272"/>
      <c r="E342" s="271"/>
      <c r="I342" s="38">
        <v>0</v>
      </c>
      <c r="AL342" t="str">
        <f>TRIM(MID(SUBSTITUTE($G342, ",", REPT(" ", 100)), (COLUMNS($AJ$2:AL342)-1)*100+1, 100))</f>
        <v/>
      </c>
      <c r="AM342" s="1">
        <v>45998</v>
      </c>
      <c r="AN342" s="2"/>
      <c r="AO342" s="2">
        <v>6</v>
      </c>
      <c r="AQ342" t="str">
        <f>TRIM(MID(SUBSTITUTE($G342, ",", REPT(" ", 100)), (COLUMNS($AJ$2:AQ342)-1)*100+1, 100))</f>
        <v/>
      </c>
      <c r="AR342" t="str">
        <f>TRIM(MID(SUBSTITUTE($G342, ",", REPT(" ", 100)), (COLUMNS($AJ$2:AR342)-1)*100+1, 100))</f>
        <v/>
      </c>
      <c r="AS342" t="str">
        <f>TRIM(MID(SUBSTITUTE($G342, ",", REPT(" ", 100)), (COLUMNS($AJ$2:AS342)-1)*100+1, 100))</f>
        <v/>
      </c>
      <c r="AT342" t="str">
        <f>TRIM(MID(SUBSTITUTE($G342, ",", REPT(" ", 100)), (COLUMNS($AJ$2:AT342)-1)*100+1, 100))</f>
        <v/>
      </c>
      <c r="AU342" t="str">
        <f>TRIM(MID(SUBSTITUTE($G342, ",", REPT(" ", 100)), (COLUMNS($AJ$2:AU342)-1)*100+1, 100))</f>
        <v/>
      </c>
      <c r="AV342" t="str">
        <f>TRIM(MID(SUBSTITUTE($G342, ",", REPT(" ", 100)), (COLUMNS($AJ$2:AV342)-1)*100+1, 100))</f>
        <v/>
      </c>
      <c r="AW342" t="str">
        <f>TRIM(MID(SUBSTITUTE($G342, ",", REPT(" ", 100)), (COLUMNS($AJ$2:AW342)-1)*100+1, 100))</f>
        <v/>
      </c>
      <c r="AX342" t="str">
        <f>TRIM(MID(SUBSTITUTE($G342, ",", REPT(" ", 100)), (COLUMNS($AJ$2:AX342)-1)*100+1, 100))</f>
        <v/>
      </c>
      <c r="AY342" t="str">
        <f>TRIM(MID(SUBSTITUTE($G342, ",", REPT(" ", 100)), (COLUMNS($AJ$2:AY342)-1)*100+1, 100))</f>
        <v/>
      </c>
      <c r="AZ342" t="str">
        <f>TRIM(MID(SUBSTITUTE($G342, ",", REPT(" ", 100)), (COLUMNS($AJ$2:AZ342)-1)*100+1, 100))</f>
        <v/>
      </c>
      <c r="BA342" t="str">
        <f>TRIM(MID(SUBSTITUTE($G342, ",", REPT(" ", 100)), (COLUMNS($AJ$2:BA342)-1)*100+1, 100))</f>
        <v/>
      </c>
      <c r="BB342" t="str">
        <f>TRIM(MID(SUBSTITUTE($G342, ",", REPT(" ", 100)), (COLUMNS($AJ$2:BB342)-1)*100+1, 100))</f>
        <v/>
      </c>
      <c r="BC342" t="str">
        <f>TRIM(MID(SUBSTITUTE($G342, ",", REPT(" ", 100)), (COLUMNS($AJ$2:BC342)-1)*100+1, 100))</f>
        <v/>
      </c>
      <c r="BH342">
        <f t="shared" si="7"/>
        <v>1</v>
      </c>
    </row>
    <row r="343" spans="1:60" ht="14.7" thickBot="1" x14ac:dyDescent="0.55000000000000004">
      <c r="A343" s="32" t="s">
        <v>436</v>
      </c>
      <c r="B343" s="258">
        <v>46364</v>
      </c>
      <c r="C343" s="2"/>
      <c r="D343" s="272"/>
      <c r="E343" s="271"/>
      <c r="I343" s="38">
        <v>0</v>
      </c>
      <c r="AL343" t="str">
        <f>TRIM(MID(SUBSTITUTE($G343, ",", REPT(" ", 100)), (COLUMNS($AJ$2:AL343)-1)*100+1, 100))</f>
        <v/>
      </c>
      <c r="AM343" s="1">
        <v>45999</v>
      </c>
      <c r="AN343" s="2"/>
      <c r="AO343" s="2">
        <v>4</v>
      </c>
      <c r="AQ343" t="str">
        <f>TRIM(MID(SUBSTITUTE($G343, ",", REPT(" ", 100)), (COLUMNS($AJ$2:AQ343)-1)*100+1, 100))</f>
        <v/>
      </c>
      <c r="AR343" t="str">
        <f>TRIM(MID(SUBSTITUTE($G343, ",", REPT(" ", 100)), (COLUMNS($AJ$2:AR343)-1)*100+1, 100))</f>
        <v/>
      </c>
      <c r="AS343" t="str">
        <f>TRIM(MID(SUBSTITUTE($G343, ",", REPT(" ", 100)), (COLUMNS($AJ$2:AS343)-1)*100+1, 100))</f>
        <v/>
      </c>
      <c r="AT343" t="str">
        <f>TRIM(MID(SUBSTITUTE($G343, ",", REPT(" ", 100)), (COLUMNS($AJ$2:AT343)-1)*100+1, 100))</f>
        <v/>
      </c>
      <c r="AU343" t="str">
        <f>TRIM(MID(SUBSTITUTE($G343, ",", REPT(" ", 100)), (COLUMNS($AJ$2:AU343)-1)*100+1, 100))</f>
        <v/>
      </c>
      <c r="AV343" t="str">
        <f>TRIM(MID(SUBSTITUTE($G343, ",", REPT(" ", 100)), (COLUMNS($AJ$2:AV343)-1)*100+1, 100))</f>
        <v/>
      </c>
      <c r="AW343" t="str">
        <f>TRIM(MID(SUBSTITUTE($G343, ",", REPT(" ", 100)), (COLUMNS($AJ$2:AW343)-1)*100+1, 100))</f>
        <v/>
      </c>
      <c r="AX343" t="str">
        <f>TRIM(MID(SUBSTITUTE($G343, ",", REPT(" ", 100)), (COLUMNS($AJ$2:AX343)-1)*100+1, 100))</f>
        <v/>
      </c>
      <c r="AY343" t="str">
        <f>TRIM(MID(SUBSTITUTE($G343, ",", REPT(" ", 100)), (COLUMNS($AJ$2:AY343)-1)*100+1, 100))</f>
        <v/>
      </c>
      <c r="AZ343" t="str">
        <f>TRIM(MID(SUBSTITUTE($G343, ",", REPT(" ", 100)), (COLUMNS($AJ$2:AZ343)-1)*100+1, 100))</f>
        <v/>
      </c>
      <c r="BA343" t="str">
        <f>TRIM(MID(SUBSTITUTE($G343, ",", REPT(" ", 100)), (COLUMNS($AJ$2:BA343)-1)*100+1, 100))</f>
        <v/>
      </c>
      <c r="BB343" t="str">
        <f>TRIM(MID(SUBSTITUTE($G343, ",", REPT(" ", 100)), (COLUMNS($AJ$2:BB343)-1)*100+1, 100))</f>
        <v/>
      </c>
      <c r="BC343" t="str">
        <f>TRIM(MID(SUBSTITUTE($G343, ",", REPT(" ", 100)), (COLUMNS($AJ$2:BC343)-1)*100+1, 100))</f>
        <v/>
      </c>
      <c r="BH343">
        <f t="shared" si="7"/>
        <v>1</v>
      </c>
    </row>
    <row r="344" spans="1:60" x14ac:dyDescent="0.5">
      <c r="A344" s="32" t="s">
        <v>437</v>
      </c>
      <c r="B344" s="257">
        <v>46365</v>
      </c>
      <c r="C344" s="2"/>
      <c r="D344" s="272"/>
      <c r="E344" s="271"/>
      <c r="I344" s="38">
        <v>0</v>
      </c>
      <c r="AL344" t="str">
        <f>TRIM(MID(SUBSTITUTE($G344, ",", REPT(" ", 100)), (COLUMNS($AJ$2:AL344)-1)*100+1, 100))</f>
        <v/>
      </c>
      <c r="AM344" s="1">
        <v>46000</v>
      </c>
      <c r="AN344" s="2"/>
      <c r="AO344" s="2">
        <v>4</v>
      </c>
      <c r="AQ344" t="str">
        <f>TRIM(MID(SUBSTITUTE($G344, ",", REPT(" ", 100)), (COLUMNS($AJ$2:AQ344)-1)*100+1, 100))</f>
        <v/>
      </c>
      <c r="AR344" t="str">
        <f>TRIM(MID(SUBSTITUTE($G344, ",", REPT(" ", 100)), (COLUMNS($AJ$2:AR344)-1)*100+1, 100))</f>
        <v/>
      </c>
      <c r="AS344" t="str">
        <f>TRIM(MID(SUBSTITUTE($G344, ",", REPT(" ", 100)), (COLUMNS($AJ$2:AS344)-1)*100+1, 100))</f>
        <v/>
      </c>
      <c r="AT344" t="str">
        <f>TRIM(MID(SUBSTITUTE($G344, ",", REPT(" ", 100)), (COLUMNS($AJ$2:AT344)-1)*100+1, 100))</f>
        <v/>
      </c>
      <c r="AU344" t="str">
        <f>TRIM(MID(SUBSTITUTE($G344, ",", REPT(" ", 100)), (COLUMNS($AJ$2:AU344)-1)*100+1, 100))</f>
        <v/>
      </c>
      <c r="AV344" t="str">
        <f>TRIM(MID(SUBSTITUTE($G344, ",", REPT(" ", 100)), (COLUMNS($AJ$2:AV344)-1)*100+1, 100))</f>
        <v/>
      </c>
      <c r="AW344" t="str">
        <f>TRIM(MID(SUBSTITUTE($G344, ",", REPT(" ", 100)), (COLUMNS($AJ$2:AW344)-1)*100+1, 100))</f>
        <v/>
      </c>
      <c r="AX344" t="str">
        <f>TRIM(MID(SUBSTITUTE($G344, ",", REPT(" ", 100)), (COLUMNS($AJ$2:AX344)-1)*100+1, 100))</f>
        <v/>
      </c>
      <c r="AY344" t="str">
        <f>TRIM(MID(SUBSTITUTE($G344, ",", REPT(" ", 100)), (COLUMNS($AJ$2:AY344)-1)*100+1, 100))</f>
        <v/>
      </c>
      <c r="AZ344" t="str">
        <f>TRIM(MID(SUBSTITUTE($G344, ",", REPT(" ", 100)), (COLUMNS($AJ$2:AZ344)-1)*100+1, 100))</f>
        <v/>
      </c>
      <c r="BA344" t="str">
        <f>TRIM(MID(SUBSTITUTE($G344, ",", REPT(" ", 100)), (COLUMNS($AJ$2:BA344)-1)*100+1, 100))</f>
        <v/>
      </c>
      <c r="BB344" t="str">
        <f>TRIM(MID(SUBSTITUTE($G344, ",", REPT(" ", 100)), (COLUMNS($AJ$2:BB344)-1)*100+1, 100))</f>
        <v/>
      </c>
      <c r="BC344" t="str">
        <f>TRIM(MID(SUBSTITUTE($G344, ",", REPT(" ", 100)), (COLUMNS($AJ$2:BC344)-1)*100+1, 100))</f>
        <v/>
      </c>
      <c r="BH344">
        <f t="shared" si="7"/>
        <v>1</v>
      </c>
    </row>
    <row r="345" spans="1:60" ht="14.7" thickBot="1" x14ac:dyDescent="0.55000000000000004">
      <c r="A345" s="32" t="s">
        <v>431</v>
      </c>
      <c r="B345" s="258">
        <v>46366</v>
      </c>
      <c r="C345" s="2"/>
      <c r="D345" s="272"/>
      <c r="E345" s="271"/>
      <c r="I345" s="38">
        <v>0</v>
      </c>
      <c r="AL345" t="str">
        <f>TRIM(MID(SUBSTITUTE($G345, ",", REPT(" ", 100)), (COLUMNS($AJ$2:AL345)-1)*100+1, 100))</f>
        <v/>
      </c>
      <c r="AM345" s="1">
        <v>46001</v>
      </c>
      <c r="AN345" s="2"/>
      <c r="AO345" s="2">
        <v>4</v>
      </c>
      <c r="AQ345" t="str">
        <f>TRIM(MID(SUBSTITUTE($G345, ",", REPT(" ", 100)), (COLUMNS($AJ$2:AQ345)-1)*100+1, 100))</f>
        <v/>
      </c>
      <c r="AR345" t="str">
        <f>TRIM(MID(SUBSTITUTE($G345, ",", REPT(" ", 100)), (COLUMNS($AJ$2:AR345)-1)*100+1, 100))</f>
        <v/>
      </c>
      <c r="AS345" t="str">
        <f>TRIM(MID(SUBSTITUTE($G345, ",", REPT(" ", 100)), (COLUMNS($AJ$2:AS345)-1)*100+1, 100))</f>
        <v/>
      </c>
      <c r="AT345" t="str">
        <f>TRIM(MID(SUBSTITUTE($G345, ",", REPT(" ", 100)), (COLUMNS($AJ$2:AT345)-1)*100+1, 100))</f>
        <v/>
      </c>
      <c r="AU345" t="str">
        <f>TRIM(MID(SUBSTITUTE($G345, ",", REPT(" ", 100)), (COLUMNS($AJ$2:AU345)-1)*100+1, 100))</f>
        <v/>
      </c>
      <c r="AV345" t="str">
        <f>TRIM(MID(SUBSTITUTE($G345, ",", REPT(" ", 100)), (COLUMNS($AJ$2:AV345)-1)*100+1, 100))</f>
        <v/>
      </c>
      <c r="AW345" t="str">
        <f>TRIM(MID(SUBSTITUTE($G345, ",", REPT(" ", 100)), (COLUMNS($AJ$2:AW345)-1)*100+1, 100))</f>
        <v/>
      </c>
      <c r="AX345" t="str">
        <f>TRIM(MID(SUBSTITUTE($G345, ",", REPT(" ", 100)), (COLUMNS($AJ$2:AX345)-1)*100+1, 100))</f>
        <v/>
      </c>
      <c r="AY345" t="str">
        <f>TRIM(MID(SUBSTITUTE($G345, ",", REPT(" ", 100)), (COLUMNS($AJ$2:AY345)-1)*100+1, 100))</f>
        <v/>
      </c>
      <c r="AZ345" t="str">
        <f>TRIM(MID(SUBSTITUTE($G345, ",", REPT(" ", 100)), (COLUMNS($AJ$2:AZ345)-1)*100+1, 100))</f>
        <v/>
      </c>
      <c r="BA345" t="str">
        <f>TRIM(MID(SUBSTITUTE($G345, ",", REPT(" ", 100)), (COLUMNS($AJ$2:BA345)-1)*100+1, 100))</f>
        <v/>
      </c>
      <c r="BB345" t="str">
        <f>TRIM(MID(SUBSTITUTE($G345, ",", REPT(" ", 100)), (COLUMNS($AJ$2:BB345)-1)*100+1, 100))</f>
        <v/>
      </c>
      <c r="BC345" t="str">
        <f>TRIM(MID(SUBSTITUTE($G345, ",", REPT(" ", 100)), (COLUMNS($AJ$2:BC345)-1)*100+1, 100))</f>
        <v/>
      </c>
      <c r="BH345">
        <f t="shared" si="7"/>
        <v>1</v>
      </c>
    </row>
    <row r="346" spans="1:60" x14ac:dyDescent="0.5">
      <c r="A346" s="32" t="s">
        <v>432</v>
      </c>
      <c r="B346" s="257">
        <v>46367</v>
      </c>
      <c r="C346" s="2"/>
      <c r="D346" s="272"/>
      <c r="E346" s="271"/>
      <c r="I346" s="38">
        <v>0</v>
      </c>
      <c r="AL346" t="str">
        <f>TRIM(MID(SUBSTITUTE($G346, ",", REPT(" ", 100)), (COLUMNS($AJ$2:AL346)-1)*100+1, 100))</f>
        <v/>
      </c>
      <c r="AM346" s="1">
        <v>46002</v>
      </c>
      <c r="AN346" s="2"/>
      <c r="AO346" s="2">
        <v>4</v>
      </c>
      <c r="AQ346" t="str">
        <f>TRIM(MID(SUBSTITUTE($G346, ",", REPT(" ", 100)), (COLUMNS($AJ$2:AQ346)-1)*100+1, 100))</f>
        <v/>
      </c>
      <c r="AR346" t="str">
        <f>TRIM(MID(SUBSTITUTE($G346, ",", REPT(" ", 100)), (COLUMNS($AJ$2:AR346)-1)*100+1, 100))</f>
        <v/>
      </c>
      <c r="AS346" t="str">
        <f>TRIM(MID(SUBSTITUTE($G346, ",", REPT(" ", 100)), (COLUMNS($AJ$2:AS346)-1)*100+1, 100))</f>
        <v/>
      </c>
      <c r="AT346" t="str">
        <f>TRIM(MID(SUBSTITUTE($G346, ",", REPT(" ", 100)), (COLUMNS($AJ$2:AT346)-1)*100+1, 100))</f>
        <v/>
      </c>
      <c r="AU346" t="str">
        <f>TRIM(MID(SUBSTITUTE($G346, ",", REPT(" ", 100)), (COLUMNS($AJ$2:AU346)-1)*100+1, 100))</f>
        <v/>
      </c>
      <c r="AV346" t="str">
        <f>TRIM(MID(SUBSTITUTE($G346, ",", REPT(" ", 100)), (COLUMNS($AJ$2:AV346)-1)*100+1, 100))</f>
        <v/>
      </c>
      <c r="AW346" t="str">
        <f>TRIM(MID(SUBSTITUTE($G346, ",", REPT(" ", 100)), (COLUMNS($AJ$2:AW346)-1)*100+1, 100))</f>
        <v/>
      </c>
      <c r="AX346" t="str">
        <f>TRIM(MID(SUBSTITUTE($G346, ",", REPT(" ", 100)), (COLUMNS($AJ$2:AX346)-1)*100+1, 100))</f>
        <v/>
      </c>
      <c r="AY346" t="str">
        <f>TRIM(MID(SUBSTITUTE($G346, ",", REPT(" ", 100)), (COLUMNS($AJ$2:AY346)-1)*100+1, 100))</f>
        <v/>
      </c>
      <c r="AZ346" t="str">
        <f>TRIM(MID(SUBSTITUTE($G346, ",", REPT(" ", 100)), (COLUMNS($AJ$2:AZ346)-1)*100+1, 100))</f>
        <v/>
      </c>
      <c r="BA346" t="str">
        <f>TRIM(MID(SUBSTITUTE($G346, ",", REPT(" ", 100)), (COLUMNS($AJ$2:BA346)-1)*100+1, 100))</f>
        <v/>
      </c>
      <c r="BB346" t="str">
        <f>TRIM(MID(SUBSTITUTE($G346, ",", REPT(" ", 100)), (COLUMNS($AJ$2:BB346)-1)*100+1, 100))</f>
        <v/>
      </c>
      <c r="BC346" t="str">
        <f>TRIM(MID(SUBSTITUTE($G346, ",", REPT(" ", 100)), (COLUMNS($AJ$2:BC346)-1)*100+1, 100))</f>
        <v/>
      </c>
      <c r="BH346">
        <f t="shared" si="7"/>
        <v>1</v>
      </c>
    </row>
    <row r="347" spans="1:60" ht="14.7" thickBot="1" x14ac:dyDescent="0.55000000000000004">
      <c r="A347" s="32" t="s">
        <v>433</v>
      </c>
      <c r="B347" s="258">
        <v>46368</v>
      </c>
      <c r="C347" s="2"/>
      <c r="D347" s="272"/>
      <c r="E347" s="271"/>
      <c r="I347" s="38">
        <v>0</v>
      </c>
      <c r="AL347" t="str">
        <f>TRIM(MID(SUBSTITUTE($G347, ",", REPT(" ", 100)), (COLUMNS($AJ$2:AL347)-1)*100+1, 100))</f>
        <v/>
      </c>
      <c r="AM347" s="1">
        <v>46003</v>
      </c>
      <c r="AN347" s="2"/>
      <c r="AO347" s="2">
        <v>6</v>
      </c>
      <c r="AQ347" t="str">
        <f>TRIM(MID(SUBSTITUTE($G347, ",", REPT(" ", 100)), (COLUMNS($AJ$2:AQ347)-1)*100+1, 100))</f>
        <v/>
      </c>
      <c r="AR347" t="str">
        <f>TRIM(MID(SUBSTITUTE($G347, ",", REPT(" ", 100)), (COLUMNS($AJ$2:AR347)-1)*100+1, 100))</f>
        <v/>
      </c>
      <c r="AS347" t="str">
        <f>TRIM(MID(SUBSTITUTE($G347, ",", REPT(" ", 100)), (COLUMNS($AJ$2:AS347)-1)*100+1, 100))</f>
        <v/>
      </c>
      <c r="AT347" t="str">
        <f>TRIM(MID(SUBSTITUTE($G347, ",", REPT(" ", 100)), (COLUMNS($AJ$2:AT347)-1)*100+1, 100))</f>
        <v/>
      </c>
      <c r="AU347" t="str">
        <f>TRIM(MID(SUBSTITUTE($G347, ",", REPT(" ", 100)), (COLUMNS($AJ$2:AU347)-1)*100+1, 100))</f>
        <v/>
      </c>
      <c r="AV347" t="str">
        <f>TRIM(MID(SUBSTITUTE($G347, ",", REPT(" ", 100)), (COLUMNS($AJ$2:AV347)-1)*100+1, 100))</f>
        <v/>
      </c>
      <c r="AW347" t="str">
        <f>TRIM(MID(SUBSTITUTE($G347, ",", REPT(" ", 100)), (COLUMNS($AJ$2:AW347)-1)*100+1, 100))</f>
        <v/>
      </c>
      <c r="AX347" t="str">
        <f>TRIM(MID(SUBSTITUTE($G347, ",", REPT(" ", 100)), (COLUMNS($AJ$2:AX347)-1)*100+1, 100))</f>
        <v/>
      </c>
      <c r="AY347" t="str">
        <f>TRIM(MID(SUBSTITUTE($G347, ",", REPT(" ", 100)), (COLUMNS($AJ$2:AY347)-1)*100+1, 100))</f>
        <v/>
      </c>
      <c r="AZ347" t="str">
        <f>TRIM(MID(SUBSTITUTE($G347, ",", REPT(" ", 100)), (COLUMNS($AJ$2:AZ347)-1)*100+1, 100))</f>
        <v/>
      </c>
      <c r="BA347" t="str">
        <f>TRIM(MID(SUBSTITUTE($G347, ",", REPT(" ", 100)), (COLUMNS($AJ$2:BA347)-1)*100+1, 100))</f>
        <v/>
      </c>
      <c r="BB347" t="str">
        <f>TRIM(MID(SUBSTITUTE($G347, ",", REPT(" ", 100)), (COLUMNS($AJ$2:BB347)-1)*100+1, 100))</f>
        <v/>
      </c>
      <c r="BC347" t="str">
        <f>TRIM(MID(SUBSTITUTE($G347, ",", REPT(" ", 100)), (COLUMNS($AJ$2:BC347)-1)*100+1, 100))</f>
        <v/>
      </c>
      <c r="BH347">
        <f t="shared" si="7"/>
        <v>1</v>
      </c>
    </row>
    <row r="348" spans="1:60" x14ac:dyDescent="0.5">
      <c r="A348" s="32" t="s">
        <v>434</v>
      </c>
      <c r="B348" s="257">
        <v>46369</v>
      </c>
      <c r="C348" s="2"/>
      <c r="D348" s="272"/>
      <c r="E348" s="271"/>
      <c r="I348" s="38">
        <v>0</v>
      </c>
      <c r="AL348" t="str">
        <f>TRIM(MID(SUBSTITUTE($G348, ",", REPT(" ", 100)), (COLUMNS($AJ$2:AL348)-1)*100+1, 100))</f>
        <v/>
      </c>
      <c r="AM348" s="1">
        <v>46004</v>
      </c>
      <c r="AN348" s="2"/>
      <c r="AO348" s="2">
        <v>4</v>
      </c>
      <c r="AQ348" t="str">
        <f>TRIM(MID(SUBSTITUTE($G348, ",", REPT(" ", 100)), (COLUMNS($AJ$2:AQ348)-1)*100+1, 100))</f>
        <v/>
      </c>
      <c r="AR348" t="str">
        <f>TRIM(MID(SUBSTITUTE($G348, ",", REPT(" ", 100)), (COLUMNS($AJ$2:AR348)-1)*100+1, 100))</f>
        <v/>
      </c>
      <c r="AS348" t="str">
        <f>TRIM(MID(SUBSTITUTE($G348, ",", REPT(" ", 100)), (COLUMNS($AJ$2:AS348)-1)*100+1, 100))</f>
        <v/>
      </c>
      <c r="AT348" t="str">
        <f>TRIM(MID(SUBSTITUTE($G348, ",", REPT(" ", 100)), (COLUMNS($AJ$2:AT348)-1)*100+1, 100))</f>
        <v/>
      </c>
      <c r="AU348" t="str">
        <f>TRIM(MID(SUBSTITUTE($G348, ",", REPT(" ", 100)), (COLUMNS($AJ$2:AU348)-1)*100+1, 100))</f>
        <v/>
      </c>
      <c r="AV348" t="str">
        <f>TRIM(MID(SUBSTITUTE($G348, ",", REPT(" ", 100)), (COLUMNS($AJ$2:AV348)-1)*100+1, 100))</f>
        <v/>
      </c>
      <c r="AW348" t="str">
        <f>TRIM(MID(SUBSTITUTE($G348, ",", REPT(" ", 100)), (COLUMNS($AJ$2:AW348)-1)*100+1, 100))</f>
        <v/>
      </c>
      <c r="AX348" t="str">
        <f>TRIM(MID(SUBSTITUTE($G348, ",", REPT(" ", 100)), (COLUMNS($AJ$2:AX348)-1)*100+1, 100))</f>
        <v/>
      </c>
      <c r="AY348" t="str">
        <f>TRIM(MID(SUBSTITUTE($G348, ",", REPT(" ", 100)), (COLUMNS($AJ$2:AY348)-1)*100+1, 100))</f>
        <v/>
      </c>
      <c r="AZ348" t="str">
        <f>TRIM(MID(SUBSTITUTE($G348, ",", REPT(" ", 100)), (COLUMNS($AJ$2:AZ348)-1)*100+1, 100))</f>
        <v/>
      </c>
      <c r="BA348" t="str">
        <f>TRIM(MID(SUBSTITUTE($G348, ",", REPT(" ", 100)), (COLUMNS($AJ$2:BA348)-1)*100+1, 100))</f>
        <v/>
      </c>
      <c r="BB348" t="str">
        <f>TRIM(MID(SUBSTITUTE($G348, ",", REPT(" ", 100)), (COLUMNS($AJ$2:BB348)-1)*100+1, 100))</f>
        <v/>
      </c>
      <c r="BC348" t="str">
        <f>TRIM(MID(SUBSTITUTE($G348, ",", REPT(" ", 100)), (COLUMNS($AJ$2:BC348)-1)*100+1, 100))</f>
        <v/>
      </c>
      <c r="BH348">
        <f t="shared" si="7"/>
        <v>1</v>
      </c>
    </row>
    <row r="349" spans="1:60" ht="14.7" thickBot="1" x14ac:dyDescent="0.55000000000000004">
      <c r="A349" s="32" t="s">
        <v>435</v>
      </c>
      <c r="B349" s="258">
        <v>46370</v>
      </c>
      <c r="C349" s="2"/>
      <c r="D349" s="272"/>
      <c r="E349" s="271"/>
      <c r="I349" s="38">
        <v>0</v>
      </c>
      <c r="AL349" t="str">
        <f>TRIM(MID(SUBSTITUTE($G349, ",", REPT(" ", 100)), (COLUMNS($AJ$2:AL349)-1)*100+1, 100))</f>
        <v/>
      </c>
      <c r="AM349" s="1">
        <v>46005</v>
      </c>
      <c r="AN349" s="2"/>
      <c r="AO349" s="2">
        <v>6</v>
      </c>
      <c r="AQ349" t="str">
        <f>TRIM(MID(SUBSTITUTE($G349, ",", REPT(" ", 100)), (COLUMNS($AJ$2:AQ349)-1)*100+1, 100))</f>
        <v/>
      </c>
      <c r="AR349" t="str">
        <f>TRIM(MID(SUBSTITUTE($G349, ",", REPT(" ", 100)), (COLUMNS($AJ$2:AR349)-1)*100+1, 100))</f>
        <v/>
      </c>
      <c r="AS349" t="str">
        <f>TRIM(MID(SUBSTITUTE($G349, ",", REPT(" ", 100)), (COLUMNS($AJ$2:AS349)-1)*100+1, 100))</f>
        <v/>
      </c>
      <c r="AT349" t="str">
        <f>TRIM(MID(SUBSTITUTE($G349, ",", REPT(" ", 100)), (COLUMNS($AJ$2:AT349)-1)*100+1, 100))</f>
        <v/>
      </c>
      <c r="AU349" t="str">
        <f>TRIM(MID(SUBSTITUTE($G349, ",", REPT(" ", 100)), (COLUMNS($AJ$2:AU349)-1)*100+1, 100))</f>
        <v/>
      </c>
      <c r="AV349" t="str">
        <f>TRIM(MID(SUBSTITUTE($G349, ",", REPT(" ", 100)), (COLUMNS($AJ$2:AV349)-1)*100+1, 100))</f>
        <v/>
      </c>
      <c r="AW349" t="str">
        <f>TRIM(MID(SUBSTITUTE($G349, ",", REPT(" ", 100)), (COLUMNS($AJ$2:AW349)-1)*100+1, 100))</f>
        <v/>
      </c>
      <c r="AX349" t="str">
        <f>TRIM(MID(SUBSTITUTE($G349, ",", REPT(" ", 100)), (COLUMNS($AJ$2:AX349)-1)*100+1, 100))</f>
        <v/>
      </c>
      <c r="AY349" t="str">
        <f>TRIM(MID(SUBSTITUTE($G349, ",", REPT(" ", 100)), (COLUMNS($AJ$2:AY349)-1)*100+1, 100))</f>
        <v/>
      </c>
      <c r="AZ349" t="str">
        <f>TRIM(MID(SUBSTITUTE($G349, ",", REPT(" ", 100)), (COLUMNS($AJ$2:AZ349)-1)*100+1, 100))</f>
        <v/>
      </c>
      <c r="BA349" t="str">
        <f>TRIM(MID(SUBSTITUTE($G349, ",", REPT(" ", 100)), (COLUMNS($AJ$2:BA349)-1)*100+1, 100))</f>
        <v/>
      </c>
      <c r="BB349" t="str">
        <f>TRIM(MID(SUBSTITUTE($G349, ",", REPT(" ", 100)), (COLUMNS($AJ$2:BB349)-1)*100+1, 100))</f>
        <v/>
      </c>
      <c r="BC349" t="str">
        <f>TRIM(MID(SUBSTITUTE($G349, ",", REPT(" ", 100)), (COLUMNS($AJ$2:BC349)-1)*100+1, 100))</f>
        <v/>
      </c>
      <c r="BH349">
        <f t="shared" si="7"/>
        <v>1</v>
      </c>
    </row>
    <row r="350" spans="1:60" x14ac:dyDescent="0.5">
      <c r="A350" s="32" t="s">
        <v>436</v>
      </c>
      <c r="B350" s="257">
        <v>46371</v>
      </c>
      <c r="C350" s="2"/>
      <c r="D350" s="272"/>
      <c r="E350" s="271"/>
      <c r="I350" s="38">
        <v>0</v>
      </c>
      <c r="AL350" t="str">
        <f>TRIM(MID(SUBSTITUTE($G350, ",", REPT(" ", 100)), (COLUMNS($AJ$2:AL350)-1)*100+1, 100))</f>
        <v/>
      </c>
      <c r="AM350" s="1">
        <v>46006</v>
      </c>
      <c r="AN350" s="2"/>
      <c r="AO350" s="2">
        <v>4</v>
      </c>
      <c r="AQ350" t="str">
        <f>TRIM(MID(SUBSTITUTE($G350, ",", REPT(" ", 100)), (COLUMNS($AJ$2:AQ350)-1)*100+1, 100))</f>
        <v/>
      </c>
      <c r="AR350" t="str">
        <f>TRIM(MID(SUBSTITUTE($G350, ",", REPT(" ", 100)), (COLUMNS($AJ$2:AR350)-1)*100+1, 100))</f>
        <v/>
      </c>
      <c r="AS350" t="str">
        <f>TRIM(MID(SUBSTITUTE($G350, ",", REPT(" ", 100)), (COLUMNS($AJ$2:AS350)-1)*100+1, 100))</f>
        <v/>
      </c>
      <c r="AT350" t="str">
        <f>TRIM(MID(SUBSTITUTE($G350, ",", REPT(" ", 100)), (COLUMNS($AJ$2:AT350)-1)*100+1, 100))</f>
        <v/>
      </c>
      <c r="AU350" t="str">
        <f>TRIM(MID(SUBSTITUTE($G350, ",", REPT(" ", 100)), (COLUMNS($AJ$2:AU350)-1)*100+1, 100))</f>
        <v/>
      </c>
      <c r="AV350" t="str">
        <f>TRIM(MID(SUBSTITUTE($G350, ",", REPT(" ", 100)), (COLUMNS($AJ$2:AV350)-1)*100+1, 100))</f>
        <v/>
      </c>
      <c r="AW350" t="str">
        <f>TRIM(MID(SUBSTITUTE($G350, ",", REPT(" ", 100)), (COLUMNS($AJ$2:AW350)-1)*100+1, 100))</f>
        <v/>
      </c>
      <c r="AX350" t="str">
        <f>TRIM(MID(SUBSTITUTE($G350, ",", REPT(" ", 100)), (COLUMNS($AJ$2:AX350)-1)*100+1, 100))</f>
        <v/>
      </c>
      <c r="AY350" t="str">
        <f>TRIM(MID(SUBSTITUTE($G350, ",", REPT(" ", 100)), (COLUMNS($AJ$2:AY350)-1)*100+1, 100))</f>
        <v/>
      </c>
      <c r="AZ350" t="str">
        <f>TRIM(MID(SUBSTITUTE($G350, ",", REPT(" ", 100)), (COLUMNS($AJ$2:AZ350)-1)*100+1, 100))</f>
        <v/>
      </c>
      <c r="BA350" t="str">
        <f>TRIM(MID(SUBSTITUTE($G350, ",", REPT(" ", 100)), (COLUMNS($AJ$2:BA350)-1)*100+1, 100))</f>
        <v/>
      </c>
      <c r="BB350" t="str">
        <f>TRIM(MID(SUBSTITUTE($G350, ",", REPT(" ", 100)), (COLUMNS($AJ$2:BB350)-1)*100+1, 100))</f>
        <v/>
      </c>
      <c r="BC350" t="str">
        <f>TRIM(MID(SUBSTITUTE($G350, ",", REPT(" ", 100)), (COLUMNS($AJ$2:BC350)-1)*100+1, 100))</f>
        <v/>
      </c>
      <c r="BH350">
        <f t="shared" si="7"/>
        <v>1</v>
      </c>
    </row>
    <row r="351" spans="1:60" ht="14.7" thickBot="1" x14ac:dyDescent="0.55000000000000004">
      <c r="A351" s="32" t="s">
        <v>437</v>
      </c>
      <c r="B351" s="258">
        <v>46372</v>
      </c>
      <c r="C351" s="2"/>
      <c r="D351" s="272"/>
      <c r="E351" s="271"/>
      <c r="I351" s="38">
        <v>0</v>
      </c>
      <c r="AL351" t="str">
        <f>TRIM(MID(SUBSTITUTE($G351, ",", REPT(" ", 100)), (COLUMNS($AJ$2:AL351)-1)*100+1, 100))</f>
        <v/>
      </c>
      <c r="AM351" s="1">
        <v>46007</v>
      </c>
      <c r="AN351" s="2"/>
      <c r="AO351" s="2">
        <v>4</v>
      </c>
      <c r="AQ351" t="str">
        <f>TRIM(MID(SUBSTITUTE($G351, ",", REPT(" ", 100)), (COLUMNS($AJ$2:AQ351)-1)*100+1, 100))</f>
        <v/>
      </c>
      <c r="AR351" t="str">
        <f>TRIM(MID(SUBSTITUTE($G351, ",", REPT(" ", 100)), (COLUMNS($AJ$2:AR351)-1)*100+1, 100))</f>
        <v/>
      </c>
      <c r="AS351" t="str">
        <f>TRIM(MID(SUBSTITUTE($G351, ",", REPT(" ", 100)), (COLUMNS($AJ$2:AS351)-1)*100+1, 100))</f>
        <v/>
      </c>
      <c r="AT351" t="str">
        <f>TRIM(MID(SUBSTITUTE($G351, ",", REPT(" ", 100)), (COLUMNS($AJ$2:AT351)-1)*100+1, 100))</f>
        <v/>
      </c>
      <c r="AU351" t="str">
        <f>TRIM(MID(SUBSTITUTE($G351, ",", REPT(" ", 100)), (COLUMNS($AJ$2:AU351)-1)*100+1, 100))</f>
        <v/>
      </c>
      <c r="AV351" t="str">
        <f>TRIM(MID(SUBSTITUTE($G351, ",", REPT(" ", 100)), (COLUMNS($AJ$2:AV351)-1)*100+1, 100))</f>
        <v/>
      </c>
      <c r="AW351" t="str">
        <f>TRIM(MID(SUBSTITUTE($G351, ",", REPT(" ", 100)), (COLUMNS($AJ$2:AW351)-1)*100+1, 100))</f>
        <v/>
      </c>
      <c r="AX351" t="str">
        <f>TRIM(MID(SUBSTITUTE($G351, ",", REPT(" ", 100)), (COLUMNS($AJ$2:AX351)-1)*100+1, 100))</f>
        <v/>
      </c>
      <c r="AY351" t="str">
        <f>TRIM(MID(SUBSTITUTE($G351, ",", REPT(" ", 100)), (COLUMNS($AJ$2:AY351)-1)*100+1, 100))</f>
        <v/>
      </c>
      <c r="AZ351" t="str">
        <f>TRIM(MID(SUBSTITUTE($G351, ",", REPT(" ", 100)), (COLUMNS($AJ$2:AZ351)-1)*100+1, 100))</f>
        <v/>
      </c>
      <c r="BA351" t="str">
        <f>TRIM(MID(SUBSTITUTE($G351, ",", REPT(" ", 100)), (COLUMNS($AJ$2:BA351)-1)*100+1, 100))</f>
        <v/>
      </c>
      <c r="BB351" t="str">
        <f>TRIM(MID(SUBSTITUTE($G351, ",", REPT(" ", 100)), (COLUMNS($AJ$2:BB351)-1)*100+1, 100))</f>
        <v/>
      </c>
      <c r="BC351" t="str">
        <f>TRIM(MID(SUBSTITUTE($G351, ",", REPT(" ", 100)), (COLUMNS($AJ$2:BC351)-1)*100+1, 100))</f>
        <v/>
      </c>
      <c r="BH351">
        <f t="shared" si="7"/>
        <v>1</v>
      </c>
    </row>
    <row r="352" spans="1:60" x14ac:dyDescent="0.5">
      <c r="A352" s="32" t="s">
        <v>431</v>
      </c>
      <c r="B352" s="257">
        <v>46373</v>
      </c>
      <c r="C352" s="2"/>
      <c r="D352" s="272"/>
      <c r="E352" s="271"/>
      <c r="I352" s="38">
        <v>0</v>
      </c>
      <c r="AL352" t="str">
        <f>TRIM(MID(SUBSTITUTE($G352, ",", REPT(" ", 100)), (COLUMNS($AJ$2:AL352)-1)*100+1, 100))</f>
        <v/>
      </c>
      <c r="AM352" s="1">
        <v>46008</v>
      </c>
      <c r="AN352" s="2"/>
      <c r="AO352" s="2">
        <v>2</v>
      </c>
      <c r="AQ352" t="str">
        <f>TRIM(MID(SUBSTITUTE($G352, ",", REPT(" ", 100)), (COLUMNS($AJ$2:AQ352)-1)*100+1, 100))</f>
        <v/>
      </c>
      <c r="AR352" t="str">
        <f>TRIM(MID(SUBSTITUTE($G352, ",", REPT(" ", 100)), (COLUMNS($AJ$2:AR352)-1)*100+1, 100))</f>
        <v/>
      </c>
      <c r="AS352" t="str">
        <f>TRIM(MID(SUBSTITUTE($G352, ",", REPT(" ", 100)), (COLUMNS($AJ$2:AS352)-1)*100+1, 100))</f>
        <v/>
      </c>
      <c r="AT352" t="str">
        <f>TRIM(MID(SUBSTITUTE($G352, ",", REPT(" ", 100)), (COLUMNS($AJ$2:AT352)-1)*100+1, 100))</f>
        <v/>
      </c>
      <c r="AU352" t="str">
        <f>TRIM(MID(SUBSTITUTE($G352, ",", REPT(" ", 100)), (COLUMNS($AJ$2:AU352)-1)*100+1, 100))</f>
        <v/>
      </c>
      <c r="AV352" t="str">
        <f>TRIM(MID(SUBSTITUTE($G352, ",", REPT(" ", 100)), (COLUMNS($AJ$2:AV352)-1)*100+1, 100))</f>
        <v/>
      </c>
      <c r="AW352" t="str">
        <f>TRIM(MID(SUBSTITUTE($G352, ",", REPT(" ", 100)), (COLUMNS($AJ$2:AW352)-1)*100+1, 100))</f>
        <v/>
      </c>
      <c r="AX352" t="str">
        <f>TRIM(MID(SUBSTITUTE($G352, ",", REPT(" ", 100)), (COLUMNS($AJ$2:AX352)-1)*100+1, 100))</f>
        <v/>
      </c>
      <c r="AY352" t="str">
        <f>TRIM(MID(SUBSTITUTE($G352, ",", REPT(" ", 100)), (COLUMNS($AJ$2:AY352)-1)*100+1, 100))</f>
        <v/>
      </c>
      <c r="AZ352" t="str">
        <f>TRIM(MID(SUBSTITUTE($G352, ",", REPT(" ", 100)), (COLUMNS($AJ$2:AZ352)-1)*100+1, 100))</f>
        <v/>
      </c>
      <c r="BA352" t="str">
        <f>TRIM(MID(SUBSTITUTE($G352, ",", REPT(" ", 100)), (COLUMNS($AJ$2:BA352)-1)*100+1, 100))</f>
        <v/>
      </c>
      <c r="BB352" t="str">
        <f>TRIM(MID(SUBSTITUTE($G352, ",", REPT(" ", 100)), (COLUMNS($AJ$2:BB352)-1)*100+1, 100))</f>
        <v/>
      </c>
      <c r="BC352" t="str">
        <f>TRIM(MID(SUBSTITUTE($G352, ",", REPT(" ", 100)), (COLUMNS($AJ$2:BC352)-1)*100+1, 100))</f>
        <v/>
      </c>
      <c r="BH352">
        <f t="shared" si="7"/>
        <v>1</v>
      </c>
    </row>
    <row r="353" spans="1:60" ht="14.7" thickBot="1" x14ac:dyDescent="0.55000000000000004">
      <c r="A353" s="32" t="s">
        <v>432</v>
      </c>
      <c r="B353" s="258">
        <v>46374</v>
      </c>
      <c r="C353" s="2"/>
      <c r="D353" s="272"/>
      <c r="E353" s="271"/>
      <c r="I353" s="38">
        <v>0</v>
      </c>
      <c r="AL353" t="str">
        <f>TRIM(MID(SUBSTITUTE($G353, ",", REPT(" ", 100)), (COLUMNS($AJ$2:AL353)-1)*100+1, 100))</f>
        <v/>
      </c>
      <c r="AM353" s="1">
        <v>46009</v>
      </c>
      <c r="AN353" s="2"/>
      <c r="AO353" s="2">
        <v>4</v>
      </c>
      <c r="AQ353" t="str">
        <f>TRIM(MID(SUBSTITUTE($G353, ",", REPT(" ", 100)), (COLUMNS($AJ$2:AQ353)-1)*100+1, 100))</f>
        <v/>
      </c>
      <c r="AR353" t="str">
        <f>TRIM(MID(SUBSTITUTE($G353, ",", REPT(" ", 100)), (COLUMNS($AJ$2:AR353)-1)*100+1, 100))</f>
        <v/>
      </c>
      <c r="AS353" t="str">
        <f>TRIM(MID(SUBSTITUTE($G353, ",", REPT(" ", 100)), (COLUMNS($AJ$2:AS353)-1)*100+1, 100))</f>
        <v/>
      </c>
      <c r="AT353" t="str">
        <f>TRIM(MID(SUBSTITUTE($G353, ",", REPT(" ", 100)), (COLUMNS($AJ$2:AT353)-1)*100+1, 100))</f>
        <v/>
      </c>
      <c r="AU353" t="str">
        <f>TRIM(MID(SUBSTITUTE($G353, ",", REPT(" ", 100)), (COLUMNS($AJ$2:AU353)-1)*100+1, 100))</f>
        <v/>
      </c>
      <c r="AV353" t="str">
        <f>TRIM(MID(SUBSTITUTE($G353, ",", REPT(" ", 100)), (COLUMNS($AJ$2:AV353)-1)*100+1, 100))</f>
        <v/>
      </c>
      <c r="AW353" t="str">
        <f>TRIM(MID(SUBSTITUTE($G353, ",", REPT(" ", 100)), (COLUMNS($AJ$2:AW353)-1)*100+1, 100))</f>
        <v/>
      </c>
      <c r="AX353" t="str">
        <f>TRIM(MID(SUBSTITUTE($G353, ",", REPT(" ", 100)), (COLUMNS($AJ$2:AX353)-1)*100+1, 100))</f>
        <v/>
      </c>
      <c r="AY353" t="str">
        <f>TRIM(MID(SUBSTITUTE($G353, ",", REPT(" ", 100)), (COLUMNS($AJ$2:AY353)-1)*100+1, 100))</f>
        <v/>
      </c>
      <c r="AZ353" t="str">
        <f>TRIM(MID(SUBSTITUTE($G353, ",", REPT(" ", 100)), (COLUMNS($AJ$2:AZ353)-1)*100+1, 100))</f>
        <v/>
      </c>
      <c r="BA353" t="str">
        <f>TRIM(MID(SUBSTITUTE($G353, ",", REPT(" ", 100)), (COLUMNS($AJ$2:BA353)-1)*100+1, 100))</f>
        <v/>
      </c>
      <c r="BB353" t="str">
        <f>TRIM(MID(SUBSTITUTE($G353, ",", REPT(" ", 100)), (COLUMNS($AJ$2:BB353)-1)*100+1, 100))</f>
        <v/>
      </c>
      <c r="BC353" t="str">
        <f>TRIM(MID(SUBSTITUTE($G353, ",", REPT(" ", 100)), (COLUMNS($AJ$2:BC353)-1)*100+1, 100))</f>
        <v/>
      </c>
      <c r="BH353">
        <f t="shared" si="7"/>
        <v>1</v>
      </c>
    </row>
    <row r="354" spans="1:60" x14ac:dyDescent="0.5">
      <c r="A354" s="32" t="s">
        <v>433</v>
      </c>
      <c r="B354" s="257">
        <v>46375</v>
      </c>
      <c r="C354" s="2"/>
      <c r="D354" s="272"/>
      <c r="E354" s="271"/>
      <c r="I354" s="38">
        <v>0</v>
      </c>
      <c r="AL354" t="str">
        <f>TRIM(MID(SUBSTITUTE($G354, ",", REPT(" ", 100)), (COLUMNS($AJ$2:AL354)-1)*100+1, 100))</f>
        <v/>
      </c>
      <c r="AM354" s="1">
        <v>46010</v>
      </c>
      <c r="AN354" s="2"/>
      <c r="AO354" s="2">
        <v>2</v>
      </c>
      <c r="AQ354" t="str">
        <f>TRIM(MID(SUBSTITUTE($G354, ",", REPT(" ", 100)), (COLUMNS($AJ$2:AQ354)-1)*100+1, 100))</f>
        <v/>
      </c>
      <c r="AR354" t="str">
        <f>TRIM(MID(SUBSTITUTE($G354, ",", REPT(" ", 100)), (COLUMNS($AJ$2:AR354)-1)*100+1, 100))</f>
        <v/>
      </c>
      <c r="AS354" t="str">
        <f>TRIM(MID(SUBSTITUTE($G354, ",", REPT(" ", 100)), (COLUMNS($AJ$2:AS354)-1)*100+1, 100))</f>
        <v/>
      </c>
      <c r="AT354" t="str">
        <f>TRIM(MID(SUBSTITUTE($G354, ",", REPT(" ", 100)), (COLUMNS($AJ$2:AT354)-1)*100+1, 100))</f>
        <v/>
      </c>
      <c r="AU354" t="str">
        <f>TRIM(MID(SUBSTITUTE($G354, ",", REPT(" ", 100)), (COLUMNS($AJ$2:AU354)-1)*100+1, 100))</f>
        <v/>
      </c>
      <c r="AV354" t="str">
        <f>TRIM(MID(SUBSTITUTE($G354, ",", REPT(" ", 100)), (COLUMNS($AJ$2:AV354)-1)*100+1, 100))</f>
        <v/>
      </c>
      <c r="AW354" t="str">
        <f>TRIM(MID(SUBSTITUTE($G354, ",", REPT(" ", 100)), (COLUMNS($AJ$2:AW354)-1)*100+1, 100))</f>
        <v/>
      </c>
      <c r="AX354" t="str">
        <f>TRIM(MID(SUBSTITUTE($G354, ",", REPT(" ", 100)), (COLUMNS($AJ$2:AX354)-1)*100+1, 100))</f>
        <v/>
      </c>
      <c r="AY354" t="str">
        <f>TRIM(MID(SUBSTITUTE($G354, ",", REPT(" ", 100)), (COLUMNS($AJ$2:AY354)-1)*100+1, 100))</f>
        <v/>
      </c>
      <c r="AZ354" t="str">
        <f>TRIM(MID(SUBSTITUTE($G354, ",", REPT(" ", 100)), (COLUMNS($AJ$2:AZ354)-1)*100+1, 100))</f>
        <v/>
      </c>
      <c r="BA354" t="str">
        <f>TRIM(MID(SUBSTITUTE($G354, ",", REPT(" ", 100)), (COLUMNS($AJ$2:BA354)-1)*100+1, 100))</f>
        <v/>
      </c>
      <c r="BB354" t="str">
        <f>TRIM(MID(SUBSTITUTE($G354, ",", REPT(" ", 100)), (COLUMNS($AJ$2:BB354)-1)*100+1, 100))</f>
        <v/>
      </c>
      <c r="BC354" t="str">
        <f>TRIM(MID(SUBSTITUTE($G354, ",", REPT(" ", 100)), (COLUMNS($AJ$2:BC354)-1)*100+1, 100))</f>
        <v/>
      </c>
      <c r="BH354">
        <f t="shared" si="7"/>
        <v>1</v>
      </c>
    </row>
    <row r="355" spans="1:60" ht="14.7" thickBot="1" x14ac:dyDescent="0.55000000000000004">
      <c r="A355" s="32" t="s">
        <v>434</v>
      </c>
      <c r="B355" s="258">
        <v>46376</v>
      </c>
      <c r="C355" s="2"/>
      <c r="D355" s="272"/>
      <c r="E355" s="271"/>
      <c r="I355" s="38">
        <v>0</v>
      </c>
      <c r="AL355" t="str">
        <f>TRIM(MID(SUBSTITUTE($G355, ",", REPT(" ", 100)), (COLUMNS($AJ$2:AL355)-1)*100+1, 100))</f>
        <v/>
      </c>
      <c r="AM355" s="1">
        <v>46011</v>
      </c>
      <c r="AN355" s="2"/>
      <c r="AO355" s="2">
        <v>4</v>
      </c>
      <c r="AQ355" t="str">
        <f>TRIM(MID(SUBSTITUTE($G355, ",", REPT(" ", 100)), (COLUMNS($AJ$2:AQ355)-1)*100+1, 100))</f>
        <v/>
      </c>
      <c r="AR355" t="str">
        <f>TRIM(MID(SUBSTITUTE($G355, ",", REPT(" ", 100)), (COLUMNS($AJ$2:AR355)-1)*100+1, 100))</f>
        <v/>
      </c>
      <c r="AS355" t="str">
        <f>TRIM(MID(SUBSTITUTE($G355, ",", REPT(" ", 100)), (COLUMNS($AJ$2:AS355)-1)*100+1, 100))</f>
        <v/>
      </c>
      <c r="AT355" t="str">
        <f>TRIM(MID(SUBSTITUTE($G355, ",", REPT(" ", 100)), (COLUMNS($AJ$2:AT355)-1)*100+1, 100))</f>
        <v/>
      </c>
      <c r="AU355" t="str">
        <f>TRIM(MID(SUBSTITUTE($G355, ",", REPT(" ", 100)), (COLUMNS($AJ$2:AU355)-1)*100+1, 100))</f>
        <v/>
      </c>
      <c r="AV355" t="str">
        <f>TRIM(MID(SUBSTITUTE($G355, ",", REPT(" ", 100)), (COLUMNS($AJ$2:AV355)-1)*100+1, 100))</f>
        <v/>
      </c>
      <c r="AW355" t="str">
        <f>TRIM(MID(SUBSTITUTE($G355, ",", REPT(" ", 100)), (COLUMNS($AJ$2:AW355)-1)*100+1, 100))</f>
        <v/>
      </c>
      <c r="AX355" t="str">
        <f>TRIM(MID(SUBSTITUTE($G355, ",", REPT(" ", 100)), (COLUMNS($AJ$2:AX355)-1)*100+1, 100))</f>
        <v/>
      </c>
      <c r="AY355" t="str">
        <f>TRIM(MID(SUBSTITUTE($G355, ",", REPT(" ", 100)), (COLUMNS($AJ$2:AY355)-1)*100+1, 100))</f>
        <v/>
      </c>
      <c r="AZ355" t="str">
        <f>TRIM(MID(SUBSTITUTE($G355, ",", REPT(" ", 100)), (COLUMNS($AJ$2:AZ355)-1)*100+1, 100))</f>
        <v/>
      </c>
      <c r="BA355" t="str">
        <f>TRIM(MID(SUBSTITUTE($G355, ",", REPT(" ", 100)), (COLUMNS($AJ$2:BA355)-1)*100+1, 100))</f>
        <v/>
      </c>
      <c r="BB355" t="str">
        <f>TRIM(MID(SUBSTITUTE($G355, ",", REPT(" ", 100)), (COLUMNS($AJ$2:BB355)-1)*100+1, 100))</f>
        <v/>
      </c>
      <c r="BC355" t="str">
        <f>TRIM(MID(SUBSTITUTE($G355, ",", REPT(" ", 100)), (COLUMNS($AJ$2:BC355)-1)*100+1, 100))</f>
        <v/>
      </c>
      <c r="BH355">
        <f t="shared" si="7"/>
        <v>1</v>
      </c>
    </row>
    <row r="356" spans="1:60" x14ac:dyDescent="0.5">
      <c r="A356" s="32" t="s">
        <v>435</v>
      </c>
      <c r="B356" s="257">
        <v>46377</v>
      </c>
      <c r="C356" s="2"/>
      <c r="D356" s="272"/>
      <c r="E356" s="271"/>
      <c r="I356" s="38">
        <v>0</v>
      </c>
      <c r="AL356" t="str">
        <f>TRIM(MID(SUBSTITUTE($G356, ",", REPT(" ", 100)), (COLUMNS($AJ$2:AL356)-1)*100+1, 100))</f>
        <v/>
      </c>
      <c r="AM356" s="1">
        <v>46012</v>
      </c>
      <c r="AN356" s="2"/>
      <c r="AO356" s="2">
        <v>4</v>
      </c>
      <c r="AQ356" t="str">
        <f>TRIM(MID(SUBSTITUTE($G356, ",", REPT(" ", 100)), (COLUMNS($AJ$2:AQ356)-1)*100+1, 100))</f>
        <v/>
      </c>
      <c r="AR356" t="str">
        <f>TRIM(MID(SUBSTITUTE($G356, ",", REPT(" ", 100)), (COLUMNS($AJ$2:AR356)-1)*100+1, 100))</f>
        <v/>
      </c>
      <c r="AS356" t="str">
        <f>TRIM(MID(SUBSTITUTE($G356, ",", REPT(" ", 100)), (COLUMNS($AJ$2:AS356)-1)*100+1, 100))</f>
        <v/>
      </c>
      <c r="AT356" t="str">
        <f>TRIM(MID(SUBSTITUTE($G356, ",", REPT(" ", 100)), (COLUMNS($AJ$2:AT356)-1)*100+1, 100))</f>
        <v/>
      </c>
      <c r="AU356" t="str">
        <f>TRIM(MID(SUBSTITUTE($G356, ",", REPT(" ", 100)), (COLUMNS($AJ$2:AU356)-1)*100+1, 100))</f>
        <v/>
      </c>
      <c r="AV356" t="str">
        <f>TRIM(MID(SUBSTITUTE($G356, ",", REPT(" ", 100)), (COLUMNS($AJ$2:AV356)-1)*100+1, 100))</f>
        <v/>
      </c>
      <c r="AW356" t="str">
        <f>TRIM(MID(SUBSTITUTE($G356, ",", REPT(" ", 100)), (COLUMNS($AJ$2:AW356)-1)*100+1, 100))</f>
        <v/>
      </c>
      <c r="AX356" t="str">
        <f>TRIM(MID(SUBSTITUTE($G356, ",", REPT(" ", 100)), (COLUMNS($AJ$2:AX356)-1)*100+1, 100))</f>
        <v/>
      </c>
      <c r="AY356" t="str">
        <f>TRIM(MID(SUBSTITUTE($G356, ",", REPT(" ", 100)), (COLUMNS($AJ$2:AY356)-1)*100+1, 100))</f>
        <v/>
      </c>
      <c r="AZ356" t="str">
        <f>TRIM(MID(SUBSTITUTE($G356, ",", REPT(" ", 100)), (COLUMNS($AJ$2:AZ356)-1)*100+1, 100))</f>
        <v/>
      </c>
      <c r="BA356" t="str">
        <f>TRIM(MID(SUBSTITUTE($G356, ",", REPT(" ", 100)), (COLUMNS($AJ$2:BA356)-1)*100+1, 100))</f>
        <v/>
      </c>
      <c r="BB356" t="str">
        <f>TRIM(MID(SUBSTITUTE($G356, ",", REPT(" ", 100)), (COLUMNS($AJ$2:BB356)-1)*100+1, 100))</f>
        <v/>
      </c>
      <c r="BC356" t="str">
        <f>TRIM(MID(SUBSTITUTE($G356, ",", REPT(" ", 100)), (COLUMNS($AJ$2:BC356)-1)*100+1, 100))</f>
        <v/>
      </c>
      <c r="BH356">
        <f t="shared" si="7"/>
        <v>1</v>
      </c>
    </row>
    <row r="357" spans="1:60" ht="14.7" thickBot="1" x14ac:dyDescent="0.55000000000000004">
      <c r="A357" s="32" t="s">
        <v>436</v>
      </c>
      <c r="B357" s="258">
        <v>46378</v>
      </c>
      <c r="C357" s="2"/>
      <c r="D357" s="272"/>
      <c r="E357" s="271"/>
      <c r="I357" s="38">
        <v>0</v>
      </c>
      <c r="AL357" t="str">
        <f>TRIM(MID(SUBSTITUTE($G357, ",", REPT(" ", 100)), (COLUMNS($AJ$2:AL357)-1)*100+1, 100))</f>
        <v/>
      </c>
      <c r="AM357" s="1">
        <v>46013</v>
      </c>
      <c r="AN357" s="2"/>
      <c r="AO357" s="2">
        <v>4</v>
      </c>
      <c r="AQ357" t="str">
        <f>TRIM(MID(SUBSTITUTE($G357, ",", REPT(" ", 100)), (COLUMNS($AJ$2:AQ357)-1)*100+1, 100))</f>
        <v/>
      </c>
      <c r="AR357" t="str">
        <f>TRIM(MID(SUBSTITUTE($G357, ",", REPT(" ", 100)), (COLUMNS($AJ$2:AR357)-1)*100+1, 100))</f>
        <v/>
      </c>
      <c r="AS357" t="str">
        <f>TRIM(MID(SUBSTITUTE($G357, ",", REPT(" ", 100)), (COLUMNS($AJ$2:AS357)-1)*100+1, 100))</f>
        <v/>
      </c>
      <c r="AT357" t="str">
        <f>TRIM(MID(SUBSTITUTE($G357, ",", REPT(" ", 100)), (COLUMNS($AJ$2:AT357)-1)*100+1, 100))</f>
        <v/>
      </c>
      <c r="AU357" t="str">
        <f>TRIM(MID(SUBSTITUTE($G357, ",", REPT(" ", 100)), (COLUMNS($AJ$2:AU357)-1)*100+1, 100))</f>
        <v/>
      </c>
      <c r="AV357" t="str">
        <f>TRIM(MID(SUBSTITUTE($G357, ",", REPT(" ", 100)), (COLUMNS($AJ$2:AV357)-1)*100+1, 100))</f>
        <v/>
      </c>
      <c r="AW357" t="str">
        <f>TRIM(MID(SUBSTITUTE($G357, ",", REPT(" ", 100)), (COLUMNS($AJ$2:AW357)-1)*100+1, 100))</f>
        <v/>
      </c>
      <c r="AX357" t="str">
        <f>TRIM(MID(SUBSTITUTE($G357, ",", REPT(" ", 100)), (COLUMNS($AJ$2:AX357)-1)*100+1, 100))</f>
        <v/>
      </c>
      <c r="AY357" t="str">
        <f>TRIM(MID(SUBSTITUTE($G357, ",", REPT(" ", 100)), (COLUMNS($AJ$2:AY357)-1)*100+1, 100))</f>
        <v/>
      </c>
      <c r="AZ357" t="str">
        <f>TRIM(MID(SUBSTITUTE($G357, ",", REPT(" ", 100)), (COLUMNS($AJ$2:AZ357)-1)*100+1, 100))</f>
        <v/>
      </c>
      <c r="BA357" t="str">
        <f>TRIM(MID(SUBSTITUTE($G357, ",", REPT(" ", 100)), (COLUMNS($AJ$2:BA357)-1)*100+1, 100))</f>
        <v/>
      </c>
      <c r="BB357" t="str">
        <f>TRIM(MID(SUBSTITUTE($G357, ",", REPT(" ", 100)), (COLUMNS($AJ$2:BB357)-1)*100+1, 100))</f>
        <v/>
      </c>
      <c r="BC357" t="str">
        <f>TRIM(MID(SUBSTITUTE($G357, ",", REPT(" ", 100)), (COLUMNS($AJ$2:BC357)-1)*100+1, 100))</f>
        <v/>
      </c>
      <c r="BH357">
        <f t="shared" si="7"/>
        <v>1</v>
      </c>
    </row>
    <row r="358" spans="1:60" x14ac:dyDescent="0.5">
      <c r="A358" s="32" t="s">
        <v>437</v>
      </c>
      <c r="B358" s="257">
        <v>46379</v>
      </c>
      <c r="C358" s="2"/>
      <c r="D358" s="272"/>
      <c r="E358" s="271"/>
      <c r="I358" s="38">
        <v>0</v>
      </c>
      <c r="AL358" t="str">
        <f>TRIM(MID(SUBSTITUTE($G358, ",", REPT(" ", 100)), (COLUMNS($AJ$2:AL358)-1)*100+1, 100))</f>
        <v/>
      </c>
      <c r="AM358" s="1">
        <v>46014</v>
      </c>
      <c r="AN358" s="2"/>
      <c r="AO358" s="2">
        <v>4</v>
      </c>
      <c r="AQ358" t="str">
        <f>TRIM(MID(SUBSTITUTE($G358, ",", REPT(" ", 100)), (COLUMNS($AJ$2:AQ358)-1)*100+1, 100))</f>
        <v/>
      </c>
      <c r="AR358" t="str">
        <f>TRIM(MID(SUBSTITUTE($G358, ",", REPT(" ", 100)), (COLUMNS($AJ$2:AR358)-1)*100+1, 100))</f>
        <v/>
      </c>
      <c r="AS358" t="str">
        <f>TRIM(MID(SUBSTITUTE($G358, ",", REPT(" ", 100)), (COLUMNS($AJ$2:AS358)-1)*100+1, 100))</f>
        <v/>
      </c>
      <c r="AT358" t="str">
        <f>TRIM(MID(SUBSTITUTE($G358, ",", REPT(" ", 100)), (COLUMNS($AJ$2:AT358)-1)*100+1, 100))</f>
        <v/>
      </c>
      <c r="AU358" t="str">
        <f>TRIM(MID(SUBSTITUTE($G358, ",", REPT(" ", 100)), (COLUMNS($AJ$2:AU358)-1)*100+1, 100))</f>
        <v/>
      </c>
      <c r="AV358" t="str">
        <f>TRIM(MID(SUBSTITUTE($G358, ",", REPT(" ", 100)), (COLUMNS($AJ$2:AV358)-1)*100+1, 100))</f>
        <v/>
      </c>
      <c r="AW358" t="str">
        <f>TRIM(MID(SUBSTITUTE($G358, ",", REPT(" ", 100)), (COLUMNS($AJ$2:AW358)-1)*100+1, 100))</f>
        <v/>
      </c>
      <c r="AX358" t="str">
        <f>TRIM(MID(SUBSTITUTE($G358, ",", REPT(" ", 100)), (COLUMNS($AJ$2:AX358)-1)*100+1, 100))</f>
        <v/>
      </c>
      <c r="AY358" t="str">
        <f>TRIM(MID(SUBSTITUTE($G358, ",", REPT(" ", 100)), (COLUMNS($AJ$2:AY358)-1)*100+1, 100))</f>
        <v/>
      </c>
      <c r="AZ358" t="str">
        <f>TRIM(MID(SUBSTITUTE($G358, ",", REPT(" ", 100)), (COLUMNS($AJ$2:AZ358)-1)*100+1, 100))</f>
        <v/>
      </c>
      <c r="BA358" t="str">
        <f>TRIM(MID(SUBSTITUTE($G358, ",", REPT(" ", 100)), (COLUMNS($AJ$2:BA358)-1)*100+1, 100))</f>
        <v/>
      </c>
      <c r="BB358" t="str">
        <f>TRIM(MID(SUBSTITUTE($G358, ",", REPT(" ", 100)), (COLUMNS($AJ$2:BB358)-1)*100+1, 100))</f>
        <v/>
      </c>
      <c r="BC358" t="str">
        <f>TRIM(MID(SUBSTITUTE($G358, ",", REPT(" ", 100)), (COLUMNS($AJ$2:BC358)-1)*100+1, 100))</f>
        <v/>
      </c>
      <c r="BH358">
        <f t="shared" si="7"/>
        <v>1</v>
      </c>
    </row>
    <row r="359" spans="1:60" ht="14.7" thickBot="1" x14ac:dyDescent="0.55000000000000004">
      <c r="A359" s="32" t="s">
        <v>431</v>
      </c>
      <c r="B359" s="258">
        <v>46380</v>
      </c>
      <c r="C359" s="2"/>
      <c r="D359" s="272"/>
      <c r="E359" s="271"/>
      <c r="I359" s="38">
        <v>0</v>
      </c>
      <c r="AL359" t="str">
        <f>TRIM(MID(SUBSTITUTE($G359, ",", REPT(" ", 100)), (COLUMNS($AJ$2:AL359)-1)*100+1, 100))</f>
        <v/>
      </c>
      <c r="AM359" s="1">
        <v>46015</v>
      </c>
      <c r="AN359" s="2"/>
      <c r="AO359" s="2">
        <v>10</v>
      </c>
      <c r="AQ359" t="str">
        <f>TRIM(MID(SUBSTITUTE($G359, ",", REPT(" ", 100)), (COLUMNS($AJ$2:AQ359)-1)*100+1, 100))</f>
        <v/>
      </c>
      <c r="AR359" t="str">
        <f>TRIM(MID(SUBSTITUTE($G359, ",", REPT(" ", 100)), (COLUMNS($AJ$2:AR359)-1)*100+1, 100))</f>
        <v/>
      </c>
      <c r="AS359" t="str">
        <f>TRIM(MID(SUBSTITUTE($G359, ",", REPT(" ", 100)), (COLUMNS($AJ$2:AS359)-1)*100+1, 100))</f>
        <v/>
      </c>
      <c r="AT359" t="str">
        <f>TRIM(MID(SUBSTITUTE($G359, ",", REPT(" ", 100)), (COLUMNS($AJ$2:AT359)-1)*100+1, 100))</f>
        <v/>
      </c>
      <c r="AU359" t="str">
        <f>TRIM(MID(SUBSTITUTE($G359, ",", REPT(" ", 100)), (COLUMNS($AJ$2:AU359)-1)*100+1, 100))</f>
        <v/>
      </c>
      <c r="AV359" t="str">
        <f>TRIM(MID(SUBSTITUTE($G359, ",", REPT(" ", 100)), (COLUMNS($AJ$2:AV359)-1)*100+1, 100))</f>
        <v/>
      </c>
      <c r="AW359" t="str">
        <f>TRIM(MID(SUBSTITUTE($G359, ",", REPT(" ", 100)), (COLUMNS($AJ$2:AW359)-1)*100+1, 100))</f>
        <v/>
      </c>
      <c r="AX359" t="str">
        <f>TRIM(MID(SUBSTITUTE($G359, ",", REPT(" ", 100)), (COLUMNS($AJ$2:AX359)-1)*100+1, 100))</f>
        <v/>
      </c>
      <c r="AY359" t="str">
        <f>TRIM(MID(SUBSTITUTE($G359, ",", REPT(" ", 100)), (COLUMNS($AJ$2:AY359)-1)*100+1, 100))</f>
        <v/>
      </c>
      <c r="AZ359" t="str">
        <f>TRIM(MID(SUBSTITUTE($G359, ",", REPT(" ", 100)), (COLUMNS($AJ$2:AZ359)-1)*100+1, 100))</f>
        <v/>
      </c>
      <c r="BA359" t="str">
        <f>TRIM(MID(SUBSTITUTE($G359, ",", REPT(" ", 100)), (COLUMNS($AJ$2:BA359)-1)*100+1, 100))</f>
        <v/>
      </c>
      <c r="BB359" t="str">
        <f>TRIM(MID(SUBSTITUTE($G359, ",", REPT(" ", 100)), (COLUMNS($AJ$2:BB359)-1)*100+1, 100))</f>
        <v/>
      </c>
      <c r="BC359" t="str">
        <f>TRIM(MID(SUBSTITUTE($G359, ",", REPT(" ", 100)), (COLUMNS($AJ$2:BC359)-1)*100+1, 100))</f>
        <v/>
      </c>
      <c r="BH359">
        <f t="shared" si="7"/>
        <v>1</v>
      </c>
    </row>
    <row r="360" spans="1:60" x14ac:dyDescent="0.5">
      <c r="A360" s="32" t="s">
        <v>432</v>
      </c>
      <c r="B360" s="257">
        <v>46381</v>
      </c>
      <c r="C360" s="2"/>
      <c r="D360" s="272"/>
      <c r="E360" s="271"/>
      <c r="I360" s="38">
        <v>0</v>
      </c>
      <c r="AL360" t="str">
        <f>TRIM(MID(SUBSTITUTE($G360, ",", REPT(" ", 100)), (COLUMNS($AJ$2:AL360)-1)*100+1, 100))</f>
        <v/>
      </c>
      <c r="AM360" s="1">
        <v>46016</v>
      </c>
      <c r="AN360" s="2"/>
      <c r="AO360" s="2">
        <v>6</v>
      </c>
      <c r="AQ360" t="str">
        <f>TRIM(MID(SUBSTITUTE($G360, ",", REPT(" ", 100)), (COLUMNS($AJ$2:AQ360)-1)*100+1, 100))</f>
        <v/>
      </c>
      <c r="AR360" t="str">
        <f>TRIM(MID(SUBSTITUTE($G360, ",", REPT(" ", 100)), (COLUMNS($AJ$2:AR360)-1)*100+1, 100))</f>
        <v/>
      </c>
      <c r="AS360" t="str">
        <f>TRIM(MID(SUBSTITUTE($G360, ",", REPT(" ", 100)), (COLUMNS($AJ$2:AS360)-1)*100+1, 100))</f>
        <v/>
      </c>
      <c r="AT360" t="str">
        <f>TRIM(MID(SUBSTITUTE($G360, ",", REPT(" ", 100)), (COLUMNS($AJ$2:AT360)-1)*100+1, 100))</f>
        <v/>
      </c>
      <c r="AU360" t="str">
        <f>TRIM(MID(SUBSTITUTE($G360, ",", REPT(" ", 100)), (COLUMNS($AJ$2:AU360)-1)*100+1, 100))</f>
        <v/>
      </c>
      <c r="AV360" t="str">
        <f>TRIM(MID(SUBSTITUTE($G360, ",", REPT(" ", 100)), (COLUMNS($AJ$2:AV360)-1)*100+1, 100))</f>
        <v/>
      </c>
      <c r="AW360" t="str">
        <f>TRIM(MID(SUBSTITUTE($G360, ",", REPT(" ", 100)), (COLUMNS($AJ$2:AW360)-1)*100+1, 100))</f>
        <v/>
      </c>
      <c r="AX360" t="str">
        <f>TRIM(MID(SUBSTITUTE($G360, ",", REPT(" ", 100)), (COLUMNS($AJ$2:AX360)-1)*100+1, 100))</f>
        <v/>
      </c>
      <c r="AY360" t="str">
        <f>TRIM(MID(SUBSTITUTE($G360, ",", REPT(" ", 100)), (COLUMNS($AJ$2:AY360)-1)*100+1, 100))</f>
        <v/>
      </c>
      <c r="AZ360" t="str">
        <f>TRIM(MID(SUBSTITUTE($G360, ",", REPT(" ", 100)), (COLUMNS($AJ$2:AZ360)-1)*100+1, 100))</f>
        <v/>
      </c>
      <c r="BA360" t="str">
        <f>TRIM(MID(SUBSTITUTE($G360, ",", REPT(" ", 100)), (COLUMNS($AJ$2:BA360)-1)*100+1, 100))</f>
        <v/>
      </c>
      <c r="BB360" t="str">
        <f>TRIM(MID(SUBSTITUTE($G360, ",", REPT(" ", 100)), (COLUMNS($AJ$2:BB360)-1)*100+1, 100))</f>
        <v/>
      </c>
      <c r="BC360" t="str">
        <f>TRIM(MID(SUBSTITUTE($G360, ",", REPT(" ", 100)), (COLUMNS($AJ$2:BC360)-1)*100+1, 100))</f>
        <v/>
      </c>
      <c r="BH360">
        <f t="shared" si="7"/>
        <v>1</v>
      </c>
    </row>
    <row r="361" spans="1:60" ht="14.7" thickBot="1" x14ac:dyDescent="0.55000000000000004">
      <c r="A361" s="32" t="s">
        <v>433</v>
      </c>
      <c r="B361" s="258">
        <v>46382</v>
      </c>
      <c r="C361" s="2"/>
      <c r="D361" s="272"/>
      <c r="E361" s="271"/>
      <c r="I361" s="38">
        <v>0</v>
      </c>
      <c r="AL361" t="str">
        <f>TRIM(MID(SUBSTITUTE($G361, ",", REPT(" ", 100)), (COLUMNS($AJ$2:AL361)-1)*100+1, 100))</f>
        <v/>
      </c>
      <c r="AM361" s="1">
        <v>46017</v>
      </c>
      <c r="AN361" s="2"/>
      <c r="AO361" s="2">
        <v>4</v>
      </c>
      <c r="AQ361" t="str">
        <f>TRIM(MID(SUBSTITUTE($G361, ",", REPT(" ", 100)), (COLUMNS($AJ$2:AQ361)-1)*100+1, 100))</f>
        <v/>
      </c>
      <c r="AR361" t="str">
        <f>TRIM(MID(SUBSTITUTE($G361, ",", REPT(" ", 100)), (COLUMNS($AJ$2:AR361)-1)*100+1, 100))</f>
        <v/>
      </c>
      <c r="AS361" t="str">
        <f>TRIM(MID(SUBSTITUTE($G361, ",", REPT(" ", 100)), (COLUMNS($AJ$2:AS361)-1)*100+1, 100))</f>
        <v/>
      </c>
      <c r="AT361" t="str">
        <f>TRIM(MID(SUBSTITUTE($G361, ",", REPT(" ", 100)), (COLUMNS($AJ$2:AT361)-1)*100+1, 100))</f>
        <v/>
      </c>
      <c r="AU361" t="str">
        <f>TRIM(MID(SUBSTITUTE($G361, ",", REPT(" ", 100)), (COLUMNS($AJ$2:AU361)-1)*100+1, 100))</f>
        <v/>
      </c>
      <c r="AV361" t="str">
        <f>TRIM(MID(SUBSTITUTE($G361, ",", REPT(" ", 100)), (COLUMNS($AJ$2:AV361)-1)*100+1, 100))</f>
        <v/>
      </c>
      <c r="AW361" t="str">
        <f>TRIM(MID(SUBSTITUTE($G361, ",", REPT(" ", 100)), (COLUMNS($AJ$2:AW361)-1)*100+1, 100))</f>
        <v/>
      </c>
      <c r="AX361" t="str">
        <f>TRIM(MID(SUBSTITUTE($G361, ",", REPT(" ", 100)), (COLUMNS($AJ$2:AX361)-1)*100+1, 100))</f>
        <v/>
      </c>
      <c r="AY361" t="str">
        <f>TRIM(MID(SUBSTITUTE($G361, ",", REPT(" ", 100)), (COLUMNS($AJ$2:AY361)-1)*100+1, 100))</f>
        <v/>
      </c>
      <c r="AZ361" t="str">
        <f>TRIM(MID(SUBSTITUTE($G361, ",", REPT(" ", 100)), (COLUMNS($AJ$2:AZ361)-1)*100+1, 100))</f>
        <v/>
      </c>
      <c r="BA361" t="str">
        <f>TRIM(MID(SUBSTITUTE($G361, ",", REPT(" ", 100)), (COLUMNS($AJ$2:BA361)-1)*100+1, 100))</f>
        <v/>
      </c>
      <c r="BB361" t="str">
        <f>TRIM(MID(SUBSTITUTE($G361, ",", REPT(" ", 100)), (COLUMNS($AJ$2:BB361)-1)*100+1, 100))</f>
        <v/>
      </c>
      <c r="BC361" t="str">
        <f>TRIM(MID(SUBSTITUTE($G361, ",", REPT(" ", 100)), (COLUMNS($AJ$2:BC361)-1)*100+1, 100))</f>
        <v/>
      </c>
      <c r="BH361">
        <f t="shared" si="7"/>
        <v>1</v>
      </c>
    </row>
    <row r="362" spans="1:60" x14ac:dyDescent="0.5">
      <c r="A362" s="32" t="s">
        <v>434</v>
      </c>
      <c r="B362" s="257">
        <v>46383</v>
      </c>
      <c r="C362" s="2"/>
      <c r="D362" s="272"/>
      <c r="E362" s="271"/>
      <c r="I362" s="38">
        <v>0</v>
      </c>
      <c r="AL362" t="str">
        <f>TRIM(MID(SUBSTITUTE($G362, ",", REPT(" ", 100)), (COLUMNS($AJ$2:AL362)-1)*100+1, 100))</f>
        <v/>
      </c>
      <c r="AM362" s="1">
        <v>46018</v>
      </c>
      <c r="AN362" s="2"/>
      <c r="AO362" s="2">
        <v>4</v>
      </c>
      <c r="AQ362" t="str">
        <f>TRIM(MID(SUBSTITUTE($G362, ",", REPT(" ", 100)), (COLUMNS($AJ$2:AQ362)-1)*100+1, 100))</f>
        <v/>
      </c>
      <c r="AR362" t="str">
        <f>TRIM(MID(SUBSTITUTE($G362, ",", REPT(" ", 100)), (COLUMNS($AJ$2:AR362)-1)*100+1, 100))</f>
        <v/>
      </c>
      <c r="AS362" t="str">
        <f>TRIM(MID(SUBSTITUTE($G362, ",", REPT(" ", 100)), (COLUMNS($AJ$2:AS362)-1)*100+1, 100))</f>
        <v/>
      </c>
      <c r="AT362" t="str">
        <f>TRIM(MID(SUBSTITUTE($G362, ",", REPT(" ", 100)), (COLUMNS($AJ$2:AT362)-1)*100+1, 100))</f>
        <v/>
      </c>
      <c r="AU362" t="str">
        <f>TRIM(MID(SUBSTITUTE($G362, ",", REPT(" ", 100)), (COLUMNS($AJ$2:AU362)-1)*100+1, 100))</f>
        <v/>
      </c>
      <c r="AV362" t="str">
        <f>TRIM(MID(SUBSTITUTE($G362, ",", REPT(" ", 100)), (COLUMNS($AJ$2:AV362)-1)*100+1, 100))</f>
        <v/>
      </c>
      <c r="AW362" t="str">
        <f>TRIM(MID(SUBSTITUTE($G362, ",", REPT(" ", 100)), (COLUMNS($AJ$2:AW362)-1)*100+1, 100))</f>
        <v/>
      </c>
      <c r="AX362" t="str">
        <f>TRIM(MID(SUBSTITUTE($G362, ",", REPT(" ", 100)), (COLUMNS($AJ$2:AX362)-1)*100+1, 100))</f>
        <v/>
      </c>
      <c r="AY362" t="str">
        <f>TRIM(MID(SUBSTITUTE($G362, ",", REPT(" ", 100)), (COLUMNS($AJ$2:AY362)-1)*100+1, 100))</f>
        <v/>
      </c>
      <c r="AZ362" t="str">
        <f>TRIM(MID(SUBSTITUTE($G362, ",", REPT(" ", 100)), (COLUMNS($AJ$2:AZ362)-1)*100+1, 100))</f>
        <v/>
      </c>
      <c r="BA362" t="str">
        <f>TRIM(MID(SUBSTITUTE($G362, ",", REPT(" ", 100)), (COLUMNS($AJ$2:BA362)-1)*100+1, 100))</f>
        <v/>
      </c>
      <c r="BB362" t="str">
        <f>TRIM(MID(SUBSTITUTE($G362, ",", REPT(" ", 100)), (COLUMNS($AJ$2:BB362)-1)*100+1, 100))</f>
        <v/>
      </c>
      <c r="BC362" t="str">
        <f>TRIM(MID(SUBSTITUTE($G362, ",", REPT(" ", 100)), (COLUMNS($AJ$2:BC362)-1)*100+1, 100))</f>
        <v/>
      </c>
      <c r="BH362">
        <f t="shared" si="7"/>
        <v>1</v>
      </c>
    </row>
    <row r="363" spans="1:60" ht="14.7" thickBot="1" x14ac:dyDescent="0.55000000000000004">
      <c r="A363" s="32" t="s">
        <v>435</v>
      </c>
      <c r="B363" s="258">
        <v>46384</v>
      </c>
      <c r="C363" s="2"/>
      <c r="D363" s="272"/>
      <c r="E363" s="271"/>
      <c r="I363" s="38">
        <v>0</v>
      </c>
      <c r="AL363" t="str">
        <f>TRIM(MID(SUBSTITUTE($G363, ",", REPT(" ", 100)), (COLUMNS($AJ$2:AL363)-1)*100+1, 100))</f>
        <v/>
      </c>
      <c r="AM363" s="1">
        <v>46019</v>
      </c>
      <c r="AN363" s="2"/>
      <c r="AO363" s="2">
        <v>4</v>
      </c>
      <c r="AQ363" t="str">
        <f>TRIM(MID(SUBSTITUTE($G363, ",", REPT(" ", 100)), (COLUMNS($AJ$2:AQ363)-1)*100+1, 100))</f>
        <v/>
      </c>
      <c r="AR363" t="str">
        <f>TRIM(MID(SUBSTITUTE($G363, ",", REPT(" ", 100)), (COLUMNS($AJ$2:AR363)-1)*100+1, 100))</f>
        <v/>
      </c>
      <c r="AS363" t="str">
        <f>TRIM(MID(SUBSTITUTE($G363, ",", REPT(" ", 100)), (COLUMNS($AJ$2:AS363)-1)*100+1, 100))</f>
        <v/>
      </c>
      <c r="AT363" t="str">
        <f>TRIM(MID(SUBSTITUTE($G363, ",", REPT(" ", 100)), (COLUMNS($AJ$2:AT363)-1)*100+1, 100))</f>
        <v/>
      </c>
      <c r="AU363" t="str">
        <f>TRIM(MID(SUBSTITUTE($G363, ",", REPT(" ", 100)), (COLUMNS($AJ$2:AU363)-1)*100+1, 100))</f>
        <v/>
      </c>
      <c r="AV363" t="str">
        <f>TRIM(MID(SUBSTITUTE($G363, ",", REPT(" ", 100)), (COLUMNS($AJ$2:AV363)-1)*100+1, 100))</f>
        <v/>
      </c>
      <c r="AW363" t="str">
        <f>TRIM(MID(SUBSTITUTE($G363, ",", REPT(" ", 100)), (COLUMNS($AJ$2:AW363)-1)*100+1, 100))</f>
        <v/>
      </c>
      <c r="AX363" t="str">
        <f>TRIM(MID(SUBSTITUTE($G363, ",", REPT(" ", 100)), (COLUMNS($AJ$2:AX363)-1)*100+1, 100))</f>
        <v/>
      </c>
      <c r="AY363" t="str">
        <f>TRIM(MID(SUBSTITUTE($G363, ",", REPT(" ", 100)), (COLUMNS($AJ$2:AY363)-1)*100+1, 100))</f>
        <v/>
      </c>
      <c r="AZ363" t="str">
        <f>TRIM(MID(SUBSTITUTE($G363, ",", REPT(" ", 100)), (COLUMNS($AJ$2:AZ363)-1)*100+1, 100))</f>
        <v/>
      </c>
      <c r="BA363" t="str">
        <f>TRIM(MID(SUBSTITUTE($G363, ",", REPT(" ", 100)), (COLUMNS($AJ$2:BA363)-1)*100+1, 100))</f>
        <v/>
      </c>
      <c r="BB363" t="str">
        <f>TRIM(MID(SUBSTITUTE($G363, ",", REPT(" ", 100)), (COLUMNS($AJ$2:BB363)-1)*100+1, 100))</f>
        <v/>
      </c>
      <c r="BC363" t="str">
        <f>TRIM(MID(SUBSTITUTE($G363, ",", REPT(" ", 100)), (COLUMNS($AJ$2:BC363)-1)*100+1, 100))</f>
        <v/>
      </c>
      <c r="BH363">
        <f t="shared" si="7"/>
        <v>1</v>
      </c>
    </row>
    <row r="364" spans="1:60" x14ac:dyDescent="0.5">
      <c r="A364" s="32" t="s">
        <v>436</v>
      </c>
      <c r="B364" s="257">
        <v>46385</v>
      </c>
      <c r="C364" s="2"/>
      <c r="D364" s="272"/>
      <c r="E364" s="271"/>
      <c r="I364" s="38">
        <v>0</v>
      </c>
      <c r="AL364" t="str">
        <f>TRIM(MID(SUBSTITUTE($G364, ",", REPT(" ", 100)), (COLUMNS($AJ$2:AL364)-1)*100+1, 100))</f>
        <v/>
      </c>
      <c r="AM364" s="1">
        <v>46020</v>
      </c>
      <c r="AN364" s="2"/>
      <c r="AO364" s="2">
        <v>6</v>
      </c>
      <c r="AQ364" t="str">
        <f>TRIM(MID(SUBSTITUTE($G364, ",", REPT(" ", 100)), (COLUMNS($AJ$2:AQ364)-1)*100+1, 100))</f>
        <v/>
      </c>
      <c r="AR364" t="str">
        <f>TRIM(MID(SUBSTITUTE($G364, ",", REPT(" ", 100)), (COLUMNS($AJ$2:AR364)-1)*100+1, 100))</f>
        <v/>
      </c>
      <c r="AS364" t="str">
        <f>TRIM(MID(SUBSTITUTE($G364, ",", REPT(" ", 100)), (COLUMNS($AJ$2:AS364)-1)*100+1, 100))</f>
        <v/>
      </c>
      <c r="AT364" t="str">
        <f>TRIM(MID(SUBSTITUTE($G364, ",", REPT(" ", 100)), (COLUMNS($AJ$2:AT364)-1)*100+1, 100))</f>
        <v/>
      </c>
      <c r="AU364" t="str">
        <f>TRIM(MID(SUBSTITUTE($G364, ",", REPT(" ", 100)), (COLUMNS($AJ$2:AU364)-1)*100+1, 100))</f>
        <v/>
      </c>
      <c r="AV364" t="str">
        <f>TRIM(MID(SUBSTITUTE($G364, ",", REPT(" ", 100)), (COLUMNS($AJ$2:AV364)-1)*100+1, 100))</f>
        <v/>
      </c>
      <c r="AW364" t="str">
        <f>TRIM(MID(SUBSTITUTE($G364, ",", REPT(" ", 100)), (COLUMNS($AJ$2:AW364)-1)*100+1, 100))</f>
        <v/>
      </c>
      <c r="AX364" t="str">
        <f>TRIM(MID(SUBSTITUTE($G364, ",", REPT(" ", 100)), (COLUMNS($AJ$2:AX364)-1)*100+1, 100))</f>
        <v/>
      </c>
      <c r="BA364" t="str">
        <f>TRIM(MID(SUBSTITUTE($G364, ",", REPT(" ", 100)), (COLUMNS($AJ$2:BA364)-1)*100+1, 100))</f>
        <v/>
      </c>
      <c r="BB364" t="str">
        <f>TRIM(MID(SUBSTITUTE($G364, ",", REPT(" ", 100)), (COLUMNS($AJ$2:BB364)-1)*100+1, 100))</f>
        <v/>
      </c>
      <c r="BC364" t="str">
        <f>TRIM(MID(SUBSTITUTE($G364, ",", REPT(" ", 100)), (COLUMNS($AJ$2:BC364)-1)*100+1, 100))</f>
        <v/>
      </c>
      <c r="BH364">
        <f t="shared" si="7"/>
        <v>1</v>
      </c>
    </row>
    <row r="365" spans="1:60" ht="14.7" thickBot="1" x14ac:dyDescent="0.55000000000000004">
      <c r="A365" s="32" t="s">
        <v>437</v>
      </c>
      <c r="B365" s="258">
        <v>46386</v>
      </c>
      <c r="C365" s="2"/>
      <c r="D365" s="272"/>
      <c r="E365" s="271"/>
      <c r="I365" s="38">
        <v>0</v>
      </c>
      <c r="AL365" t="str">
        <f>TRIM(MID(SUBSTITUTE($G365, ",", REPT(" ", 100)), (COLUMNS($AJ$2:AL365)-1)*100+1, 100))</f>
        <v/>
      </c>
      <c r="AM365" s="1">
        <v>46021</v>
      </c>
      <c r="AN365" s="2"/>
      <c r="AO365" s="2">
        <v>4</v>
      </c>
      <c r="AQ365" t="str">
        <f>TRIM(MID(SUBSTITUTE($G365, ",", REPT(" ", 100)), (COLUMNS($AJ$2:AQ365)-1)*100+1, 100))</f>
        <v/>
      </c>
      <c r="AR365" t="str">
        <f>TRIM(MID(SUBSTITUTE($G365, ",", REPT(" ", 100)), (COLUMNS($AJ$2:AR365)-1)*100+1, 100))</f>
        <v/>
      </c>
      <c r="AS365" t="str">
        <f>TRIM(MID(SUBSTITUTE($G365, ",", REPT(" ", 100)), (COLUMNS($AJ$2:AS365)-1)*100+1, 100))</f>
        <v/>
      </c>
      <c r="AT365" t="str">
        <f>TRIM(MID(SUBSTITUTE($G365, ",", REPT(" ", 100)), (COLUMNS($AJ$2:AT365)-1)*100+1, 100))</f>
        <v/>
      </c>
      <c r="AU365" t="str">
        <f>TRIM(MID(SUBSTITUTE($G365, ",", REPT(" ", 100)), (COLUMNS($AJ$2:AU365)-1)*100+1, 100))</f>
        <v/>
      </c>
      <c r="AV365" t="str">
        <f>TRIM(MID(SUBSTITUTE($G365, ",", REPT(" ", 100)), (COLUMNS($AJ$2:AV365)-1)*100+1, 100))</f>
        <v/>
      </c>
      <c r="AW365" t="str">
        <f>TRIM(MID(SUBSTITUTE($G365, ",", REPT(" ", 100)), (COLUMNS($AJ$2:AW365)-1)*100+1, 100))</f>
        <v/>
      </c>
      <c r="AX365" t="str">
        <f>TRIM(MID(SUBSTITUTE($G365, ",", REPT(" ", 100)), (COLUMNS($AJ$2:AX365)-1)*100+1, 100))</f>
        <v/>
      </c>
      <c r="BA365" t="str">
        <f>TRIM(MID(SUBSTITUTE($G365, ",", REPT(" ", 100)), (COLUMNS($AJ$2:BA365)-1)*100+1, 100))</f>
        <v/>
      </c>
      <c r="BB365" t="str">
        <f>TRIM(MID(SUBSTITUTE($G365, ",", REPT(" ", 100)), (COLUMNS($AJ$2:BB365)-1)*100+1, 100))</f>
        <v/>
      </c>
      <c r="BC365" t="str">
        <f>TRIM(MID(SUBSTITUTE($G365, ",", REPT(" ", 100)), (COLUMNS($AJ$2:BC365)-1)*100+1, 100))</f>
        <v/>
      </c>
      <c r="BH365">
        <f t="shared" si="7"/>
        <v>1</v>
      </c>
    </row>
    <row r="366" spans="1:60" x14ac:dyDescent="0.5">
      <c r="A366" s="32" t="s">
        <v>431</v>
      </c>
      <c r="B366" s="257">
        <v>46387</v>
      </c>
      <c r="C366" s="2"/>
      <c r="D366" s="272"/>
      <c r="E366" s="271"/>
      <c r="I366" s="38">
        <v>0</v>
      </c>
      <c r="AL366" t="str">
        <f>TRIM(MID(SUBSTITUTE($G366, ",", REPT(" ", 100)), (COLUMNS($AJ$2:AL366)-1)*100+1, 100))</f>
        <v/>
      </c>
      <c r="AM366" s="1">
        <v>46022</v>
      </c>
      <c r="AN366" s="2"/>
      <c r="AO366" s="2">
        <v>6</v>
      </c>
      <c r="AQ366" t="str">
        <f>TRIM(MID(SUBSTITUTE($G366, ",", REPT(" ", 100)), (COLUMNS($AJ$2:AQ366)-1)*100+1, 100))</f>
        <v/>
      </c>
      <c r="AR366" t="str">
        <f>TRIM(MID(SUBSTITUTE($G366, ",", REPT(" ", 100)), (COLUMNS($AJ$2:AR366)-1)*100+1, 100))</f>
        <v/>
      </c>
      <c r="AS366" t="str">
        <f>TRIM(MID(SUBSTITUTE($G366, ",", REPT(" ", 100)), (COLUMNS($AJ$2:AS366)-1)*100+1, 100))</f>
        <v/>
      </c>
      <c r="AT366" t="str">
        <f>TRIM(MID(SUBSTITUTE($G366, ",", REPT(" ", 100)), (COLUMNS($AJ$2:AT366)-1)*100+1, 100))</f>
        <v/>
      </c>
      <c r="AU366" t="str">
        <f>TRIM(MID(SUBSTITUTE($G366, ",", REPT(" ", 100)), (COLUMNS($AJ$2:AU366)-1)*100+1, 100))</f>
        <v/>
      </c>
      <c r="AV366" t="str">
        <f>TRIM(MID(SUBSTITUTE($G366, ",", REPT(" ", 100)), (COLUMNS($AJ$2:AV366)-1)*100+1, 100))</f>
        <v/>
      </c>
      <c r="AW366" t="str">
        <f>TRIM(MID(SUBSTITUTE($G366, ",", REPT(" ", 100)), (COLUMNS($AJ$2:AW366)-1)*100+1, 100))</f>
        <v/>
      </c>
      <c r="AX366" t="str">
        <f>TRIM(MID(SUBSTITUTE($G366, ",", REPT(" ", 100)), (COLUMNS($AJ$2:AX366)-1)*100+1, 100))</f>
        <v/>
      </c>
      <c r="BA366" t="str">
        <f>TRIM(MID(SUBSTITUTE($G366, ",", REPT(" ", 100)), (COLUMNS($AJ$2:BA366)-1)*100+1, 100))</f>
        <v/>
      </c>
      <c r="BB366" t="str">
        <f>TRIM(MID(SUBSTITUTE($G366, ",", REPT(" ", 100)), (COLUMNS($AJ$2:BB366)-1)*100+1, 100))</f>
        <v/>
      </c>
      <c r="BC366" t="str">
        <f>TRIM(MID(SUBSTITUTE($G366, ",", REPT(" ", 100)), (COLUMNS($AJ$2:BC366)-1)*100+1, 100))</f>
        <v/>
      </c>
      <c r="BH366">
        <f t="shared" si="7"/>
        <v>1</v>
      </c>
    </row>
    <row r="367" spans="1:60" x14ac:dyDescent="0.5">
      <c r="B367" s="49"/>
      <c r="C367" s="5"/>
      <c r="D367" s="5"/>
    </row>
  </sheetData>
  <autoFilter ref="AY24:AZ35" xr:uid="{EBE9574A-F3E3-4B50-85FC-1AAEC19142AB}">
    <sortState xmlns:xlrd2="http://schemas.microsoft.com/office/spreadsheetml/2017/richdata2" ref="AY25:AZ366">
      <sortCondition ref="AZ24:AZ35"/>
    </sortState>
  </autoFilter>
  <mergeCells count="25">
    <mergeCell ref="Q34:Q35"/>
    <mergeCell ref="R34:R35"/>
    <mergeCell ref="W5:W8"/>
    <mergeCell ref="W9:W12"/>
    <mergeCell ref="J11:K11"/>
    <mergeCell ref="J13:K14"/>
    <mergeCell ref="L13:L14"/>
    <mergeCell ref="W13:W16"/>
    <mergeCell ref="P5:P16"/>
    <mergeCell ref="J1:L2"/>
    <mergeCell ref="D2:D32"/>
    <mergeCell ref="E2:E366"/>
    <mergeCell ref="D153:D182"/>
    <mergeCell ref="D336:D366"/>
    <mergeCell ref="D214:D244"/>
    <mergeCell ref="H237:H241"/>
    <mergeCell ref="D245:D274"/>
    <mergeCell ref="D275:D305"/>
    <mergeCell ref="D33:D60"/>
    <mergeCell ref="D61:D91"/>
    <mergeCell ref="D92:D121"/>
    <mergeCell ref="D122:D152"/>
    <mergeCell ref="D306:D335"/>
    <mergeCell ref="H307:H308"/>
    <mergeCell ref="D183:D213"/>
  </mergeCells>
  <phoneticPr fontId="1" type="noConversion"/>
  <conditionalFormatting sqref="C2:C36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6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 D2 D61 D9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7:N1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1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W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2:W5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2:X5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2:Y5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2:Y5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:AG2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3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3:AN6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1:AN9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2:AN1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2:AN36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3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3:AO6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1:AO8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2:AO8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5:AO8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8:AO9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2:AO12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2:AO36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3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4:AU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CF7-CA58-448E-9A43-748C25428E75}">
  <dimension ref="A1:BA367"/>
  <sheetViews>
    <sheetView topLeftCell="A341" zoomScale="82" zoomScaleNormal="130" workbookViewId="0">
      <selection activeCell="G297" sqref="G297"/>
    </sheetView>
  </sheetViews>
  <sheetFormatPr defaultRowHeight="14.35" x14ac:dyDescent="0.5"/>
  <cols>
    <col min="1" max="1" width="10.87890625" bestFit="1" customWidth="1"/>
    <col min="4" max="4" width="12.234375" bestFit="1" customWidth="1"/>
    <col min="5" max="5" width="0.3515625" style="58" customWidth="1"/>
    <col min="6" max="6" width="10.703125" style="38" customWidth="1"/>
    <col min="7" max="7" width="13.76171875" style="38" customWidth="1"/>
    <col min="8" max="8" width="11.52734375" bestFit="1" customWidth="1"/>
    <col min="10" max="10" width="14.8203125" bestFit="1" customWidth="1"/>
    <col min="12" max="12" width="9.703125" bestFit="1" customWidth="1"/>
    <col min="13" max="13" width="9.29296875" bestFit="1" customWidth="1"/>
    <col min="15" max="15" width="12.1171875" bestFit="1" customWidth="1"/>
    <col min="17" max="17" width="9.05859375" bestFit="1" customWidth="1"/>
    <col min="18" max="18" width="6.87890625" bestFit="1" customWidth="1"/>
    <col min="19" max="19" width="7.8203125" bestFit="1" customWidth="1"/>
    <col min="20" max="20" width="11.46875" customWidth="1"/>
    <col min="24" max="24" width="8.9375" customWidth="1"/>
    <col min="30" max="30" width="11.3515625" customWidth="1"/>
    <col min="31" max="31" width="11.9375" customWidth="1"/>
    <col min="32" max="32" width="14" customWidth="1"/>
    <col min="34" max="34" width="9.9375" bestFit="1" customWidth="1"/>
    <col min="37" max="37" width="10.87890625" bestFit="1" customWidth="1"/>
    <col min="40" max="40" width="8.9375" customWidth="1"/>
  </cols>
  <sheetData>
    <row r="1" spans="1:53" ht="29" thickBot="1" x14ac:dyDescent="0.55000000000000004">
      <c r="A1" s="67" t="s">
        <v>108</v>
      </c>
      <c r="B1" s="67" t="s">
        <v>24</v>
      </c>
      <c r="C1" s="67" t="s">
        <v>177</v>
      </c>
      <c r="D1" s="59" t="s">
        <v>178</v>
      </c>
      <c r="E1" s="60" t="s">
        <v>179</v>
      </c>
      <c r="F1" s="67" t="s">
        <v>180</v>
      </c>
      <c r="G1" s="73" t="s">
        <v>429</v>
      </c>
      <c r="H1" s="262" t="s">
        <v>175</v>
      </c>
      <c r="I1" s="263"/>
      <c r="J1" s="263"/>
      <c r="AK1" t="s">
        <v>207</v>
      </c>
      <c r="AL1">
        <v>2025</v>
      </c>
      <c r="AM1">
        <v>2024</v>
      </c>
    </row>
    <row r="2" spans="1:53" x14ac:dyDescent="0.5">
      <c r="A2" s="71">
        <v>45658</v>
      </c>
      <c r="B2" s="72">
        <v>2.5</v>
      </c>
      <c r="C2" s="266">
        <f>AVERAGE(B2:B32)</f>
        <v>5</v>
      </c>
      <c r="D2" s="293">
        <f>AVERAGE(B2:B366)</f>
        <v>5.3276712328767104</v>
      </c>
      <c r="E2" s="58">
        <v>1</v>
      </c>
      <c r="F2" s="38" t="s">
        <v>194</v>
      </c>
      <c r="H2" s="264"/>
      <c r="I2" s="265"/>
      <c r="J2" s="265"/>
      <c r="AK2" s="71">
        <v>45658</v>
      </c>
      <c r="AL2" s="72">
        <v>2.5</v>
      </c>
      <c r="AM2" s="2">
        <v>6</v>
      </c>
      <c r="AN2">
        <f>AL2-AM2</f>
        <v>-3.5</v>
      </c>
      <c r="AO2" t="str">
        <f>TRIM(MID(SUBSTITUTE($F2, ",", REPT(" ", 100)), (COLUMNS($AH$2:AO2)-1)*100+1, 100))</f>
        <v/>
      </c>
      <c r="AP2" t="str">
        <f>TRIM(MID(SUBSTITUTE($F2, ",", REPT(" ", 100)), (COLUMNS($AH$2:AP2)-1)*100+1, 100))</f>
        <v/>
      </c>
      <c r="AQ2" t="str">
        <f>TRIM(MID(SUBSTITUTE($F2, ",", REPT(" ", 100)), (COLUMNS($AH$2:AQ2)-1)*100+1, 100))</f>
        <v/>
      </c>
      <c r="AR2" t="str">
        <f>TRIM(MID(SUBSTITUTE($F2, ",", REPT(" ", 100)), (COLUMNS($AH$2:AR2)-1)*100+1, 100))</f>
        <v/>
      </c>
      <c r="AS2" t="str">
        <f>TRIM(MID(SUBSTITUTE($F2, ",", REPT(" ", 100)), (COLUMNS($AH$2:AS2)-1)*100+1, 100))</f>
        <v/>
      </c>
      <c r="AT2" t="str">
        <f>TRIM(MID(SUBSTITUTE($F2, ",", REPT(" ", 100)), (COLUMNS($AH$2:AT2)-1)*100+1, 100))</f>
        <v/>
      </c>
      <c r="AU2" t="str">
        <f>TRIM(MID(SUBSTITUTE($F2, ",", REPT(" ", 100)), (COLUMNS($AH$2:AU2)-1)*100+1, 100))</f>
        <v/>
      </c>
      <c r="AV2" t="str">
        <f>TRIM(MID(SUBSTITUTE($F2, ",", REPT(" ", 100)), (COLUMNS($AH$2:AV2)-1)*100+1, 100))</f>
        <v/>
      </c>
      <c r="AW2" t="str">
        <f>TRIM(MID(SUBSTITUTE($F2, ",", REPT(" ", 100)), (COLUMNS($AH$2:AW2)-1)*100+1, 100))</f>
        <v/>
      </c>
      <c r="AX2" t="str">
        <f>TRIM(MID(SUBSTITUTE($F2, ",", REPT(" ", 100)), (COLUMNS($AH$2:AX2)-1)*100+1, 100))</f>
        <v/>
      </c>
      <c r="AY2" t="str">
        <f>TRIM(MID(SUBSTITUTE($F2, ",", REPT(" ", 100)), (COLUMNS($AH$2:AY2)-1)*100+1, 100))</f>
        <v/>
      </c>
      <c r="AZ2" t="str">
        <f>TRIM(MID(SUBSTITUTE($F2, ",", REPT(" ", 100)), (COLUMNS($AH$2:AZ2)-1)*100+1, 100))</f>
        <v/>
      </c>
      <c r="BA2" t="str">
        <f>TRIM(MID(SUBSTITUTE($F2, ",", REPT(" ", 100)), (COLUMNS($AH$2:BA2)-1)*100+1, 100))</f>
        <v/>
      </c>
    </row>
    <row r="3" spans="1:53" ht="14.7" thickBot="1" x14ac:dyDescent="0.55000000000000004">
      <c r="A3" s="53">
        <v>45659</v>
      </c>
      <c r="B3" s="2">
        <v>2.8</v>
      </c>
      <c r="C3" s="267"/>
      <c r="D3" s="294"/>
      <c r="E3" s="58">
        <v>1</v>
      </c>
      <c r="F3" s="68" t="s">
        <v>195</v>
      </c>
      <c r="G3" s="74"/>
      <c r="AK3" s="53">
        <v>45659</v>
      </c>
      <c r="AL3" s="2">
        <v>2.8</v>
      </c>
      <c r="AM3" s="2">
        <v>4</v>
      </c>
      <c r="AN3">
        <f t="shared" ref="AN3:AN32" si="0">AL3-AM3</f>
        <v>-1.2000000000000002</v>
      </c>
      <c r="AO3" t="str">
        <f>TRIM(MID(SUBSTITUTE($F3, ",", REPT(" ", 100)), (COLUMNS($AH$2:AO3)-1)*100+1, 100))</f>
        <v/>
      </c>
      <c r="AP3" t="str">
        <f>TRIM(MID(SUBSTITUTE($F3, ",", REPT(" ", 100)), (COLUMNS($AH$2:AP3)-1)*100+1, 100))</f>
        <v/>
      </c>
      <c r="AQ3" t="str">
        <f>TRIM(MID(SUBSTITUTE($F3, ",", REPT(" ", 100)), (COLUMNS($AH$2:AQ3)-1)*100+1, 100))</f>
        <v/>
      </c>
      <c r="AR3" t="str">
        <f>TRIM(MID(SUBSTITUTE($F3, ",", REPT(" ", 100)), (COLUMNS($AH$2:AR3)-1)*100+1, 100))</f>
        <v/>
      </c>
      <c r="AS3" t="str">
        <f>TRIM(MID(SUBSTITUTE($F3, ",", REPT(" ", 100)), (COLUMNS($AH$2:AS3)-1)*100+1, 100))</f>
        <v/>
      </c>
      <c r="AT3" t="str">
        <f>TRIM(MID(SUBSTITUTE($F3, ",", REPT(" ", 100)), (COLUMNS($AH$2:AT3)-1)*100+1, 100))</f>
        <v/>
      </c>
      <c r="AU3" t="str">
        <f>TRIM(MID(SUBSTITUTE($F3, ",", REPT(" ", 100)), (COLUMNS($AH$2:AU3)-1)*100+1, 100))</f>
        <v/>
      </c>
      <c r="AV3" t="str">
        <f>TRIM(MID(SUBSTITUTE($F3, ",", REPT(" ", 100)), (COLUMNS($AH$2:AV3)-1)*100+1, 100))</f>
        <v/>
      </c>
      <c r="AW3" t="str">
        <f>TRIM(MID(SUBSTITUTE($F3, ",", REPT(" ", 100)), (COLUMNS($AH$2:AW3)-1)*100+1, 100))</f>
        <v/>
      </c>
      <c r="AX3" t="str">
        <f>TRIM(MID(SUBSTITUTE($F3, ",", REPT(" ", 100)), (COLUMNS($AH$2:AX3)-1)*100+1, 100))</f>
        <v/>
      </c>
      <c r="AY3" t="str">
        <f>TRIM(MID(SUBSTITUTE($F3, ",", REPT(" ", 100)), (COLUMNS($AH$2:AY3)-1)*100+1, 100))</f>
        <v/>
      </c>
      <c r="AZ3" t="str">
        <f>TRIM(MID(SUBSTITUTE($F3, ",", REPT(" ", 100)), (COLUMNS($AH$2:AZ3)-1)*100+1, 100))</f>
        <v/>
      </c>
      <c r="BA3" t="str">
        <f>TRIM(MID(SUBSTITUTE($F3, ",", REPT(" ", 100)), (COLUMNS($AH$2:BA3)-1)*100+1, 100))</f>
        <v/>
      </c>
    </row>
    <row r="4" spans="1:53" ht="14.7" thickBot="1" x14ac:dyDescent="0.55000000000000004">
      <c r="A4" s="53">
        <v>45660</v>
      </c>
      <c r="B4" s="2">
        <v>4.8</v>
      </c>
      <c r="C4" s="267"/>
      <c r="D4" s="294"/>
      <c r="E4" s="58">
        <v>1</v>
      </c>
      <c r="F4" s="69" t="s">
        <v>114</v>
      </c>
      <c r="H4" s="154" t="s">
        <v>30</v>
      </c>
      <c r="I4" s="155" t="s">
        <v>24</v>
      </c>
      <c r="J4" s="156" t="s">
        <v>25</v>
      </c>
      <c r="L4" s="162" t="s">
        <v>7</v>
      </c>
      <c r="M4" s="163" t="s">
        <v>20</v>
      </c>
      <c r="N4" s="164" t="s">
        <v>21</v>
      </c>
      <c r="O4" s="165" t="s">
        <v>0</v>
      </c>
      <c r="P4" s="165" t="s">
        <v>1</v>
      </c>
      <c r="Q4" s="165" t="s">
        <v>2</v>
      </c>
      <c r="R4" s="165" t="s">
        <v>3</v>
      </c>
      <c r="S4" s="165" t="s">
        <v>4</v>
      </c>
      <c r="T4" s="165" t="s">
        <v>5</v>
      </c>
      <c r="U4" s="166"/>
      <c r="AK4" s="53">
        <v>45660</v>
      </c>
      <c r="AL4" s="2">
        <v>4.8</v>
      </c>
      <c r="AM4" s="2">
        <v>6</v>
      </c>
      <c r="AN4">
        <f t="shared" si="0"/>
        <v>-1.2000000000000002</v>
      </c>
      <c r="AO4" t="str">
        <f>TRIM(MID(SUBSTITUTE($F4, ",", REPT(" ", 100)), (COLUMNS($AH$2:AO4)-1)*100+1, 100))</f>
        <v/>
      </c>
      <c r="AP4" t="str">
        <f>TRIM(MID(SUBSTITUTE($F4, ",", REPT(" ", 100)), (COLUMNS($AH$2:AP4)-1)*100+1, 100))</f>
        <v/>
      </c>
      <c r="AQ4" t="str">
        <f>TRIM(MID(SUBSTITUTE($F4, ",", REPT(" ", 100)), (COLUMNS($AH$2:AQ4)-1)*100+1, 100))</f>
        <v/>
      </c>
      <c r="AR4" t="str">
        <f>TRIM(MID(SUBSTITUTE($F4, ",", REPT(" ", 100)), (COLUMNS($AH$2:AR4)-1)*100+1, 100))</f>
        <v/>
      </c>
      <c r="AS4" t="str">
        <f>TRIM(MID(SUBSTITUTE($F4, ",", REPT(" ", 100)), (COLUMNS($AH$2:AS4)-1)*100+1, 100))</f>
        <v/>
      </c>
      <c r="AT4" t="str">
        <f>TRIM(MID(SUBSTITUTE($F4, ",", REPT(" ", 100)), (COLUMNS($AH$2:AT4)-1)*100+1, 100))</f>
        <v/>
      </c>
      <c r="AU4" t="str">
        <f>TRIM(MID(SUBSTITUTE($F4, ",", REPT(" ", 100)), (COLUMNS($AH$2:AU4)-1)*100+1, 100))</f>
        <v/>
      </c>
      <c r="AV4" t="str">
        <f>TRIM(MID(SUBSTITUTE($F4, ",", REPT(" ", 100)), (COLUMNS($AH$2:AV4)-1)*100+1, 100))</f>
        <v/>
      </c>
      <c r="AW4" t="str">
        <f>TRIM(MID(SUBSTITUTE($F4, ",", REPT(" ", 100)), (COLUMNS($AH$2:AW4)-1)*100+1, 100))</f>
        <v/>
      </c>
      <c r="AX4" t="str">
        <f>TRIM(MID(SUBSTITUTE($F4, ",", REPT(" ", 100)), (COLUMNS($AH$2:AX4)-1)*100+1, 100))</f>
        <v/>
      </c>
      <c r="AY4" t="str">
        <f>TRIM(MID(SUBSTITUTE($F4, ",", REPT(" ", 100)), (COLUMNS($AH$2:AY4)-1)*100+1, 100))</f>
        <v/>
      </c>
      <c r="AZ4" t="str">
        <f>TRIM(MID(SUBSTITUTE($F4, ",", REPT(" ", 100)), (COLUMNS($AH$2:AZ4)-1)*100+1, 100))</f>
        <v/>
      </c>
      <c r="BA4" t="str">
        <f>TRIM(MID(SUBSTITUTE($F4, ",", REPT(" ", 100)), (COLUMNS($AH$2:BA4)-1)*100+1, 100))</f>
        <v/>
      </c>
    </row>
    <row r="5" spans="1:53" x14ac:dyDescent="0.5">
      <c r="A5" s="53">
        <v>45661</v>
      </c>
      <c r="B5" s="2">
        <v>8.1999999999999993</v>
      </c>
      <c r="C5" s="267"/>
      <c r="D5" s="294"/>
      <c r="E5" s="58">
        <v>1</v>
      </c>
      <c r="F5" s="68" t="s">
        <v>114</v>
      </c>
      <c r="G5" s="74"/>
      <c r="H5" s="151" t="s">
        <v>0</v>
      </c>
      <c r="I5" s="152">
        <v>10</v>
      </c>
      <c r="J5" s="153">
        <f>COUNTIFS(B2:B366,"&gt;=10")</f>
        <v>3</v>
      </c>
      <c r="L5" s="160" t="s">
        <v>8</v>
      </c>
      <c r="M5" s="150">
        <v>5</v>
      </c>
      <c r="N5" s="290">
        <f>AVERAGE(M5:M16)</f>
        <v>5.3322553879811947</v>
      </c>
      <c r="O5" s="161">
        <f>COUNTIFS(B2:B32,"&gt;=10")</f>
        <v>0</v>
      </c>
      <c r="P5" s="161">
        <f>COUNTIFS(B2:B32,"&gt;=8", B2:B32,"&lt;10")</f>
        <v>3</v>
      </c>
      <c r="Q5" s="161">
        <f>COUNTIFS(B2:B32,"&gt;=6", B2:B32,"&lt;8")</f>
        <v>8</v>
      </c>
      <c r="R5" s="161">
        <f>COUNTIFS(B2:B32,"&gt;=4", B2:B32,"&lt;6")</f>
        <v>11</v>
      </c>
      <c r="S5" s="161">
        <f>COUNTIFS(B2:B32,"&gt;=2", B2:B32,"&lt;4")</f>
        <v>6</v>
      </c>
      <c r="T5" s="161">
        <f>COUNTIFS(B2:B32,"&gt;=0", B2:B32,"&lt;2")</f>
        <v>3</v>
      </c>
      <c r="U5" s="280">
        <f>AVERAGE(M5:M8)</f>
        <v>4.9601459293394772</v>
      </c>
      <c r="AK5" s="53">
        <v>45661</v>
      </c>
      <c r="AL5" s="2">
        <v>8.1999999999999993</v>
      </c>
      <c r="AM5" s="2">
        <v>8</v>
      </c>
      <c r="AN5">
        <f t="shared" si="0"/>
        <v>0.19999999999999929</v>
      </c>
      <c r="AO5" t="str">
        <f>TRIM(MID(SUBSTITUTE($F5, ",", REPT(" ", 100)), (COLUMNS($AH$2:AO5)-1)*100+1, 100))</f>
        <v/>
      </c>
      <c r="AP5" t="str">
        <f>TRIM(MID(SUBSTITUTE($F5, ",", REPT(" ", 100)), (COLUMNS($AH$2:AP5)-1)*100+1, 100))</f>
        <v/>
      </c>
      <c r="AQ5" t="str">
        <f>TRIM(MID(SUBSTITUTE($F5, ",", REPT(" ", 100)), (COLUMNS($AH$2:AQ5)-1)*100+1, 100))</f>
        <v/>
      </c>
      <c r="AR5" t="str">
        <f>TRIM(MID(SUBSTITUTE($F5, ",", REPT(" ", 100)), (COLUMNS($AH$2:AR5)-1)*100+1, 100))</f>
        <v/>
      </c>
      <c r="AS5" t="str">
        <f>TRIM(MID(SUBSTITUTE($F5, ",", REPT(" ", 100)), (COLUMNS($AH$2:AS5)-1)*100+1, 100))</f>
        <v/>
      </c>
      <c r="AT5" t="str">
        <f>TRIM(MID(SUBSTITUTE($F5, ",", REPT(" ", 100)), (COLUMNS($AH$2:AT5)-1)*100+1, 100))</f>
        <v/>
      </c>
      <c r="AU5" t="str">
        <f>TRIM(MID(SUBSTITUTE($F5, ",", REPT(" ", 100)), (COLUMNS($AH$2:AU5)-1)*100+1, 100))</f>
        <v/>
      </c>
      <c r="AV5" t="str">
        <f>TRIM(MID(SUBSTITUTE($F5, ",", REPT(" ", 100)), (COLUMNS($AH$2:AV5)-1)*100+1, 100))</f>
        <v/>
      </c>
      <c r="AW5" t="str">
        <f>TRIM(MID(SUBSTITUTE($F5, ",", REPT(" ", 100)), (COLUMNS($AH$2:AW5)-1)*100+1, 100))</f>
        <v/>
      </c>
      <c r="AX5" t="str">
        <f>TRIM(MID(SUBSTITUTE($F5, ",", REPT(" ", 100)), (COLUMNS($AH$2:AX5)-1)*100+1, 100))</f>
        <v/>
      </c>
      <c r="AY5" t="str">
        <f>TRIM(MID(SUBSTITUTE($F5, ",", REPT(" ", 100)), (COLUMNS($AH$2:AY5)-1)*100+1, 100))</f>
        <v/>
      </c>
      <c r="AZ5" t="str">
        <f>TRIM(MID(SUBSTITUTE($F5, ",", REPT(" ", 100)), (COLUMNS($AH$2:AZ5)-1)*100+1, 100))</f>
        <v/>
      </c>
      <c r="BA5" t="str">
        <f>TRIM(MID(SUBSTITUTE($F5, ",", REPT(" ", 100)), (COLUMNS($AH$2:BA5)-1)*100+1, 100))</f>
        <v/>
      </c>
    </row>
    <row r="6" spans="1:53" x14ac:dyDescent="0.5">
      <c r="A6" s="53">
        <v>45662</v>
      </c>
      <c r="B6" s="2">
        <v>6.2</v>
      </c>
      <c r="C6" s="267"/>
      <c r="D6" s="294"/>
      <c r="E6" s="58">
        <v>1</v>
      </c>
      <c r="F6" s="69" t="s">
        <v>114</v>
      </c>
      <c r="H6" s="7" t="s">
        <v>1</v>
      </c>
      <c r="I6" s="8">
        <v>8</v>
      </c>
      <c r="J6" s="9">
        <f>COUNTIFS(B2:B366,"&gt;=8", B2:B366,"&lt;10")</f>
        <v>29</v>
      </c>
      <c r="L6" s="157" t="s">
        <v>9</v>
      </c>
      <c r="M6" s="32">
        <v>4.7571428571428571</v>
      </c>
      <c r="N6" s="290"/>
      <c r="O6" s="57">
        <f>COUNTIFS(B33:B60,"&gt;=10")</f>
        <v>0</v>
      </c>
      <c r="P6" s="57">
        <f>COUNTIFS(B33:B60,"&gt;=8", B33:B60,"&lt;10")</f>
        <v>1</v>
      </c>
      <c r="Q6" s="57">
        <f>COUNTIFS(B33:B60,"&gt;=6", B33:B60,"&lt;8")</f>
        <v>5</v>
      </c>
      <c r="R6" s="57">
        <f>COUNTIFS(B33:B60,"&gt;=4", B33:B60,"&lt;6")</f>
        <v>15</v>
      </c>
      <c r="S6" s="57">
        <f>COUNTIFS(B33:B60,"&gt;=2", B33:B60,"&lt;4")</f>
        <v>5</v>
      </c>
      <c r="T6" s="57">
        <f>COUNTIFS(B33:B60,"&gt;=0", B33:B60,"&lt;2")</f>
        <v>2</v>
      </c>
      <c r="U6" s="280"/>
      <c r="AK6" s="53">
        <v>45662</v>
      </c>
      <c r="AL6" s="2">
        <v>6.2</v>
      </c>
      <c r="AM6" s="2">
        <v>6</v>
      </c>
      <c r="AN6">
        <f t="shared" si="0"/>
        <v>0.20000000000000018</v>
      </c>
      <c r="AO6" t="str">
        <f>TRIM(MID(SUBSTITUTE($F6, ",", REPT(" ", 100)), (COLUMNS($AH$2:AO6)-1)*100+1, 100))</f>
        <v/>
      </c>
      <c r="AP6" t="str">
        <f>TRIM(MID(SUBSTITUTE($F6, ",", REPT(" ", 100)), (COLUMNS($AH$2:AP6)-1)*100+1, 100))</f>
        <v/>
      </c>
      <c r="AQ6" t="str">
        <f>TRIM(MID(SUBSTITUTE($F6, ",", REPT(" ", 100)), (COLUMNS($AH$2:AQ6)-1)*100+1, 100))</f>
        <v/>
      </c>
      <c r="AR6" t="str">
        <f>TRIM(MID(SUBSTITUTE($F6, ",", REPT(" ", 100)), (COLUMNS($AH$2:AR6)-1)*100+1, 100))</f>
        <v/>
      </c>
      <c r="AS6" t="str">
        <f>TRIM(MID(SUBSTITUTE($F6, ",", REPT(" ", 100)), (COLUMNS($AH$2:AS6)-1)*100+1, 100))</f>
        <v/>
      </c>
      <c r="AT6" t="str">
        <f>TRIM(MID(SUBSTITUTE($F6, ",", REPT(" ", 100)), (COLUMNS($AH$2:AT6)-1)*100+1, 100))</f>
        <v/>
      </c>
      <c r="AU6" t="str">
        <f>TRIM(MID(SUBSTITUTE($F6, ",", REPT(" ", 100)), (COLUMNS($AH$2:AU6)-1)*100+1, 100))</f>
        <v/>
      </c>
      <c r="AV6" t="str">
        <f>TRIM(MID(SUBSTITUTE($F6, ",", REPT(" ", 100)), (COLUMNS($AH$2:AV6)-1)*100+1, 100))</f>
        <v/>
      </c>
      <c r="AW6" t="str">
        <f>TRIM(MID(SUBSTITUTE($F6, ",", REPT(" ", 100)), (COLUMNS($AH$2:AW6)-1)*100+1, 100))</f>
        <v/>
      </c>
      <c r="AX6" t="str">
        <f>TRIM(MID(SUBSTITUTE($F6, ",", REPT(" ", 100)), (COLUMNS($AH$2:AX6)-1)*100+1, 100))</f>
        <v/>
      </c>
      <c r="AY6" t="str">
        <f>TRIM(MID(SUBSTITUTE($F6, ",", REPT(" ", 100)), (COLUMNS($AH$2:AY6)-1)*100+1, 100))</f>
        <v/>
      </c>
      <c r="AZ6" t="str">
        <f>TRIM(MID(SUBSTITUTE($F6, ",", REPT(" ", 100)), (COLUMNS($AH$2:AZ6)-1)*100+1, 100))</f>
        <v/>
      </c>
      <c r="BA6" t="str">
        <f>TRIM(MID(SUBSTITUTE($F6, ",", REPT(" ", 100)), (COLUMNS($AH$2:BA6)-1)*100+1, 100))</f>
        <v/>
      </c>
    </row>
    <row r="7" spans="1:53" x14ac:dyDescent="0.5">
      <c r="A7" s="53">
        <v>45663</v>
      </c>
      <c r="B7" s="2">
        <v>6.1</v>
      </c>
      <c r="C7" s="267"/>
      <c r="D7" s="294"/>
      <c r="E7" s="58">
        <v>1</v>
      </c>
      <c r="F7" s="68" t="s">
        <v>114</v>
      </c>
      <c r="G7" s="74"/>
      <c r="H7" s="11" t="s">
        <v>2</v>
      </c>
      <c r="I7" s="8">
        <v>6</v>
      </c>
      <c r="J7" s="9">
        <f>COUNTIFS(B2:B366,"&gt;=6", B2:B366,"&lt;8")</f>
        <v>103</v>
      </c>
      <c r="L7" s="157" t="s">
        <v>10</v>
      </c>
      <c r="M7" s="32">
        <v>5.1967741935483867</v>
      </c>
      <c r="N7" s="290"/>
      <c r="O7" s="57">
        <f>COUNTIFS(B61:B91,"&gt;=10")</f>
        <v>0</v>
      </c>
      <c r="P7" s="57">
        <f>COUNTIFS(B61:B91,"&gt;=8", B61:B91,"&lt;10")</f>
        <v>1</v>
      </c>
      <c r="Q7" s="57">
        <f>COUNTIFS(B61:B91,"&gt;=6", B61:B91,"&lt;8")</f>
        <v>8</v>
      </c>
      <c r="R7" s="57">
        <f>COUNTIFS(B61:B91,"&gt;=4", B61:B91,"&lt;6")</f>
        <v>20</v>
      </c>
      <c r="S7" s="57">
        <f>COUNTIFS(B61:B91,"&gt;=2", B61:B91,"&lt;4")</f>
        <v>2</v>
      </c>
      <c r="T7" s="57">
        <f>COUNTIFS(B61:B91,"&gt;=0", B61:B91,"&lt;2")</f>
        <v>0</v>
      </c>
      <c r="U7" s="280"/>
      <c r="AK7" s="53">
        <v>45663</v>
      </c>
      <c r="AL7" s="2">
        <v>6.1</v>
      </c>
      <c r="AM7" s="2">
        <v>8</v>
      </c>
      <c r="AN7">
        <f t="shared" si="0"/>
        <v>-1.9000000000000004</v>
      </c>
      <c r="AO7" t="str">
        <f>TRIM(MID(SUBSTITUTE($F7, ",", REPT(" ", 100)), (COLUMNS($AH$2:AO7)-1)*100+1, 100))</f>
        <v/>
      </c>
      <c r="AP7" t="str">
        <f>TRIM(MID(SUBSTITUTE($F7, ",", REPT(" ", 100)), (COLUMNS($AH$2:AP7)-1)*100+1, 100))</f>
        <v/>
      </c>
      <c r="AQ7" t="str">
        <f>TRIM(MID(SUBSTITUTE($F7, ",", REPT(" ", 100)), (COLUMNS($AH$2:AQ7)-1)*100+1, 100))</f>
        <v/>
      </c>
      <c r="AR7" t="str">
        <f>TRIM(MID(SUBSTITUTE($F7, ",", REPT(" ", 100)), (COLUMNS($AH$2:AR7)-1)*100+1, 100))</f>
        <v/>
      </c>
      <c r="AS7" t="str">
        <f>TRIM(MID(SUBSTITUTE($F7, ",", REPT(" ", 100)), (COLUMNS($AH$2:AS7)-1)*100+1, 100))</f>
        <v/>
      </c>
      <c r="AT7" t="str">
        <f>TRIM(MID(SUBSTITUTE($F7, ",", REPT(" ", 100)), (COLUMNS($AH$2:AT7)-1)*100+1, 100))</f>
        <v/>
      </c>
      <c r="AU7" t="str">
        <f>TRIM(MID(SUBSTITUTE($F7, ",", REPT(" ", 100)), (COLUMNS($AH$2:AU7)-1)*100+1, 100))</f>
        <v/>
      </c>
      <c r="AV7" t="str">
        <f>TRIM(MID(SUBSTITUTE($F7, ",", REPT(" ", 100)), (COLUMNS($AH$2:AV7)-1)*100+1, 100))</f>
        <v/>
      </c>
      <c r="AW7" t="str">
        <f>TRIM(MID(SUBSTITUTE($F7, ",", REPT(" ", 100)), (COLUMNS($AH$2:AW7)-1)*100+1, 100))</f>
        <v/>
      </c>
      <c r="AX7" t="str">
        <f>TRIM(MID(SUBSTITUTE($F7, ",", REPT(" ", 100)), (COLUMNS($AH$2:AX7)-1)*100+1, 100))</f>
        <v/>
      </c>
      <c r="AY7" t="str">
        <f>TRIM(MID(SUBSTITUTE($F7, ",", REPT(" ", 100)), (COLUMNS($AH$2:AY7)-1)*100+1, 100))</f>
        <v/>
      </c>
      <c r="AZ7" t="str">
        <f>TRIM(MID(SUBSTITUTE($F7, ",", REPT(" ", 100)), (COLUMNS($AH$2:AZ7)-1)*100+1, 100))</f>
        <v/>
      </c>
      <c r="BA7" t="str">
        <f>TRIM(MID(SUBSTITUTE($F7, ",", REPT(" ", 100)), (COLUMNS($AH$2:BA7)-1)*100+1, 100))</f>
        <v/>
      </c>
    </row>
    <row r="8" spans="1:53" x14ac:dyDescent="0.5">
      <c r="A8" s="53">
        <v>45664</v>
      </c>
      <c r="B8" s="2">
        <v>3.5</v>
      </c>
      <c r="C8" s="267"/>
      <c r="D8" s="294"/>
      <c r="E8" s="58">
        <v>1</v>
      </c>
      <c r="F8" s="69" t="s">
        <v>114</v>
      </c>
      <c r="H8" s="12" t="s">
        <v>3</v>
      </c>
      <c r="I8" s="8">
        <v>4</v>
      </c>
      <c r="J8" s="9">
        <f>COUNTIFS(B2:B366,"&gt;=4", B2:B366,"&lt;6")</f>
        <v>184</v>
      </c>
      <c r="L8" s="157" t="s">
        <v>11</v>
      </c>
      <c r="M8" s="32">
        <v>4.8866666666666676</v>
      </c>
      <c r="N8" s="290"/>
      <c r="O8" s="57">
        <f>COUNTIFS(B92:B121,"&gt;=10")</f>
        <v>0</v>
      </c>
      <c r="P8" s="57">
        <f>COUNTIFS(B92:B121,"&gt;=8", B92:B121,"&lt;10")</f>
        <v>2</v>
      </c>
      <c r="Q8" s="57">
        <f>COUNTIFS(B92:B121,"&gt;=6",B92:B121,"&lt;8")</f>
        <v>8</v>
      </c>
      <c r="R8" s="57">
        <f>COUNTIFS(B92:B121,"&gt;=4", B92:B121,"&lt;6")</f>
        <v>14</v>
      </c>
      <c r="S8" s="57">
        <f>COUNTIFS(B92:B121,"&gt;=2", B92:B121,"&lt;4")</f>
        <v>3</v>
      </c>
      <c r="T8" s="57">
        <f>COUNTIFS(B92:B121,"&gt;=0", B92:B121,"&lt;2")</f>
        <v>3</v>
      </c>
      <c r="U8" s="281"/>
      <c r="AK8" s="53">
        <v>45664</v>
      </c>
      <c r="AL8" s="2">
        <v>3.5</v>
      </c>
      <c r="AM8" s="2">
        <v>0</v>
      </c>
      <c r="AN8">
        <f t="shared" si="0"/>
        <v>3.5</v>
      </c>
      <c r="AO8" t="str">
        <f>TRIM(MID(SUBSTITUTE($F8, ",", REPT(" ", 100)), (COLUMNS($AH$2:AO8)-1)*100+1, 100))</f>
        <v/>
      </c>
      <c r="AP8" t="str">
        <f>TRIM(MID(SUBSTITUTE($F8, ",", REPT(" ", 100)), (COLUMNS($AH$2:AP8)-1)*100+1, 100))</f>
        <v/>
      </c>
      <c r="AQ8" t="str">
        <f>TRIM(MID(SUBSTITUTE($F8, ",", REPT(" ", 100)), (COLUMNS($AH$2:AQ8)-1)*100+1, 100))</f>
        <v/>
      </c>
      <c r="AR8" t="str">
        <f>TRIM(MID(SUBSTITUTE($F8, ",", REPT(" ", 100)), (COLUMNS($AH$2:AR8)-1)*100+1, 100))</f>
        <v/>
      </c>
      <c r="AS8" t="str">
        <f>TRIM(MID(SUBSTITUTE($F8, ",", REPT(" ", 100)), (COLUMNS($AH$2:AS8)-1)*100+1, 100))</f>
        <v/>
      </c>
      <c r="AT8" t="str">
        <f>TRIM(MID(SUBSTITUTE($F8, ",", REPT(" ", 100)), (COLUMNS($AH$2:AT8)-1)*100+1, 100))</f>
        <v/>
      </c>
      <c r="AU8" t="str">
        <f>TRIM(MID(SUBSTITUTE($F8, ",", REPT(" ", 100)), (COLUMNS($AH$2:AU8)-1)*100+1, 100))</f>
        <v/>
      </c>
      <c r="AV8" t="str">
        <f>TRIM(MID(SUBSTITUTE($F8, ",", REPT(" ", 100)), (COLUMNS($AH$2:AV8)-1)*100+1, 100))</f>
        <v/>
      </c>
      <c r="AW8" t="str">
        <f>TRIM(MID(SUBSTITUTE($F8, ",", REPT(" ", 100)), (COLUMNS($AH$2:AW8)-1)*100+1, 100))</f>
        <v/>
      </c>
      <c r="AX8" t="str">
        <f>TRIM(MID(SUBSTITUTE($F8, ",", REPT(" ", 100)), (COLUMNS($AH$2:AX8)-1)*100+1, 100))</f>
        <v/>
      </c>
      <c r="AY8" t="str">
        <f>TRIM(MID(SUBSTITUTE($F8, ",", REPT(" ", 100)), (COLUMNS($AH$2:AY8)-1)*100+1, 100))</f>
        <v/>
      </c>
      <c r="AZ8" t="str">
        <f>TRIM(MID(SUBSTITUTE($F8, ",", REPT(" ", 100)), (COLUMNS($AH$2:AZ8)-1)*100+1, 100))</f>
        <v/>
      </c>
      <c r="BA8" t="str">
        <f>TRIM(MID(SUBSTITUTE($F8, ",", REPT(" ", 100)), (COLUMNS($AH$2:BA8)-1)*100+1, 100))</f>
        <v/>
      </c>
    </row>
    <row r="9" spans="1:53" x14ac:dyDescent="0.5">
      <c r="A9" s="53">
        <v>45665</v>
      </c>
      <c r="B9" s="2">
        <v>1.2</v>
      </c>
      <c r="C9" s="267"/>
      <c r="D9" s="294"/>
      <c r="E9" s="58">
        <v>1</v>
      </c>
      <c r="F9" s="68" t="s">
        <v>114</v>
      </c>
      <c r="G9" s="74" t="s">
        <v>196</v>
      </c>
      <c r="H9" s="13" t="s">
        <v>4</v>
      </c>
      <c r="I9" s="8">
        <v>2</v>
      </c>
      <c r="J9" s="9">
        <f>COUNTIFS(B2:B366,"&gt;=2", B2:B366,"&lt;4")</f>
        <v>34</v>
      </c>
      <c r="L9" s="157" t="s">
        <v>12</v>
      </c>
      <c r="M9" s="32">
        <v>5.8967741935483877</v>
      </c>
      <c r="N9" s="290"/>
      <c r="O9" s="57">
        <f>COUNTIFS(B122:B152,"&gt;=10")</f>
        <v>0</v>
      </c>
      <c r="P9" s="57">
        <f>COUNTIFS(B122:B152,"&gt;=8", B122:B152,"&lt;10")</f>
        <v>2</v>
      </c>
      <c r="Q9" s="57">
        <f>COUNTIFS(B122:B152,"&gt;=6",B122:B152,"&lt;8")</f>
        <v>12</v>
      </c>
      <c r="R9" s="57">
        <f>COUNTIFS(B122:B152,"&gt;=4", B122:B152,"&lt;6")</f>
        <v>16</v>
      </c>
      <c r="S9" s="57">
        <f>COUNTIFS(B122:B152,"&gt;=2", B122:B152,"&lt;4")</f>
        <v>1</v>
      </c>
      <c r="T9" s="57">
        <f>COUNTIFS(B122:B152,"&gt;=0", B122:B152,"&lt;2")</f>
        <v>0</v>
      </c>
      <c r="U9" s="292">
        <f>AVERAGE(M9:M12)</f>
        <v>5.2004105571847514</v>
      </c>
      <c r="AK9" s="53">
        <v>45665</v>
      </c>
      <c r="AL9" s="2">
        <v>1.2</v>
      </c>
      <c r="AM9" s="2">
        <v>4</v>
      </c>
      <c r="AN9">
        <f t="shared" si="0"/>
        <v>-2.8</v>
      </c>
      <c r="AO9" t="str">
        <f>TRIM(MID(SUBSTITUTE($F9, ",", REPT(" ", 100)), (COLUMNS($AH$2:AO9)-1)*100+1, 100))</f>
        <v/>
      </c>
      <c r="AP9" t="str">
        <f>TRIM(MID(SUBSTITUTE($F9, ",", REPT(" ", 100)), (COLUMNS($AH$2:AP9)-1)*100+1, 100))</f>
        <v/>
      </c>
      <c r="AQ9" t="str">
        <f>TRIM(MID(SUBSTITUTE($F9, ",", REPT(" ", 100)), (COLUMNS($AH$2:AQ9)-1)*100+1, 100))</f>
        <v/>
      </c>
      <c r="AR9" t="str">
        <f>TRIM(MID(SUBSTITUTE($F9, ",", REPT(" ", 100)), (COLUMNS($AH$2:AR9)-1)*100+1, 100))</f>
        <v/>
      </c>
      <c r="AS9" t="str">
        <f>TRIM(MID(SUBSTITUTE($F9, ",", REPT(" ", 100)), (COLUMNS($AH$2:AS9)-1)*100+1, 100))</f>
        <v/>
      </c>
      <c r="AT9" t="str">
        <f>TRIM(MID(SUBSTITUTE($F9, ",", REPT(" ", 100)), (COLUMNS($AH$2:AT9)-1)*100+1, 100))</f>
        <v/>
      </c>
      <c r="AU9" t="str">
        <f>TRIM(MID(SUBSTITUTE($F9, ",", REPT(" ", 100)), (COLUMNS($AH$2:AU9)-1)*100+1, 100))</f>
        <v/>
      </c>
      <c r="AV9" t="str">
        <f>TRIM(MID(SUBSTITUTE($F9, ",", REPT(" ", 100)), (COLUMNS($AH$2:AV9)-1)*100+1, 100))</f>
        <v/>
      </c>
      <c r="AW9" t="str">
        <f>TRIM(MID(SUBSTITUTE($F9, ",", REPT(" ", 100)), (COLUMNS($AH$2:AW9)-1)*100+1, 100))</f>
        <v/>
      </c>
      <c r="AX9" t="str">
        <f>TRIM(MID(SUBSTITUTE($F9, ",", REPT(" ", 100)), (COLUMNS($AH$2:AX9)-1)*100+1, 100))</f>
        <v/>
      </c>
      <c r="AY9" t="str">
        <f>TRIM(MID(SUBSTITUTE($F9, ",", REPT(" ", 100)), (COLUMNS($AH$2:AY9)-1)*100+1, 100))</f>
        <v/>
      </c>
      <c r="AZ9" t="str">
        <f>TRIM(MID(SUBSTITUTE($F9, ",", REPT(" ", 100)), (COLUMNS($AH$2:AZ9)-1)*100+1, 100))</f>
        <v/>
      </c>
      <c r="BA9" t="str">
        <f>TRIM(MID(SUBSTITUTE($F9, ",", REPT(" ", 100)), (COLUMNS($AH$2:BA9)-1)*100+1, 100))</f>
        <v/>
      </c>
    </row>
    <row r="10" spans="1:53" ht="14.7" thickBot="1" x14ac:dyDescent="0.55000000000000004">
      <c r="A10" s="53">
        <v>45666</v>
      </c>
      <c r="B10" s="2">
        <v>5.6</v>
      </c>
      <c r="C10" s="267"/>
      <c r="D10" s="294"/>
      <c r="E10" s="58">
        <v>1</v>
      </c>
      <c r="F10" s="69" t="s">
        <v>342</v>
      </c>
      <c r="H10" s="14" t="s">
        <v>5</v>
      </c>
      <c r="I10" s="15">
        <v>0</v>
      </c>
      <c r="J10" s="16">
        <f>COUNTIFS(B2:B366,"&gt;=0", B2:B366,"&lt;2")</f>
        <v>12</v>
      </c>
      <c r="L10" s="157" t="s">
        <v>13</v>
      </c>
      <c r="M10" s="32">
        <v>4.8600000000000003</v>
      </c>
      <c r="N10" s="290"/>
      <c r="O10" s="57">
        <f>COUNTIFS(B153:B182,"&gt;=10")</f>
        <v>0</v>
      </c>
      <c r="P10" s="57">
        <f>COUNTIFS(B153:B182,"&gt;=8", B153:B182,"&lt;10")</f>
        <v>2</v>
      </c>
      <c r="Q10" s="57">
        <f>COUNTIFS(B153:B182,"&gt;=6",B153:B182,"&lt;8")</f>
        <v>5</v>
      </c>
      <c r="R10" s="57">
        <f>COUNTIFS(B153:B182,"&gt;=4", B153:B182,"&lt;6")</f>
        <v>20</v>
      </c>
      <c r="S10" s="57">
        <f>COUNTIFS(B153:B182,"&gt;=2", B153:B182,"&lt;4")</f>
        <v>2</v>
      </c>
      <c r="T10" s="57">
        <f>COUNTIFS(B153:B182,"&gt;=0", B153:B182,"&lt;2")</f>
        <v>1</v>
      </c>
      <c r="U10" s="280"/>
      <c r="AK10" s="53">
        <v>45666</v>
      </c>
      <c r="AL10" s="2">
        <v>5.6</v>
      </c>
      <c r="AM10" s="2">
        <v>6</v>
      </c>
      <c r="AN10">
        <f t="shared" si="0"/>
        <v>-0.40000000000000036</v>
      </c>
      <c r="AO10" t="str">
        <f>TRIM(MID(SUBSTITUTE($F10, ",", REPT(" ", 100)), (COLUMNS($AH$2:AO10)-1)*100+1, 100))</f>
        <v/>
      </c>
      <c r="AP10" t="str">
        <f>TRIM(MID(SUBSTITUTE($F10, ",", REPT(" ", 100)), (COLUMNS($AH$2:AP10)-1)*100+1, 100))</f>
        <v/>
      </c>
      <c r="AQ10" t="str">
        <f>TRIM(MID(SUBSTITUTE($F10, ",", REPT(" ", 100)), (COLUMNS($AH$2:AQ10)-1)*100+1, 100))</f>
        <v/>
      </c>
      <c r="AR10" t="str">
        <f>TRIM(MID(SUBSTITUTE($F10, ",", REPT(" ", 100)), (COLUMNS($AH$2:AR10)-1)*100+1, 100))</f>
        <v/>
      </c>
      <c r="AS10" t="str">
        <f>TRIM(MID(SUBSTITUTE($F10, ",", REPT(" ", 100)), (COLUMNS($AH$2:AS10)-1)*100+1, 100))</f>
        <v/>
      </c>
      <c r="AT10" t="str">
        <f>TRIM(MID(SUBSTITUTE($F10, ",", REPT(" ", 100)), (COLUMNS($AH$2:AT10)-1)*100+1, 100))</f>
        <v/>
      </c>
      <c r="AU10" t="str">
        <f>TRIM(MID(SUBSTITUTE($F10, ",", REPT(" ", 100)), (COLUMNS($AH$2:AU10)-1)*100+1, 100))</f>
        <v/>
      </c>
      <c r="AV10" t="str">
        <f>TRIM(MID(SUBSTITUTE($F10, ",", REPT(" ", 100)), (COLUMNS($AH$2:AV10)-1)*100+1, 100))</f>
        <v/>
      </c>
      <c r="AW10" t="str">
        <f>TRIM(MID(SUBSTITUTE($F10, ",", REPT(" ", 100)), (COLUMNS($AH$2:AW10)-1)*100+1, 100))</f>
        <v/>
      </c>
      <c r="AX10" t="str">
        <f>TRIM(MID(SUBSTITUTE($F10, ",", REPT(" ", 100)), (COLUMNS($AH$2:AX10)-1)*100+1, 100))</f>
        <v/>
      </c>
      <c r="AY10" t="str">
        <f>TRIM(MID(SUBSTITUTE($F10, ",", REPT(" ", 100)), (COLUMNS($AH$2:AY10)-1)*100+1, 100))</f>
        <v/>
      </c>
      <c r="AZ10" t="str">
        <f>TRIM(MID(SUBSTITUTE($F10, ",", REPT(" ", 100)), (COLUMNS($AH$2:AZ10)-1)*100+1, 100))</f>
        <v/>
      </c>
      <c r="BA10" t="str">
        <f>TRIM(MID(SUBSTITUTE($F10, ",", REPT(" ", 100)), (COLUMNS($AH$2:BA10)-1)*100+1, 100))</f>
        <v/>
      </c>
    </row>
    <row r="11" spans="1:53" ht="14.7" thickBot="1" x14ac:dyDescent="0.55000000000000004">
      <c r="A11" s="53">
        <v>45667</v>
      </c>
      <c r="B11" s="2">
        <v>4.3</v>
      </c>
      <c r="C11" s="267"/>
      <c r="D11" s="294"/>
      <c r="E11" s="58">
        <v>1</v>
      </c>
      <c r="F11" s="68" t="s">
        <v>176</v>
      </c>
      <c r="G11" s="74"/>
      <c r="H11" s="282" t="s">
        <v>6</v>
      </c>
      <c r="I11" s="283"/>
      <c r="J11" s="17">
        <f>SUM(J5:J10)</f>
        <v>365</v>
      </c>
      <c r="L11" s="157" t="s">
        <v>14</v>
      </c>
      <c r="M11" s="32">
        <v>5.3903225806451607</v>
      </c>
      <c r="N11" s="290"/>
      <c r="O11" s="57">
        <f>COUNTIFS(B183:B213,"&gt;=10")</f>
        <v>1</v>
      </c>
      <c r="P11" s="57">
        <f>COUNTIFS(B183:B213,"&gt;=8", B183:B213,"&lt;10")</f>
        <v>4</v>
      </c>
      <c r="Q11" s="57">
        <f>COUNTIFS(B183:B213,"&gt;=6",B183:B213,"&lt;8")</f>
        <v>6</v>
      </c>
      <c r="R11" s="57">
        <f>COUNTIFS(B183:B213,"&gt;=4", B183:B213,"&lt;6")</f>
        <v>16</v>
      </c>
      <c r="S11" s="57">
        <f>COUNTIFS(B183:B213,"&gt;=2", B183:B213,"&lt;4")</f>
        <v>3</v>
      </c>
      <c r="T11" s="57">
        <f>COUNTIFS(B183:B213,"&gt;=0", B183:B213,"&lt;2")</f>
        <v>1</v>
      </c>
      <c r="U11" s="280"/>
      <c r="AK11" s="53">
        <v>45667</v>
      </c>
      <c r="AL11" s="2">
        <v>4.3</v>
      </c>
      <c r="AM11" s="2">
        <v>4</v>
      </c>
      <c r="AN11">
        <f t="shared" si="0"/>
        <v>0.29999999999999982</v>
      </c>
      <c r="AO11" t="str">
        <f>TRIM(MID(SUBSTITUTE($F11, ",", REPT(" ", 100)), (COLUMNS($AH$2:AO11)-1)*100+1, 100))</f>
        <v/>
      </c>
      <c r="AP11" t="str">
        <f>TRIM(MID(SUBSTITUTE($F11, ",", REPT(" ", 100)), (COLUMNS($AH$2:AP11)-1)*100+1, 100))</f>
        <v/>
      </c>
      <c r="AQ11" t="str">
        <f>TRIM(MID(SUBSTITUTE($F11, ",", REPT(" ", 100)), (COLUMNS($AH$2:AQ11)-1)*100+1, 100))</f>
        <v/>
      </c>
      <c r="AR11" t="str">
        <f>TRIM(MID(SUBSTITUTE($F11, ",", REPT(" ", 100)), (COLUMNS($AH$2:AR11)-1)*100+1, 100))</f>
        <v/>
      </c>
      <c r="AS11" t="str">
        <f>TRIM(MID(SUBSTITUTE($F11, ",", REPT(" ", 100)), (COLUMNS($AH$2:AS11)-1)*100+1, 100))</f>
        <v/>
      </c>
      <c r="AT11" t="str">
        <f>TRIM(MID(SUBSTITUTE($F11, ",", REPT(" ", 100)), (COLUMNS($AH$2:AT11)-1)*100+1, 100))</f>
        <v/>
      </c>
      <c r="AU11" t="str">
        <f>TRIM(MID(SUBSTITUTE($F11, ",", REPT(" ", 100)), (COLUMNS($AH$2:AU11)-1)*100+1, 100))</f>
        <v/>
      </c>
      <c r="AV11" t="str">
        <f>TRIM(MID(SUBSTITUTE($F11, ",", REPT(" ", 100)), (COLUMNS($AH$2:AV11)-1)*100+1, 100))</f>
        <v/>
      </c>
      <c r="AW11" t="str">
        <f>TRIM(MID(SUBSTITUTE($F11, ",", REPT(" ", 100)), (COLUMNS($AH$2:AW11)-1)*100+1, 100))</f>
        <v/>
      </c>
      <c r="AX11" t="str">
        <f>TRIM(MID(SUBSTITUTE($F11, ",", REPT(" ", 100)), (COLUMNS($AH$2:AX11)-1)*100+1, 100))</f>
        <v/>
      </c>
      <c r="AY11" t="str">
        <f>TRIM(MID(SUBSTITUTE($F11, ",", REPT(" ", 100)), (COLUMNS($AH$2:AY11)-1)*100+1, 100))</f>
        <v/>
      </c>
      <c r="AZ11" t="str">
        <f>TRIM(MID(SUBSTITUTE($F11, ",", REPT(" ", 100)), (COLUMNS($AH$2:AZ11)-1)*100+1, 100))</f>
        <v/>
      </c>
      <c r="BA11" t="str">
        <f>TRIM(MID(SUBSTITUTE($F11, ",", REPT(" ", 100)), (COLUMNS($AH$2:BA11)-1)*100+1, 100))</f>
        <v/>
      </c>
    </row>
    <row r="12" spans="1:53" ht="14.7" thickBot="1" x14ac:dyDescent="0.55000000000000004">
      <c r="A12" s="53">
        <v>45668</v>
      </c>
      <c r="B12" s="2">
        <v>5.4</v>
      </c>
      <c r="C12" s="267"/>
      <c r="D12" s="294"/>
      <c r="E12" s="58">
        <v>1</v>
      </c>
      <c r="F12" s="69" t="s">
        <v>176</v>
      </c>
      <c r="L12" s="157" t="s">
        <v>15</v>
      </c>
      <c r="M12" s="32">
        <v>4.6545454545454543</v>
      </c>
      <c r="N12" s="290"/>
      <c r="O12" s="57">
        <f>COUNTIFS(B214:B244,"&gt;=10")</f>
        <v>0</v>
      </c>
      <c r="P12" s="57">
        <f>COUNTIFS(B214:B244,"&gt;=8", B214:B244,"&lt;10")</f>
        <v>0</v>
      </c>
      <c r="Q12" s="57">
        <f>COUNTIFS(B214:B244,"&gt;=6",B214:B244,"&lt;8")</f>
        <v>8</v>
      </c>
      <c r="R12" s="57">
        <f>COUNTIFS(B214:B244,"&gt;=4", B214:B244,"&lt;6")</f>
        <v>16</v>
      </c>
      <c r="S12" s="57">
        <f>COUNTIFS(B214:B244,"&gt;=2", B214:B244,"&lt;4")</f>
        <v>6</v>
      </c>
      <c r="T12" s="57">
        <f>COUNTIFS(B214:B244,"&gt;=0", B214:B244,"&lt;2")</f>
        <v>1</v>
      </c>
      <c r="U12" s="281"/>
      <c r="AK12" s="53">
        <v>45668</v>
      </c>
      <c r="AL12" s="2">
        <v>5.4</v>
      </c>
      <c r="AM12" s="2">
        <v>6</v>
      </c>
      <c r="AN12">
        <f t="shared" si="0"/>
        <v>-0.59999999999999964</v>
      </c>
      <c r="AO12" t="str">
        <f>TRIM(MID(SUBSTITUTE($F12, ",", REPT(" ", 100)), (COLUMNS($AH$2:AO12)-1)*100+1, 100))</f>
        <v/>
      </c>
      <c r="AP12" t="str">
        <f>TRIM(MID(SUBSTITUTE($F12, ",", REPT(" ", 100)), (COLUMNS($AH$2:AP12)-1)*100+1, 100))</f>
        <v/>
      </c>
      <c r="AQ12" t="str">
        <f>TRIM(MID(SUBSTITUTE($F12, ",", REPT(" ", 100)), (COLUMNS($AH$2:AQ12)-1)*100+1, 100))</f>
        <v/>
      </c>
      <c r="AR12" t="str">
        <f>TRIM(MID(SUBSTITUTE($F12, ",", REPT(" ", 100)), (COLUMNS($AH$2:AR12)-1)*100+1, 100))</f>
        <v/>
      </c>
      <c r="AS12" t="str">
        <f>TRIM(MID(SUBSTITUTE($F12, ",", REPT(" ", 100)), (COLUMNS($AH$2:AS12)-1)*100+1, 100))</f>
        <v/>
      </c>
      <c r="AT12" t="str">
        <f>TRIM(MID(SUBSTITUTE($F12, ",", REPT(" ", 100)), (COLUMNS($AH$2:AT12)-1)*100+1, 100))</f>
        <v/>
      </c>
      <c r="AU12" t="str">
        <f>TRIM(MID(SUBSTITUTE($F12, ",", REPT(" ", 100)), (COLUMNS($AH$2:AU12)-1)*100+1, 100))</f>
        <v/>
      </c>
      <c r="AV12" t="str">
        <f>TRIM(MID(SUBSTITUTE($F12, ",", REPT(" ", 100)), (COLUMNS($AH$2:AV12)-1)*100+1, 100))</f>
        <v/>
      </c>
      <c r="AW12" t="str">
        <f>TRIM(MID(SUBSTITUTE($F12, ",", REPT(" ", 100)), (COLUMNS($AH$2:AW12)-1)*100+1, 100))</f>
        <v/>
      </c>
      <c r="AX12" t="str">
        <f>TRIM(MID(SUBSTITUTE($F12, ",", REPT(" ", 100)), (COLUMNS($AH$2:AX12)-1)*100+1, 100))</f>
        <v/>
      </c>
      <c r="AY12" t="str">
        <f>TRIM(MID(SUBSTITUTE($F12, ",", REPT(" ", 100)), (COLUMNS($AH$2:AY12)-1)*100+1, 100))</f>
        <v/>
      </c>
      <c r="AZ12" t="str">
        <f>TRIM(MID(SUBSTITUTE($F12, ",", REPT(" ", 100)), (COLUMNS($AH$2:AZ12)-1)*100+1, 100))</f>
        <v/>
      </c>
      <c r="BA12" t="str">
        <f>TRIM(MID(SUBSTITUTE($F12, ",", REPT(" ", 100)), (COLUMNS($AH$2:BA12)-1)*100+1, 100))</f>
        <v/>
      </c>
    </row>
    <row r="13" spans="1:53" x14ac:dyDescent="0.5">
      <c r="A13" s="53">
        <v>45669</v>
      </c>
      <c r="B13" s="2">
        <v>7.2</v>
      </c>
      <c r="C13" s="267"/>
      <c r="D13" s="294"/>
      <c r="E13" s="58">
        <v>1</v>
      </c>
      <c r="F13" s="68" t="s">
        <v>176</v>
      </c>
      <c r="G13" s="74"/>
      <c r="H13" s="284" t="s">
        <v>174</v>
      </c>
      <c r="I13" s="285"/>
      <c r="J13" s="288">
        <f>J11/3.65</f>
        <v>100</v>
      </c>
      <c r="L13" s="157" t="s">
        <v>16</v>
      </c>
      <c r="M13" s="32">
        <f>C245</f>
        <v>5.8166666666666673</v>
      </c>
      <c r="N13" s="290"/>
      <c r="O13" s="57">
        <f>COUNTIFS(B245:B274,"&gt;=10")</f>
        <v>1</v>
      </c>
      <c r="P13" s="57">
        <f>COUNTIFS(B245:B274,"&gt;=8", B245:B274,"&lt;10")</f>
        <v>3</v>
      </c>
      <c r="Q13" s="57">
        <f>COUNTIFS(B245:B274,"&gt;=6",B245:B274,"&lt;8")</f>
        <v>12</v>
      </c>
      <c r="R13" s="57">
        <f>COUNTIFS(B245:B274,"&gt;=4", B245:B274,"&lt;6")</f>
        <v>11</v>
      </c>
      <c r="S13" s="57">
        <f>COUNTIFS(B245:B274,"&gt;=2", B245:B274,"&lt;4")</f>
        <v>3</v>
      </c>
      <c r="T13" s="57">
        <f>COUNTIFS(B245:B274,"&gt;=0", B245:B274,"&lt;2")</f>
        <v>0</v>
      </c>
      <c r="U13" s="292">
        <f>AVERAGE(M13:M16)</f>
        <v>5.8362096774193546</v>
      </c>
      <c r="AD13" s="31" t="s">
        <v>193</v>
      </c>
      <c r="AE13" s="31"/>
      <c r="AG13" t="str">
        <f>TRIM(MID(SUBSTITUTE($F34, ",", REPT(" ", 100)), (COLUMNS($AH$2:AL34)-1)*100+1, 100))</f>
        <v/>
      </c>
      <c r="AH13" t="str">
        <f>TRIM(MID(SUBSTITUTE($F34, ",", REPT(" ", 100)), (COLUMNS($AH$2:AM34)-1)*100+1, 100))</f>
        <v/>
      </c>
      <c r="AJ13" t="str">
        <f>TRIM(MID(SUBSTITUTE($F34, ",", REPT(" ", 100)), (COLUMNS($AH$2:AO34)-1)*100+1, 100))</f>
        <v/>
      </c>
      <c r="AK13" s="53">
        <v>45669</v>
      </c>
      <c r="AL13" s="2">
        <v>7.2</v>
      </c>
      <c r="AM13" s="2">
        <v>6</v>
      </c>
      <c r="AN13">
        <f t="shared" si="0"/>
        <v>1.2000000000000002</v>
      </c>
      <c r="AO13" t="str">
        <f>TRIM(MID(SUBSTITUTE($F13, ",", REPT(" ", 100)), (COLUMNS($AH$2:AO13)-1)*100+1, 100))</f>
        <v/>
      </c>
      <c r="AP13" t="str">
        <f>TRIM(MID(SUBSTITUTE($F13, ",", REPT(" ", 100)), (COLUMNS($AH$2:AP13)-1)*100+1, 100))</f>
        <v/>
      </c>
      <c r="AQ13" t="str">
        <f>TRIM(MID(SUBSTITUTE($F13, ",", REPT(" ", 100)), (COLUMNS($AH$2:AQ13)-1)*100+1, 100))</f>
        <v/>
      </c>
      <c r="AR13" t="str">
        <f>TRIM(MID(SUBSTITUTE($F13, ",", REPT(" ", 100)), (COLUMNS($AH$2:AR13)-1)*100+1, 100))</f>
        <v/>
      </c>
      <c r="AS13" t="str">
        <f>TRIM(MID(SUBSTITUTE($F13, ",", REPT(" ", 100)), (COLUMNS($AH$2:AS13)-1)*100+1, 100))</f>
        <v/>
      </c>
      <c r="AT13" t="str">
        <f>TRIM(MID(SUBSTITUTE($F13, ",", REPT(" ", 100)), (COLUMNS($AH$2:AT13)-1)*100+1, 100))</f>
        <v/>
      </c>
      <c r="AU13" t="str">
        <f>TRIM(MID(SUBSTITUTE($F13, ",", REPT(" ", 100)), (COLUMNS($AH$2:AU13)-1)*100+1, 100))</f>
        <v/>
      </c>
      <c r="AV13" t="str">
        <f>TRIM(MID(SUBSTITUTE($F13, ",", REPT(" ", 100)), (COLUMNS($AH$2:AV13)-1)*100+1, 100))</f>
        <v/>
      </c>
      <c r="AW13" t="str">
        <f>TRIM(MID(SUBSTITUTE($F13, ",", REPT(" ", 100)), (COLUMNS($AH$2:AW13)-1)*100+1, 100))</f>
        <v/>
      </c>
      <c r="AX13" t="str">
        <f>TRIM(MID(SUBSTITUTE($F13, ",", REPT(" ", 100)), (COLUMNS($AH$2:AX13)-1)*100+1, 100))</f>
        <v/>
      </c>
      <c r="AY13" t="str">
        <f>TRIM(MID(SUBSTITUTE($F13, ",", REPT(" ", 100)), (COLUMNS($AH$2:AY13)-1)*100+1, 100))</f>
        <v/>
      </c>
      <c r="AZ13" t="str">
        <f>TRIM(MID(SUBSTITUTE($F13, ",", REPT(" ", 100)), (COLUMNS($AH$2:AZ13)-1)*100+1, 100))</f>
        <v/>
      </c>
      <c r="BA13" t="str">
        <f>TRIM(MID(SUBSTITUTE($F13, ",", REPT(" ", 100)), (COLUMNS($AH$2:BA13)-1)*100+1, 100))</f>
        <v/>
      </c>
    </row>
    <row r="14" spans="1:53" ht="14.7" thickBot="1" x14ac:dyDescent="0.55000000000000004">
      <c r="A14" s="53">
        <v>45670</v>
      </c>
      <c r="B14" s="2">
        <v>3.9</v>
      </c>
      <c r="C14" s="267"/>
      <c r="D14" s="294"/>
      <c r="E14" s="58">
        <v>0.8</v>
      </c>
      <c r="F14" s="69" t="s">
        <v>176</v>
      </c>
      <c r="H14" s="286"/>
      <c r="I14" s="287"/>
      <c r="J14" s="289"/>
      <c r="L14" s="157" t="s">
        <v>17</v>
      </c>
      <c r="M14" s="32">
        <f>C275</f>
        <v>5.629032258064516</v>
      </c>
      <c r="N14" s="290"/>
      <c r="O14" s="57">
        <f>COUNTIFS(B275:B305,"&gt;=10")</f>
        <v>0</v>
      </c>
      <c r="P14" s="57">
        <f>COUNTIFS(B275:B305,"&gt;=8", B275:B305,"&lt;10")</f>
        <v>3</v>
      </c>
      <c r="Q14" s="57">
        <f>COUNTIFS(B275:B305,"&gt;=6",B275:B305,"&lt;8")</f>
        <v>12</v>
      </c>
      <c r="R14" s="57">
        <f>COUNTIFS(B275:B305,"&gt;=4", B275:B305,"&lt;6")</f>
        <v>14</v>
      </c>
      <c r="S14" s="57">
        <f>COUNTIFS(B275:B305,"&gt;=2", B275:B305,"&lt;4")</f>
        <v>2</v>
      </c>
      <c r="T14" s="57">
        <f>COUNTIFS(B275:B305,"&gt;=0", B275:B305,"&lt;2")</f>
        <v>0</v>
      </c>
      <c r="U14" s="280"/>
      <c r="AD14" s="31" t="s">
        <v>8</v>
      </c>
      <c r="AE14" s="66">
        <f>AVERAGE(E2:E32)*100</f>
        <v>78.709677419354847</v>
      </c>
      <c r="AG14" t="str">
        <f>TRIM(MID(SUBSTITUTE($F35, ",", REPT(" ", 100)), (COLUMNS($AH$2:AL35)-1)*100+1, 100))</f>
        <v/>
      </c>
      <c r="AH14" s="24" t="s">
        <v>0</v>
      </c>
      <c r="AI14" s="26">
        <v>13</v>
      </c>
      <c r="AJ14" t="str">
        <f>TRIM(MID(SUBSTITUTE($F35, ",", REPT(" ", 100)), (COLUMNS($AH$2:AO35)-1)*100+1, 100))</f>
        <v/>
      </c>
      <c r="AK14" s="53">
        <v>45670</v>
      </c>
      <c r="AL14" s="2">
        <v>3.9</v>
      </c>
      <c r="AM14" s="2">
        <v>2</v>
      </c>
      <c r="AN14">
        <f t="shared" si="0"/>
        <v>1.9</v>
      </c>
      <c r="AO14" t="str">
        <f>TRIM(MID(SUBSTITUTE($F14, ",", REPT(" ", 100)), (COLUMNS($AH$2:AO14)-1)*100+1, 100))</f>
        <v/>
      </c>
      <c r="AP14" t="str">
        <f>TRIM(MID(SUBSTITUTE($F14, ",", REPT(" ", 100)), (COLUMNS($AH$2:AP14)-1)*100+1, 100))</f>
        <v/>
      </c>
      <c r="AQ14" t="str">
        <f>TRIM(MID(SUBSTITUTE($F14, ",", REPT(" ", 100)), (COLUMNS($AH$2:AQ14)-1)*100+1, 100))</f>
        <v/>
      </c>
      <c r="AR14" t="str">
        <f>TRIM(MID(SUBSTITUTE($F14, ",", REPT(" ", 100)), (COLUMNS($AH$2:AR14)-1)*100+1, 100))</f>
        <v/>
      </c>
      <c r="AS14" t="str">
        <f>TRIM(MID(SUBSTITUTE($F14, ",", REPT(" ", 100)), (COLUMNS($AH$2:AS14)-1)*100+1, 100))</f>
        <v/>
      </c>
      <c r="AT14" t="str">
        <f>TRIM(MID(SUBSTITUTE($F14, ",", REPT(" ", 100)), (COLUMNS($AH$2:AT14)-1)*100+1, 100))</f>
        <v/>
      </c>
      <c r="AU14" t="str">
        <f>TRIM(MID(SUBSTITUTE($F14, ",", REPT(" ", 100)), (COLUMNS($AH$2:AU14)-1)*100+1, 100))</f>
        <v/>
      </c>
      <c r="AV14" t="str">
        <f>TRIM(MID(SUBSTITUTE($F14, ",", REPT(" ", 100)), (COLUMNS($AH$2:AV14)-1)*100+1, 100))</f>
        <v/>
      </c>
      <c r="AW14" t="str">
        <f>TRIM(MID(SUBSTITUTE($F14, ",", REPT(" ", 100)), (COLUMNS($AH$2:AW14)-1)*100+1, 100))</f>
        <v/>
      </c>
      <c r="AX14" t="str">
        <f>TRIM(MID(SUBSTITUTE($F14, ",", REPT(" ", 100)), (COLUMNS($AH$2:AX14)-1)*100+1, 100))</f>
        <v/>
      </c>
      <c r="AY14" t="str">
        <f>TRIM(MID(SUBSTITUTE($F14, ",", REPT(" ", 100)), (COLUMNS($AH$2:AY14)-1)*100+1, 100))</f>
        <v/>
      </c>
      <c r="AZ14" t="str">
        <f>TRIM(MID(SUBSTITUTE($F14, ",", REPT(" ", 100)), (COLUMNS($AH$2:AZ14)-1)*100+1, 100))</f>
        <v/>
      </c>
      <c r="BA14" t="str">
        <f>TRIM(MID(SUBSTITUTE($F14, ",", REPT(" ", 100)), (COLUMNS($AH$2:BA14)-1)*100+1, 100))</f>
        <v/>
      </c>
    </row>
    <row r="15" spans="1:53" x14ac:dyDescent="0.5">
      <c r="A15" s="53">
        <v>45671</v>
      </c>
      <c r="B15" s="2">
        <v>1.5</v>
      </c>
      <c r="C15" s="267"/>
      <c r="D15" s="294"/>
      <c r="E15" s="58">
        <v>1</v>
      </c>
      <c r="F15" s="68" t="s">
        <v>176</v>
      </c>
      <c r="G15" s="74" t="s">
        <v>197</v>
      </c>
      <c r="L15" s="157" t="s">
        <v>18</v>
      </c>
      <c r="M15" s="32">
        <f>C306</f>
        <v>6.0733333333333333</v>
      </c>
      <c r="N15" s="290"/>
      <c r="O15" s="57">
        <f>COUNTIFS(B306:B335,"&gt;=10")</f>
        <v>1</v>
      </c>
      <c r="P15" s="57">
        <f>COUNTIFS(B306:B335,"&gt;=8", B306:B335,"&lt;10")</f>
        <v>3</v>
      </c>
      <c r="Q15" s="57">
        <f>COUNTIFS(B306:B335,"&gt;=6",B306:B335,"&lt;8")</f>
        <v>11</v>
      </c>
      <c r="R15" s="57">
        <f>COUNTIFS(B306:B335,"&gt;=4", B306:B335,"&lt;6")</f>
        <v>14</v>
      </c>
      <c r="S15" s="57">
        <f>COUNTIFS(B306:B335,"&gt;=2", B306:B335,"&lt;4")</f>
        <v>0</v>
      </c>
      <c r="T15" s="57">
        <f>COUNTIFS(B306:B335,"&gt;=0", B306:B335,"&lt;2")</f>
        <v>1</v>
      </c>
      <c r="U15" s="280"/>
      <c r="AD15" s="31" t="s">
        <v>9</v>
      </c>
      <c r="AE15" s="66">
        <f>AVERAGE(E33:E60)*100</f>
        <v>67.857142857142861</v>
      </c>
      <c r="AG15" t="str">
        <f>TRIM(MID(SUBSTITUTE($F36, ",", REPT(" ", 100)), (COLUMNS($AH$2:AL36)-1)*100+1, 100))</f>
        <v/>
      </c>
      <c r="AH15" s="7" t="s">
        <v>1</v>
      </c>
      <c r="AI15" s="9">
        <v>33</v>
      </c>
      <c r="AJ15" t="str">
        <f>TRIM(MID(SUBSTITUTE($F36, ",", REPT(" ", 100)), (COLUMNS($AH$2:AO36)-1)*100+1, 100))</f>
        <v/>
      </c>
      <c r="AK15" s="53">
        <v>45671</v>
      </c>
      <c r="AL15" s="2">
        <v>1.5</v>
      </c>
      <c r="AM15" s="2">
        <v>4</v>
      </c>
      <c r="AN15">
        <f t="shared" si="0"/>
        <v>-2.5</v>
      </c>
      <c r="AO15" t="str">
        <f>TRIM(MID(SUBSTITUTE($F15, ",", REPT(" ", 100)), (COLUMNS($AH$2:AO15)-1)*100+1, 100))</f>
        <v/>
      </c>
      <c r="AP15" t="str">
        <f>TRIM(MID(SUBSTITUTE($F15, ",", REPT(" ", 100)), (COLUMNS($AH$2:AP15)-1)*100+1, 100))</f>
        <v/>
      </c>
      <c r="AQ15" t="str">
        <f>TRIM(MID(SUBSTITUTE($F15, ",", REPT(" ", 100)), (COLUMNS($AH$2:AQ15)-1)*100+1, 100))</f>
        <v/>
      </c>
      <c r="AR15" t="str">
        <f>TRIM(MID(SUBSTITUTE($F15, ",", REPT(" ", 100)), (COLUMNS($AH$2:AR15)-1)*100+1, 100))</f>
        <v/>
      </c>
      <c r="AS15" t="str">
        <f>TRIM(MID(SUBSTITUTE($F15, ",", REPT(" ", 100)), (COLUMNS($AH$2:AS15)-1)*100+1, 100))</f>
        <v/>
      </c>
      <c r="AT15" t="str">
        <f>TRIM(MID(SUBSTITUTE($F15, ",", REPT(" ", 100)), (COLUMNS($AH$2:AT15)-1)*100+1, 100))</f>
        <v/>
      </c>
      <c r="AU15" t="str">
        <f>TRIM(MID(SUBSTITUTE($F15, ",", REPT(" ", 100)), (COLUMNS($AH$2:AU15)-1)*100+1, 100))</f>
        <v/>
      </c>
      <c r="AV15" t="str">
        <f>TRIM(MID(SUBSTITUTE($F15, ",", REPT(" ", 100)), (COLUMNS($AH$2:AV15)-1)*100+1, 100))</f>
        <v/>
      </c>
      <c r="AW15" t="str">
        <f>TRIM(MID(SUBSTITUTE($F15, ",", REPT(" ", 100)), (COLUMNS($AH$2:AW15)-1)*100+1, 100))</f>
        <v/>
      </c>
      <c r="AX15" t="str">
        <f>TRIM(MID(SUBSTITUTE($F15, ",", REPT(" ", 100)), (COLUMNS($AH$2:AX15)-1)*100+1, 100))</f>
        <v/>
      </c>
      <c r="AY15" t="str">
        <f>TRIM(MID(SUBSTITUTE($F15, ",", REPT(" ", 100)), (COLUMNS($AH$2:AY15)-1)*100+1, 100))</f>
        <v/>
      </c>
      <c r="AZ15" t="str">
        <f>TRIM(MID(SUBSTITUTE($F15, ",", REPT(" ", 100)), (COLUMNS($AH$2:AZ15)-1)*100+1, 100))</f>
        <v/>
      </c>
      <c r="BA15" t="str">
        <f>TRIM(MID(SUBSTITUTE($F15, ",", REPT(" ", 100)), (COLUMNS($AH$2:BA15)-1)*100+1, 100))</f>
        <v/>
      </c>
    </row>
    <row r="16" spans="1:53" x14ac:dyDescent="0.5">
      <c r="A16" s="53">
        <v>45672</v>
      </c>
      <c r="B16" s="2">
        <v>5.2</v>
      </c>
      <c r="C16" s="267"/>
      <c r="D16" s="294"/>
      <c r="E16" s="58">
        <v>1</v>
      </c>
      <c r="F16" s="69" t="s">
        <v>176</v>
      </c>
      <c r="L16" s="157" t="s">
        <v>19</v>
      </c>
      <c r="M16" s="32">
        <f>C336</f>
        <v>5.8258064516129036</v>
      </c>
      <c r="N16" s="291"/>
      <c r="O16" s="57">
        <f>COUNTIFS(B336:B366,"&gt;=10")</f>
        <v>0</v>
      </c>
      <c r="P16" s="57">
        <f>COUNTIFS(B336:B366,"&gt;=8", B336:B366,"&lt;10")</f>
        <v>5</v>
      </c>
      <c r="Q16" s="57">
        <f>COUNTIFS(B336:B366,"&gt;=6",B336:B366,"&lt;8")</f>
        <v>8</v>
      </c>
      <c r="R16" s="57">
        <f>COUNTIFS(B336:B366,"&gt;=4", B336:B366,"&lt;6")</f>
        <v>17</v>
      </c>
      <c r="S16" s="57">
        <f>COUNTIFS(B336:B366,"&gt;=2", B336:B366,"&lt;4")</f>
        <v>1</v>
      </c>
      <c r="T16" s="57">
        <f>COUNTIFS(B336:B366,"&gt;=0", B336:B366,"&lt;2")</f>
        <v>0</v>
      </c>
      <c r="U16" s="281"/>
      <c r="AD16" s="31" t="s">
        <v>10</v>
      </c>
      <c r="AE16" s="31">
        <f>AVERAGE(E61:E91)*100</f>
        <v>64.516129032258064</v>
      </c>
      <c r="AG16" t="str">
        <f>TRIM(MID(SUBSTITUTE($F37, ",", REPT(" ", 100)), (COLUMNS($AH$2:AL37)-1)*100+1, 100))</f>
        <v/>
      </c>
      <c r="AH16" s="11" t="s">
        <v>2</v>
      </c>
      <c r="AI16" s="9">
        <v>158</v>
      </c>
      <c r="AJ16" t="str">
        <f>TRIM(MID(SUBSTITUTE($F37, ",", REPT(" ", 100)), (COLUMNS($AH$2:AO37)-1)*100+1, 100))</f>
        <v/>
      </c>
      <c r="AK16" s="53">
        <v>45672</v>
      </c>
      <c r="AL16" s="2">
        <v>5.2</v>
      </c>
      <c r="AM16" s="2">
        <v>6</v>
      </c>
      <c r="AN16">
        <f t="shared" si="0"/>
        <v>-0.79999999999999982</v>
      </c>
      <c r="AO16" t="str">
        <f>TRIM(MID(SUBSTITUTE($F16, ",", REPT(" ", 100)), (COLUMNS($AH$2:AO16)-1)*100+1, 100))</f>
        <v/>
      </c>
      <c r="AP16" t="str">
        <f>TRIM(MID(SUBSTITUTE($F16, ",", REPT(" ", 100)), (COLUMNS($AH$2:AP16)-1)*100+1, 100))</f>
        <v/>
      </c>
      <c r="AQ16" t="str">
        <f>TRIM(MID(SUBSTITUTE($F16, ",", REPT(" ", 100)), (COLUMNS($AH$2:AQ16)-1)*100+1, 100))</f>
        <v/>
      </c>
      <c r="AR16" t="str">
        <f>TRIM(MID(SUBSTITUTE($F16, ",", REPT(" ", 100)), (COLUMNS($AH$2:AR16)-1)*100+1, 100))</f>
        <v/>
      </c>
      <c r="AS16" t="str">
        <f>TRIM(MID(SUBSTITUTE($F16, ",", REPT(" ", 100)), (COLUMNS($AH$2:AS16)-1)*100+1, 100))</f>
        <v/>
      </c>
      <c r="AT16" t="str">
        <f>TRIM(MID(SUBSTITUTE($F16, ",", REPT(" ", 100)), (COLUMNS($AH$2:AT16)-1)*100+1, 100))</f>
        <v/>
      </c>
      <c r="AU16" t="str">
        <f>TRIM(MID(SUBSTITUTE($F16, ",", REPT(" ", 100)), (COLUMNS($AH$2:AU16)-1)*100+1, 100))</f>
        <v/>
      </c>
      <c r="AV16" t="str">
        <f>TRIM(MID(SUBSTITUTE($F16, ",", REPT(" ", 100)), (COLUMNS($AH$2:AV16)-1)*100+1, 100))</f>
        <v/>
      </c>
      <c r="AW16" t="str">
        <f>TRIM(MID(SUBSTITUTE($F16, ",", REPT(" ", 100)), (COLUMNS($AH$2:AW16)-1)*100+1, 100))</f>
        <v/>
      </c>
      <c r="AX16" t="str">
        <f>TRIM(MID(SUBSTITUTE($F16, ",", REPT(" ", 100)), (COLUMNS($AH$2:AX16)-1)*100+1, 100))</f>
        <v/>
      </c>
      <c r="AY16" t="str">
        <f>TRIM(MID(SUBSTITUTE($F16, ",", REPT(" ", 100)), (COLUMNS($AH$2:AY16)-1)*100+1, 100))</f>
        <v/>
      </c>
      <c r="AZ16" t="str">
        <f>TRIM(MID(SUBSTITUTE($F16, ",", REPT(" ", 100)), (COLUMNS($AH$2:AZ16)-1)*100+1, 100))</f>
        <v/>
      </c>
      <c r="BA16" t="str">
        <f>TRIM(MID(SUBSTITUTE($F16, ",", REPT(" ", 100)), (COLUMNS($AH$2:BA16)-1)*100+1, 100))</f>
        <v/>
      </c>
    </row>
    <row r="17" spans="1:53" ht="14.7" thickBot="1" x14ac:dyDescent="0.55000000000000004">
      <c r="A17" s="53">
        <v>45673</v>
      </c>
      <c r="B17" s="2">
        <v>6.5</v>
      </c>
      <c r="C17" s="267"/>
      <c r="D17" s="294"/>
      <c r="E17" s="58">
        <v>1</v>
      </c>
      <c r="F17" s="68" t="s">
        <v>176</v>
      </c>
      <c r="G17" s="74"/>
      <c r="L17" s="158"/>
      <c r="M17" s="85"/>
      <c r="N17" s="85"/>
      <c r="O17" s="85"/>
      <c r="P17" s="85"/>
      <c r="Q17" s="85"/>
      <c r="R17" s="85"/>
      <c r="S17" s="85"/>
      <c r="T17" s="85"/>
      <c r="U17" s="159"/>
      <c r="AD17" s="31" t="s">
        <v>11</v>
      </c>
      <c r="AE17" s="31">
        <f>AVERAGE(E92:E121)*100</f>
        <v>73</v>
      </c>
      <c r="AG17" t="str">
        <f>TRIM(MID(SUBSTITUTE($F38, ",", REPT(" ", 100)), (COLUMNS($AH$2:AL38)-1)*100+1, 100))</f>
        <v/>
      </c>
      <c r="AH17" s="12" t="s">
        <v>3</v>
      </c>
      <c r="AI17" s="9">
        <v>127</v>
      </c>
      <c r="AJ17" t="str">
        <f>TRIM(MID(SUBSTITUTE($F38, ",", REPT(" ", 100)), (COLUMNS($AH$2:AO38)-1)*100+1, 100))</f>
        <v/>
      </c>
      <c r="AK17" s="53">
        <v>45673</v>
      </c>
      <c r="AL17" s="2">
        <v>6.5</v>
      </c>
      <c r="AM17" s="2">
        <v>0</v>
      </c>
      <c r="AN17">
        <f t="shared" si="0"/>
        <v>6.5</v>
      </c>
      <c r="AO17" t="str">
        <f>TRIM(MID(SUBSTITUTE($F17, ",", REPT(" ", 100)), (COLUMNS($AH$2:AO17)-1)*100+1, 100))</f>
        <v/>
      </c>
      <c r="AP17" t="str">
        <f>TRIM(MID(SUBSTITUTE($F17, ",", REPT(" ", 100)), (COLUMNS($AH$2:AP17)-1)*100+1, 100))</f>
        <v/>
      </c>
      <c r="AQ17" t="str">
        <f>TRIM(MID(SUBSTITUTE($F17, ",", REPT(" ", 100)), (COLUMNS($AH$2:AQ17)-1)*100+1, 100))</f>
        <v/>
      </c>
      <c r="AR17" t="str">
        <f>TRIM(MID(SUBSTITUTE($F17, ",", REPT(" ", 100)), (COLUMNS($AH$2:AR17)-1)*100+1, 100))</f>
        <v/>
      </c>
      <c r="AS17" t="str">
        <f>TRIM(MID(SUBSTITUTE($F17, ",", REPT(" ", 100)), (COLUMNS($AH$2:AS17)-1)*100+1, 100))</f>
        <v/>
      </c>
      <c r="AT17" t="str">
        <f>TRIM(MID(SUBSTITUTE($F17, ",", REPT(" ", 100)), (COLUMNS($AH$2:AT17)-1)*100+1, 100))</f>
        <v/>
      </c>
      <c r="AU17" t="str">
        <f>TRIM(MID(SUBSTITUTE($F17, ",", REPT(" ", 100)), (COLUMNS($AH$2:AU17)-1)*100+1, 100))</f>
        <v/>
      </c>
      <c r="AV17" t="str">
        <f>TRIM(MID(SUBSTITUTE($F17, ",", REPT(" ", 100)), (COLUMNS($AH$2:AV17)-1)*100+1, 100))</f>
        <v/>
      </c>
      <c r="AW17" t="str">
        <f>TRIM(MID(SUBSTITUTE($F17, ",", REPT(" ", 100)), (COLUMNS($AH$2:AW17)-1)*100+1, 100))</f>
        <v/>
      </c>
      <c r="AX17" t="str">
        <f>TRIM(MID(SUBSTITUTE($F17, ",", REPT(" ", 100)), (COLUMNS($AH$2:AX17)-1)*100+1, 100))</f>
        <v/>
      </c>
      <c r="AY17" t="str">
        <f>TRIM(MID(SUBSTITUTE($F17, ",", REPT(" ", 100)), (COLUMNS($AH$2:AY17)-1)*100+1, 100))</f>
        <v/>
      </c>
      <c r="AZ17" t="str">
        <f>TRIM(MID(SUBSTITUTE($F17, ",", REPT(" ", 100)), (COLUMNS($AH$2:AZ17)-1)*100+1, 100))</f>
        <v/>
      </c>
      <c r="BA17" t="str">
        <f>TRIM(MID(SUBSTITUTE($F17, ",", REPT(" ", 100)), (COLUMNS($AH$2:BA17)-1)*100+1, 100))</f>
        <v/>
      </c>
    </row>
    <row r="18" spans="1:53" x14ac:dyDescent="0.5">
      <c r="A18" s="53">
        <v>45674</v>
      </c>
      <c r="B18" s="2">
        <v>2.9</v>
      </c>
      <c r="C18" s="267"/>
      <c r="D18" s="294"/>
      <c r="E18" s="58">
        <v>0.6</v>
      </c>
      <c r="F18" s="69" t="s">
        <v>176</v>
      </c>
      <c r="AD18" s="31" t="s">
        <v>12</v>
      </c>
      <c r="AE18" s="31">
        <f>AVERAGE(E122:E152)*100</f>
        <v>41.612903225806456</v>
      </c>
      <c r="AG18" t="str">
        <f>TRIM(MID(SUBSTITUTE($F39, ",", REPT(" ", 100)), (COLUMNS($AH$2:AL39)-1)*100+1, 100))</f>
        <v/>
      </c>
      <c r="AH18" s="13" t="s">
        <v>4</v>
      </c>
      <c r="AI18" s="9">
        <v>26</v>
      </c>
      <c r="AJ18" t="str">
        <f>TRIM(MID(SUBSTITUTE($F39, ",", REPT(" ", 100)), (COLUMNS($AH$2:AO39)-1)*100+1, 100))</f>
        <v/>
      </c>
      <c r="AK18" s="53">
        <v>45674</v>
      </c>
      <c r="AL18" s="2">
        <v>2.9</v>
      </c>
      <c r="AM18" s="2">
        <v>6</v>
      </c>
      <c r="AN18">
        <f t="shared" si="0"/>
        <v>-3.1</v>
      </c>
      <c r="AO18" t="str">
        <f>TRIM(MID(SUBSTITUTE($F18, ",", REPT(" ", 100)), (COLUMNS($AH$2:AO18)-1)*100+1, 100))</f>
        <v/>
      </c>
      <c r="AP18" t="str">
        <f>TRIM(MID(SUBSTITUTE($F18, ",", REPT(" ", 100)), (COLUMNS($AH$2:AP18)-1)*100+1, 100))</f>
        <v/>
      </c>
      <c r="AQ18" t="str">
        <f>TRIM(MID(SUBSTITUTE($F18, ",", REPT(" ", 100)), (COLUMNS($AH$2:AQ18)-1)*100+1, 100))</f>
        <v/>
      </c>
      <c r="AR18" t="str">
        <f>TRIM(MID(SUBSTITUTE($F18, ",", REPT(" ", 100)), (COLUMNS($AH$2:AR18)-1)*100+1, 100))</f>
        <v/>
      </c>
      <c r="AS18" t="str">
        <f>TRIM(MID(SUBSTITUTE($F18, ",", REPT(" ", 100)), (COLUMNS($AH$2:AS18)-1)*100+1, 100))</f>
        <v/>
      </c>
      <c r="AT18" t="str">
        <f>TRIM(MID(SUBSTITUTE($F18, ",", REPT(" ", 100)), (COLUMNS($AH$2:AT18)-1)*100+1, 100))</f>
        <v/>
      </c>
      <c r="AU18" t="str">
        <f>TRIM(MID(SUBSTITUTE($F18, ",", REPT(" ", 100)), (COLUMNS($AH$2:AU18)-1)*100+1, 100))</f>
        <v/>
      </c>
      <c r="AV18" t="str">
        <f>TRIM(MID(SUBSTITUTE($F18, ",", REPT(" ", 100)), (COLUMNS($AH$2:AV18)-1)*100+1, 100))</f>
        <v/>
      </c>
      <c r="AW18" t="str">
        <f>TRIM(MID(SUBSTITUTE($F18, ",", REPT(" ", 100)), (COLUMNS($AH$2:AW18)-1)*100+1, 100))</f>
        <v/>
      </c>
      <c r="AX18" t="str">
        <f>TRIM(MID(SUBSTITUTE($F18, ",", REPT(" ", 100)), (COLUMNS($AH$2:AX18)-1)*100+1, 100))</f>
        <v/>
      </c>
      <c r="AY18" t="str">
        <f>TRIM(MID(SUBSTITUTE($F18, ",", REPT(" ", 100)), (COLUMNS($AH$2:AY18)-1)*100+1, 100))</f>
        <v/>
      </c>
      <c r="AZ18" t="str">
        <f>TRIM(MID(SUBSTITUTE($F18, ",", REPT(" ", 100)), (COLUMNS($AH$2:AZ18)-1)*100+1, 100))</f>
        <v/>
      </c>
      <c r="BA18" t="str">
        <f>TRIM(MID(SUBSTITUTE($F18, ",", REPT(" ", 100)), (COLUMNS($AH$2:BA18)-1)*100+1, 100))</f>
        <v/>
      </c>
    </row>
    <row r="19" spans="1:53" ht="14.7" thickBot="1" x14ac:dyDescent="0.55000000000000004">
      <c r="A19" s="53">
        <v>45675</v>
      </c>
      <c r="B19" s="2">
        <v>3.3</v>
      </c>
      <c r="C19" s="267"/>
      <c r="D19" s="294"/>
      <c r="E19" s="58">
        <v>0</v>
      </c>
      <c r="F19" s="68" t="s">
        <v>176</v>
      </c>
      <c r="G19" s="74"/>
      <c r="AD19" s="31" t="s">
        <v>13</v>
      </c>
      <c r="AE19" s="87">
        <f>AVERAGE(E153:E182)*100</f>
        <v>46.666666666666664</v>
      </c>
      <c r="AG19" t="str">
        <f>TRIM(MID(SUBSTITUTE($F40, ",", REPT(" ", 100)), (COLUMNS($AH$2:AL40)-1)*100+1, 100))</f>
        <v/>
      </c>
      <c r="AH19" s="14" t="s">
        <v>5</v>
      </c>
      <c r="AI19" s="16">
        <v>9</v>
      </c>
      <c r="AJ19" t="str">
        <f>TRIM(MID(SUBSTITUTE($F40, ",", REPT(" ", 100)), (COLUMNS($AH$2:AO40)-1)*100+1, 100))</f>
        <v/>
      </c>
      <c r="AK19" s="53">
        <v>45675</v>
      </c>
      <c r="AL19" s="2">
        <v>3.3</v>
      </c>
      <c r="AM19" s="2">
        <v>6</v>
      </c>
      <c r="AN19">
        <f t="shared" si="0"/>
        <v>-2.7</v>
      </c>
      <c r="AO19" t="str">
        <f>TRIM(MID(SUBSTITUTE($F19, ",", REPT(" ", 100)), (COLUMNS($AH$2:AO19)-1)*100+1, 100))</f>
        <v/>
      </c>
      <c r="AP19" t="str">
        <f>TRIM(MID(SUBSTITUTE($F19, ",", REPT(" ", 100)), (COLUMNS($AH$2:AP19)-1)*100+1, 100))</f>
        <v/>
      </c>
      <c r="AQ19" t="str">
        <f>TRIM(MID(SUBSTITUTE($F19, ",", REPT(" ", 100)), (COLUMNS($AH$2:AQ19)-1)*100+1, 100))</f>
        <v/>
      </c>
      <c r="AR19" t="str">
        <f>TRIM(MID(SUBSTITUTE($F19, ",", REPT(" ", 100)), (COLUMNS($AH$2:AR19)-1)*100+1, 100))</f>
        <v/>
      </c>
      <c r="AS19" t="str">
        <f>TRIM(MID(SUBSTITUTE($F19, ",", REPT(" ", 100)), (COLUMNS($AH$2:AS19)-1)*100+1, 100))</f>
        <v/>
      </c>
      <c r="AT19" t="str">
        <f>TRIM(MID(SUBSTITUTE($F19, ",", REPT(" ", 100)), (COLUMNS($AH$2:AT19)-1)*100+1, 100))</f>
        <v/>
      </c>
      <c r="AU19" t="str">
        <f>TRIM(MID(SUBSTITUTE($F19, ",", REPT(" ", 100)), (COLUMNS($AH$2:AU19)-1)*100+1, 100))</f>
        <v/>
      </c>
      <c r="AV19" t="str">
        <f>TRIM(MID(SUBSTITUTE($F19, ",", REPT(" ", 100)), (COLUMNS($AH$2:AV19)-1)*100+1, 100))</f>
        <v/>
      </c>
      <c r="AW19" t="str">
        <f>TRIM(MID(SUBSTITUTE($F19, ",", REPT(" ", 100)), (COLUMNS($AH$2:AW19)-1)*100+1, 100))</f>
        <v/>
      </c>
      <c r="AX19" t="str">
        <f>TRIM(MID(SUBSTITUTE($F19, ",", REPT(" ", 100)), (COLUMNS($AH$2:AX19)-1)*100+1, 100))</f>
        <v/>
      </c>
      <c r="AY19" t="str">
        <f>TRIM(MID(SUBSTITUTE($F19, ",", REPT(" ", 100)), (COLUMNS($AH$2:AY19)-1)*100+1, 100))</f>
        <v/>
      </c>
      <c r="AZ19" t="str">
        <f>TRIM(MID(SUBSTITUTE($F19, ",", REPT(" ", 100)), (COLUMNS($AH$2:AZ19)-1)*100+1, 100))</f>
        <v/>
      </c>
      <c r="BA19" t="str">
        <f>TRIM(MID(SUBSTITUTE($F19, ",", REPT(" ", 100)), (COLUMNS($AH$2:BA19)-1)*100+1, 100))</f>
        <v/>
      </c>
    </row>
    <row r="20" spans="1:53" x14ac:dyDescent="0.5">
      <c r="A20" s="53">
        <v>45676</v>
      </c>
      <c r="B20" s="2">
        <v>6.2</v>
      </c>
      <c r="C20" s="267"/>
      <c r="D20" s="294"/>
      <c r="E20" s="58">
        <v>1</v>
      </c>
      <c r="F20" s="69" t="s">
        <v>176</v>
      </c>
      <c r="AD20" s="31" t="s">
        <v>14</v>
      </c>
      <c r="AE20" s="31">
        <f>AVERAGE(E183:E213)*100</f>
        <v>54.838709677419352</v>
      </c>
      <c r="AG20" t="str">
        <f>TRIM(MID(SUBSTITUTE($F41, ",", REPT(" ", 100)), (COLUMNS($AH$2:AL41)-1)*100+1, 100))</f>
        <v/>
      </c>
      <c r="AH20" t="str">
        <f>TRIM(MID(SUBSTITUTE($F41, ",", REPT(" ", 100)), (COLUMNS($AH$2:AM41)-1)*100+1, 100))</f>
        <v/>
      </c>
      <c r="AJ20" t="str">
        <f>TRIM(MID(SUBSTITUTE($F41, ",", REPT(" ", 100)), (COLUMNS($AH$2:AO41)-1)*100+1, 100))</f>
        <v/>
      </c>
      <c r="AK20" s="53">
        <v>45676</v>
      </c>
      <c r="AL20" s="2">
        <v>6.2</v>
      </c>
      <c r="AM20" s="2">
        <v>6</v>
      </c>
      <c r="AN20">
        <f t="shared" si="0"/>
        <v>0.20000000000000018</v>
      </c>
      <c r="AO20" t="str">
        <f>TRIM(MID(SUBSTITUTE($F20, ",", REPT(" ", 100)), (COLUMNS($AH$2:AO20)-1)*100+1, 100))</f>
        <v/>
      </c>
      <c r="AP20" t="str">
        <f>TRIM(MID(SUBSTITUTE($F20, ",", REPT(" ", 100)), (COLUMNS($AH$2:AP20)-1)*100+1, 100))</f>
        <v/>
      </c>
      <c r="AQ20" t="str">
        <f>TRIM(MID(SUBSTITUTE($F20, ",", REPT(" ", 100)), (COLUMNS($AH$2:AQ20)-1)*100+1, 100))</f>
        <v/>
      </c>
      <c r="AR20" t="str">
        <f>TRIM(MID(SUBSTITUTE($F20, ",", REPT(" ", 100)), (COLUMNS($AH$2:AR20)-1)*100+1, 100))</f>
        <v/>
      </c>
      <c r="AS20" t="str">
        <f>TRIM(MID(SUBSTITUTE($F20, ",", REPT(" ", 100)), (COLUMNS($AH$2:AS20)-1)*100+1, 100))</f>
        <v/>
      </c>
      <c r="AT20" t="str">
        <f>TRIM(MID(SUBSTITUTE($F20, ",", REPT(" ", 100)), (COLUMNS($AH$2:AT20)-1)*100+1, 100))</f>
        <v/>
      </c>
      <c r="AU20" t="str">
        <f>TRIM(MID(SUBSTITUTE($F20, ",", REPT(" ", 100)), (COLUMNS($AH$2:AU20)-1)*100+1, 100))</f>
        <v/>
      </c>
      <c r="AV20" t="str">
        <f>TRIM(MID(SUBSTITUTE($F20, ",", REPT(" ", 100)), (COLUMNS($AH$2:AV20)-1)*100+1, 100))</f>
        <v/>
      </c>
      <c r="AW20" t="str">
        <f>TRIM(MID(SUBSTITUTE($F20, ",", REPT(" ", 100)), (COLUMNS($AH$2:AW20)-1)*100+1, 100))</f>
        <v/>
      </c>
      <c r="AX20" t="str">
        <f>TRIM(MID(SUBSTITUTE($F20, ",", REPT(" ", 100)), (COLUMNS($AH$2:AX20)-1)*100+1, 100))</f>
        <v/>
      </c>
      <c r="AY20" t="str">
        <f>TRIM(MID(SUBSTITUTE($F20, ",", REPT(" ", 100)), (COLUMNS($AH$2:AY20)-1)*100+1, 100))</f>
        <v/>
      </c>
      <c r="AZ20" t="str">
        <f>TRIM(MID(SUBSTITUTE($F20, ",", REPT(" ", 100)), (COLUMNS($AH$2:AZ20)-1)*100+1, 100))</f>
        <v/>
      </c>
      <c r="BA20" t="str">
        <f>TRIM(MID(SUBSTITUTE($F20, ",", REPT(" ", 100)), (COLUMNS($AH$2:BA20)-1)*100+1, 100))</f>
        <v/>
      </c>
    </row>
    <row r="21" spans="1:53" x14ac:dyDescent="0.5">
      <c r="A21" s="53">
        <v>45677</v>
      </c>
      <c r="B21" s="2">
        <v>5</v>
      </c>
      <c r="C21" s="267"/>
      <c r="D21" s="294"/>
      <c r="E21" s="58">
        <v>1</v>
      </c>
      <c r="F21" s="68" t="s">
        <v>176</v>
      </c>
      <c r="G21" s="74"/>
      <c r="AD21" s="31" t="s">
        <v>15</v>
      </c>
      <c r="AE21" s="31">
        <f>AVERAGE(E214:E244)*100</f>
        <v>83.225806451612911</v>
      </c>
      <c r="AG21" t="str">
        <f>TRIM(MID(SUBSTITUTE($F42, ",", REPT(" ", 100)), (COLUMNS($AH$2:AL42)-1)*100+1, 100))</f>
        <v/>
      </c>
      <c r="AH21" t="str">
        <f>TRIM(MID(SUBSTITUTE($F42, ",", REPT(" ", 100)), (COLUMNS($AH$2:AM42)-1)*100+1, 100))</f>
        <v/>
      </c>
      <c r="AJ21" t="str">
        <f>TRIM(MID(SUBSTITUTE($F42, ",", REPT(" ", 100)), (COLUMNS($AH$2:AO42)-1)*100+1, 100))</f>
        <v/>
      </c>
      <c r="AK21" s="53">
        <v>45677</v>
      </c>
      <c r="AL21" s="2">
        <v>5</v>
      </c>
      <c r="AM21" s="2">
        <v>6</v>
      </c>
      <c r="AN21">
        <f t="shared" si="0"/>
        <v>-1</v>
      </c>
      <c r="AO21" t="str">
        <f>TRIM(MID(SUBSTITUTE($F21, ",", REPT(" ", 100)), (COLUMNS($AH$2:AO21)-1)*100+1, 100))</f>
        <v/>
      </c>
      <c r="AP21" t="str">
        <f>TRIM(MID(SUBSTITUTE($F21, ",", REPT(" ", 100)), (COLUMNS($AH$2:AP21)-1)*100+1, 100))</f>
        <v/>
      </c>
      <c r="AQ21" t="str">
        <f>TRIM(MID(SUBSTITUTE($F21, ",", REPT(" ", 100)), (COLUMNS($AH$2:AQ21)-1)*100+1, 100))</f>
        <v/>
      </c>
      <c r="AR21" t="str">
        <f>TRIM(MID(SUBSTITUTE($F21, ",", REPT(" ", 100)), (COLUMNS($AH$2:AR21)-1)*100+1, 100))</f>
        <v/>
      </c>
      <c r="AS21" t="str">
        <f>TRIM(MID(SUBSTITUTE($F21, ",", REPT(" ", 100)), (COLUMNS($AH$2:AS21)-1)*100+1, 100))</f>
        <v/>
      </c>
      <c r="AT21" t="str">
        <f>TRIM(MID(SUBSTITUTE($F21, ",", REPT(" ", 100)), (COLUMNS($AH$2:AT21)-1)*100+1, 100))</f>
        <v/>
      </c>
      <c r="AU21" t="str">
        <f>TRIM(MID(SUBSTITUTE($F21, ",", REPT(" ", 100)), (COLUMNS($AH$2:AU21)-1)*100+1, 100))</f>
        <v/>
      </c>
      <c r="AV21" t="str">
        <f>TRIM(MID(SUBSTITUTE($F21, ",", REPT(" ", 100)), (COLUMNS($AH$2:AV21)-1)*100+1, 100))</f>
        <v/>
      </c>
      <c r="AW21" t="str">
        <f>TRIM(MID(SUBSTITUTE($F21, ",", REPT(" ", 100)), (COLUMNS($AH$2:AW21)-1)*100+1, 100))</f>
        <v/>
      </c>
      <c r="AX21" t="str">
        <f>TRIM(MID(SUBSTITUTE($F21, ",", REPT(" ", 100)), (COLUMNS($AH$2:AX21)-1)*100+1, 100))</f>
        <v/>
      </c>
      <c r="AY21" t="str">
        <f>TRIM(MID(SUBSTITUTE($F21, ",", REPT(" ", 100)), (COLUMNS($AH$2:AY21)-1)*100+1, 100))</f>
        <v/>
      </c>
      <c r="AZ21" t="str">
        <f>TRIM(MID(SUBSTITUTE($F21, ",", REPT(" ", 100)), (COLUMNS($AH$2:AZ21)-1)*100+1, 100))</f>
        <v/>
      </c>
      <c r="BA21" t="str">
        <f>TRIM(MID(SUBSTITUTE($F21, ",", REPT(" ", 100)), (COLUMNS($AH$2:BA21)-1)*100+1, 100))</f>
        <v/>
      </c>
    </row>
    <row r="22" spans="1:53" x14ac:dyDescent="0.5">
      <c r="A22" s="53">
        <v>45678</v>
      </c>
      <c r="B22" s="2">
        <v>4.3</v>
      </c>
      <c r="C22" s="267"/>
      <c r="D22" s="294"/>
      <c r="E22" s="58">
        <v>0</v>
      </c>
      <c r="F22" s="69" t="s">
        <v>176</v>
      </c>
      <c r="AD22" s="31" t="s">
        <v>16</v>
      </c>
      <c r="AE22" s="31">
        <f>AVERAGE(E245:E274)*100</f>
        <v>50</v>
      </c>
      <c r="AK22" s="53">
        <v>45678</v>
      </c>
      <c r="AL22" s="2">
        <v>4.3</v>
      </c>
      <c r="AM22" s="2">
        <v>6</v>
      </c>
      <c r="AN22">
        <f t="shared" si="0"/>
        <v>-1.7000000000000002</v>
      </c>
      <c r="AO22" t="str">
        <f>TRIM(MID(SUBSTITUTE($F22, ",", REPT(" ", 100)), (COLUMNS($AH$2:AO22)-1)*100+1, 100))</f>
        <v/>
      </c>
      <c r="AP22" t="str">
        <f>TRIM(MID(SUBSTITUTE($F22, ",", REPT(" ", 100)), (COLUMNS($AH$2:AP22)-1)*100+1, 100))</f>
        <v/>
      </c>
      <c r="AQ22" t="str">
        <f>TRIM(MID(SUBSTITUTE($F22, ",", REPT(" ", 100)), (COLUMNS($AH$2:AQ22)-1)*100+1, 100))</f>
        <v/>
      </c>
      <c r="AR22" t="str">
        <f>TRIM(MID(SUBSTITUTE($F22, ",", REPT(" ", 100)), (COLUMNS($AH$2:AR22)-1)*100+1, 100))</f>
        <v/>
      </c>
      <c r="AS22" t="str">
        <f>TRIM(MID(SUBSTITUTE($F22, ",", REPT(" ", 100)), (COLUMNS($AH$2:AS22)-1)*100+1, 100))</f>
        <v/>
      </c>
      <c r="AT22" t="str">
        <f>TRIM(MID(SUBSTITUTE($F22, ",", REPT(" ", 100)), (COLUMNS($AH$2:AT22)-1)*100+1, 100))</f>
        <v/>
      </c>
      <c r="AU22" t="str">
        <f>TRIM(MID(SUBSTITUTE($F22, ",", REPT(" ", 100)), (COLUMNS($AH$2:AU22)-1)*100+1, 100))</f>
        <v/>
      </c>
      <c r="AV22" t="str">
        <f>TRIM(MID(SUBSTITUTE($F22, ",", REPT(" ", 100)), (COLUMNS($AH$2:AV22)-1)*100+1, 100))</f>
        <v/>
      </c>
      <c r="AW22" t="str">
        <f>TRIM(MID(SUBSTITUTE($F22, ",", REPT(" ", 100)), (COLUMNS($AH$2:AW22)-1)*100+1, 100))</f>
        <v/>
      </c>
      <c r="AX22" t="str">
        <f>TRIM(MID(SUBSTITUTE($F22, ",", REPT(" ", 100)), (COLUMNS($AH$2:AX22)-1)*100+1, 100))</f>
        <v/>
      </c>
      <c r="AY22" t="str">
        <f>TRIM(MID(SUBSTITUTE($F22, ",", REPT(" ", 100)), (COLUMNS($AH$2:AY22)-1)*100+1, 100))</f>
        <v/>
      </c>
      <c r="AZ22" t="str">
        <f>TRIM(MID(SUBSTITUTE($F22, ",", REPT(" ", 100)), (COLUMNS($AH$2:AZ22)-1)*100+1, 100))</f>
        <v/>
      </c>
      <c r="BA22" t="str">
        <f>TRIM(MID(SUBSTITUTE($F22, ",", REPT(" ", 100)), (COLUMNS($AH$2:BA22)-1)*100+1, 100))</f>
        <v/>
      </c>
    </row>
    <row r="23" spans="1:53" x14ac:dyDescent="0.5">
      <c r="A23" s="53">
        <v>45679</v>
      </c>
      <c r="B23" s="2">
        <v>4.0999999999999996</v>
      </c>
      <c r="C23" s="267"/>
      <c r="D23" s="294"/>
      <c r="E23" s="58">
        <v>0</v>
      </c>
      <c r="F23" s="68" t="s">
        <v>176</v>
      </c>
      <c r="G23" s="74"/>
      <c r="AD23" s="31" t="s">
        <v>17</v>
      </c>
      <c r="AE23" s="31">
        <f>AVERAGE(E275:E305)*100</f>
        <v>74.193548387096769</v>
      </c>
      <c r="AK23" s="53">
        <v>45679</v>
      </c>
      <c r="AL23" s="2">
        <v>4.0999999999999996</v>
      </c>
      <c r="AM23" s="2">
        <v>4</v>
      </c>
      <c r="AN23">
        <f t="shared" si="0"/>
        <v>9.9999999999999645E-2</v>
      </c>
      <c r="AO23" t="str">
        <f>TRIM(MID(SUBSTITUTE($F23, ",", REPT(" ", 100)), (COLUMNS($AH$2:AO23)-1)*100+1, 100))</f>
        <v/>
      </c>
      <c r="AP23" t="str">
        <f>TRIM(MID(SUBSTITUTE($F23, ",", REPT(" ", 100)), (COLUMNS($AH$2:AP23)-1)*100+1, 100))</f>
        <v/>
      </c>
      <c r="AQ23" t="str">
        <f>TRIM(MID(SUBSTITUTE($F23, ",", REPT(" ", 100)), (COLUMNS($AH$2:AQ23)-1)*100+1, 100))</f>
        <v/>
      </c>
      <c r="AR23" t="str">
        <f>TRIM(MID(SUBSTITUTE($F23, ",", REPT(" ", 100)), (COLUMNS($AH$2:AR23)-1)*100+1, 100))</f>
        <v/>
      </c>
      <c r="AS23" t="str">
        <f>TRIM(MID(SUBSTITUTE($F23, ",", REPT(" ", 100)), (COLUMNS($AH$2:AS23)-1)*100+1, 100))</f>
        <v/>
      </c>
      <c r="AT23" t="str">
        <f>TRIM(MID(SUBSTITUTE($F23, ",", REPT(" ", 100)), (COLUMNS($AH$2:AT23)-1)*100+1, 100))</f>
        <v/>
      </c>
      <c r="AU23" t="str">
        <f>TRIM(MID(SUBSTITUTE($F23, ",", REPT(" ", 100)), (COLUMNS($AH$2:AU23)-1)*100+1, 100))</f>
        <v/>
      </c>
      <c r="AV23" t="str">
        <f>TRIM(MID(SUBSTITUTE($F23, ",", REPT(" ", 100)), (COLUMNS($AH$2:AV23)-1)*100+1, 100))</f>
        <v/>
      </c>
      <c r="AW23" t="str">
        <f>TRIM(MID(SUBSTITUTE($F23, ",", REPT(" ", 100)), (COLUMNS($AH$2:AW23)-1)*100+1, 100))</f>
        <v/>
      </c>
      <c r="AX23" t="str">
        <f>TRIM(MID(SUBSTITUTE($F23, ",", REPT(" ", 100)), (COLUMNS($AH$2:AX23)-1)*100+1, 100))</f>
        <v/>
      </c>
      <c r="AY23" t="str">
        <f>TRIM(MID(SUBSTITUTE($F23, ",", REPT(" ", 100)), (COLUMNS($AH$2:AY23)-1)*100+1, 100))</f>
        <v/>
      </c>
      <c r="AZ23" t="str">
        <f>TRIM(MID(SUBSTITUTE($F23, ",", REPT(" ", 100)), (COLUMNS($AH$2:AZ23)-1)*100+1, 100))</f>
        <v/>
      </c>
      <c r="BA23" t="str">
        <f>TRIM(MID(SUBSTITUTE($F23, ",", REPT(" ", 100)), (COLUMNS($AH$2:BA23)-1)*100+1, 100))</f>
        <v/>
      </c>
    </row>
    <row r="24" spans="1:53" x14ac:dyDescent="0.5">
      <c r="A24" s="53">
        <v>45680</v>
      </c>
      <c r="B24" s="2">
        <v>1.2</v>
      </c>
      <c r="C24" s="267"/>
      <c r="D24" s="294"/>
      <c r="E24" s="58">
        <v>1</v>
      </c>
      <c r="F24" s="69" t="s">
        <v>176</v>
      </c>
      <c r="AD24" s="31" t="s">
        <v>18</v>
      </c>
      <c r="AE24" s="31">
        <f>AVERAGE(E306:E335)*100</f>
        <v>66.666666666666657</v>
      </c>
      <c r="AG24" s="86">
        <f>AVERAGE(E2:E366)*100</f>
        <v>62.465753424657542</v>
      </c>
      <c r="AK24" s="53">
        <v>45680</v>
      </c>
      <c r="AL24" s="2">
        <v>1.2</v>
      </c>
      <c r="AM24" s="2">
        <v>4</v>
      </c>
      <c r="AN24">
        <f t="shared" si="0"/>
        <v>-2.8</v>
      </c>
      <c r="AO24" t="str">
        <f>TRIM(MID(SUBSTITUTE($F24, ",", REPT(" ", 100)), (COLUMNS($AH$2:AO24)-1)*100+1, 100))</f>
        <v/>
      </c>
      <c r="AP24" t="str">
        <f>TRIM(MID(SUBSTITUTE($F24, ",", REPT(" ", 100)), (COLUMNS($AH$2:AP24)-1)*100+1, 100))</f>
        <v/>
      </c>
      <c r="AR24" t="str">
        <f>TRIM(MID(SUBSTITUTE($F24, ",", REPT(" ", 100)), (COLUMNS($AH$2:AR24)-1)*100+1, 100))</f>
        <v/>
      </c>
      <c r="AS24" t="str">
        <f>TRIM(MID(SUBSTITUTE($F24, ",", REPT(" ", 100)), (COLUMNS($AH$2:AS24)-1)*100+1, 100))</f>
        <v/>
      </c>
      <c r="AT24" t="str">
        <f>TRIM(MID(SUBSTITUTE($F24, ",", REPT(" ", 100)), (COLUMNS($AH$2:AT24)-1)*100+1, 100))</f>
        <v/>
      </c>
      <c r="AU24" t="str">
        <f>TRIM(MID(SUBSTITUTE($F24, ",", REPT(" ", 100)), (COLUMNS($AH$2:AU24)-1)*100+1, 100))</f>
        <v/>
      </c>
      <c r="AV24" t="str">
        <f>TRIM(MID(SUBSTITUTE($F24, ",", REPT(" ", 100)), (COLUMNS($AH$2:AV24)-1)*100+1, 100))</f>
        <v/>
      </c>
      <c r="AW24" t="str">
        <f>TRIM(MID(SUBSTITUTE($F24, ",", REPT(" ", 100)), (COLUMNS($AH$2:AW24)-1)*100+1, 100))</f>
        <v/>
      </c>
      <c r="AX24" t="str">
        <f>TRIM(MID(SUBSTITUTE($F24, ",", REPT(" ", 100)), (COLUMNS($AH$2:AX24)-1)*100+1, 100))</f>
        <v/>
      </c>
      <c r="AY24" t="str">
        <f>TRIM(MID(SUBSTITUTE($F24, ",", REPT(" ", 100)), (COLUMNS($AH$2:AY24)-1)*100+1, 100))</f>
        <v/>
      </c>
      <c r="AZ24" t="str">
        <f>TRIM(MID(SUBSTITUTE($F24, ",", REPT(" ", 100)), (COLUMNS($AH$2:AZ24)-1)*100+1, 100))</f>
        <v/>
      </c>
      <c r="BA24" t="str">
        <f>TRIM(MID(SUBSTITUTE($F24, ",", REPT(" ", 100)), (COLUMNS($AH$2:BA24)-1)*100+1, 100))</f>
        <v/>
      </c>
    </row>
    <row r="25" spans="1:53" x14ac:dyDescent="0.5">
      <c r="A25" s="53">
        <v>45681</v>
      </c>
      <c r="B25" s="2">
        <v>6.2</v>
      </c>
      <c r="C25" s="267"/>
      <c r="D25" s="294"/>
      <c r="E25" s="58">
        <v>1</v>
      </c>
      <c r="F25" s="68" t="s">
        <v>176</v>
      </c>
      <c r="G25" s="74"/>
      <c r="AD25" s="31" t="s">
        <v>19</v>
      </c>
      <c r="AE25" s="31">
        <f>AVERAGE(E336:E366)*100</f>
        <v>48.387096774193552</v>
      </c>
      <c r="AK25" s="53">
        <v>45681</v>
      </c>
      <c r="AL25" s="2">
        <v>6.2</v>
      </c>
      <c r="AM25" s="2">
        <v>2</v>
      </c>
      <c r="AN25">
        <f t="shared" si="0"/>
        <v>4.2</v>
      </c>
      <c r="AO25" t="str">
        <f>TRIM(MID(SUBSTITUTE($F25, ",", REPT(" ", 100)), (COLUMNS($AH$2:AO25)-1)*100+1, 100))</f>
        <v/>
      </c>
      <c r="AP25" t="str">
        <f>TRIM(MID(SUBSTITUTE($F25, ",", REPT(" ", 100)), (COLUMNS($AH$2:AP25)-1)*100+1, 100))</f>
        <v/>
      </c>
      <c r="AQ25" t="str">
        <f>TRIM(MID(SUBSTITUTE($F25, ",", REPT(" ", 100)), (COLUMNS($AH$2:AQ25)-1)*100+1, 100))</f>
        <v/>
      </c>
      <c r="AR25" t="str">
        <f>TRIM(MID(SUBSTITUTE($F25, ",", REPT(" ", 100)), (COLUMNS($AH$2:AR25)-1)*100+1, 100))</f>
        <v/>
      </c>
      <c r="AS25" t="str">
        <f>TRIM(MID(SUBSTITUTE($F25, ",", REPT(" ", 100)), (COLUMNS($AH$2:AS25)-1)*100+1, 100))</f>
        <v/>
      </c>
      <c r="AT25" t="str">
        <f>TRIM(MID(SUBSTITUTE($F25, ",", REPT(" ", 100)), (COLUMNS($AH$2:AT25)-1)*100+1, 100))</f>
        <v/>
      </c>
      <c r="AU25" t="str">
        <f>TRIM(MID(SUBSTITUTE($F25, ",", REPT(" ", 100)), (COLUMNS($AH$2:AU25)-1)*100+1, 100))</f>
        <v/>
      </c>
      <c r="AV25" t="str">
        <f>TRIM(MID(SUBSTITUTE($F25, ",", REPT(" ", 100)), (COLUMNS($AH$2:AV25)-1)*100+1, 100))</f>
        <v/>
      </c>
      <c r="AW25" t="str">
        <f>TRIM(MID(SUBSTITUTE($F25, ",", REPT(" ", 100)), (COLUMNS($AH$2:AW25)-1)*100+1, 100))</f>
        <v/>
      </c>
      <c r="AX25" t="str">
        <f>TRIM(MID(SUBSTITUTE($F25, ",", REPT(" ", 100)), (COLUMNS($AH$2:AX25)-1)*100+1, 100))</f>
        <v/>
      </c>
      <c r="AY25" t="str">
        <f>TRIM(MID(SUBSTITUTE($F25, ",", REPT(" ", 100)), (COLUMNS($AH$2:AY25)-1)*100+1, 100))</f>
        <v/>
      </c>
      <c r="AZ25" t="str">
        <f>TRIM(MID(SUBSTITUTE($F25, ",", REPT(" ", 100)), (COLUMNS($AH$2:AZ25)-1)*100+1, 100))</f>
        <v/>
      </c>
      <c r="BA25" t="str">
        <f>TRIM(MID(SUBSTITUTE($F25, ",", REPT(" ", 100)), (COLUMNS($AH$2:BA25)-1)*100+1, 100))</f>
        <v/>
      </c>
    </row>
    <row r="26" spans="1:53" x14ac:dyDescent="0.5">
      <c r="A26" s="53">
        <v>45682</v>
      </c>
      <c r="B26" s="2">
        <v>8.1</v>
      </c>
      <c r="C26" s="267"/>
      <c r="D26" s="294"/>
      <c r="E26" s="58">
        <v>0</v>
      </c>
      <c r="F26" s="69" t="s">
        <v>176</v>
      </c>
      <c r="AK26" s="53">
        <v>45682</v>
      </c>
      <c r="AL26" s="2">
        <v>8.1</v>
      </c>
      <c r="AM26" s="2">
        <v>6</v>
      </c>
      <c r="AN26">
        <f t="shared" si="0"/>
        <v>2.0999999999999996</v>
      </c>
      <c r="AO26" t="str">
        <f>TRIM(MID(SUBSTITUTE($F26, ",", REPT(" ", 100)), (COLUMNS($AH$2:AO26)-1)*100+1, 100))</f>
        <v/>
      </c>
      <c r="AP26" t="str">
        <f>TRIM(MID(SUBSTITUTE($F26, ",", REPT(" ", 100)), (COLUMNS($AH$2:AP26)-1)*100+1, 100))</f>
        <v/>
      </c>
      <c r="AQ26" t="str">
        <f>TRIM(MID(SUBSTITUTE($F26, ",", REPT(" ", 100)), (COLUMNS($AH$2:AQ26)-1)*100+1, 100))</f>
        <v/>
      </c>
      <c r="AR26" t="str">
        <f>TRIM(MID(SUBSTITUTE($F26, ",", REPT(" ", 100)), (COLUMNS($AH$2:AR26)-1)*100+1, 100))</f>
        <v/>
      </c>
      <c r="AS26" t="str">
        <f>TRIM(MID(SUBSTITUTE($F26, ",", REPT(" ", 100)), (COLUMNS($AH$2:AS26)-1)*100+1, 100))</f>
        <v/>
      </c>
      <c r="AT26" t="str">
        <f>TRIM(MID(SUBSTITUTE($F26, ",", REPT(" ", 100)), (COLUMNS($AH$2:AT26)-1)*100+1, 100))</f>
        <v/>
      </c>
      <c r="AU26" t="str">
        <f>TRIM(MID(SUBSTITUTE($F26, ",", REPT(" ", 100)), (COLUMNS($AH$2:AU26)-1)*100+1, 100))</f>
        <v/>
      </c>
      <c r="AV26" t="str">
        <f>TRIM(MID(SUBSTITUTE($F26, ",", REPT(" ", 100)), (COLUMNS($AH$2:AV26)-1)*100+1, 100))</f>
        <v/>
      </c>
      <c r="AW26" t="str">
        <f>TRIM(MID(SUBSTITUTE($F26, ",", REPT(" ", 100)), (COLUMNS($AH$2:AW26)-1)*100+1, 100))</f>
        <v/>
      </c>
      <c r="AX26" t="str">
        <f>TRIM(MID(SUBSTITUTE($F26, ",", REPT(" ", 100)), (COLUMNS($AH$2:AX26)-1)*100+1, 100))</f>
        <v/>
      </c>
      <c r="AY26" t="str">
        <f>TRIM(MID(SUBSTITUTE($F26, ",", REPT(" ", 100)), (COLUMNS($AH$2:AY26)-1)*100+1, 100))</f>
        <v/>
      </c>
      <c r="AZ26" t="str">
        <f>TRIM(MID(SUBSTITUTE($F26, ",", REPT(" ", 100)), (COLUMNS($AH$2:AZ26)-1)*100+1, 100))</f>
        <v/>
      </c>
      <c r="BA26" t="str">
        <f>TRIM(MID(SUBSTITUTE($F26, ",", REPT(" ", 100)), (COLUMNS($AH$2:BA26)-1)*100+1, 100))</f>
        <v/>
      </c>
    </row>
    <row r="27" spans="1:53" x14ac:dyDescent="0.5">
      <c r="A27" s="53">
        <v>45683</v>
      </c>
      <c r="B27" s="2">
        <v>6.8</v>
      </c>
      <c r="C27" s="267"/>
      <c r="D27" s="294"/>
      <c r="E27" s="58">
        <v>0</v>
      </c>
      <c r="F27" s="68" t="s">
        <v>176</v>
      </c>
      <c r="G27" s="74"/>
      <c r="AK27" s="53">
        <v>45683</v>
      </c>
      <c r="AL27" s="2">
        <v>6.8</v>
      </c>
      <c r="AM27" s="2">
        <v>10</v>
      </c>
      <c r="AN27">
        <f t="shared" si="0"/>
        <v>-3.2</v>
      </c>
      <c r="AO27" t="str">
        <f>TRIM(MID(SUBSTITUTE($F27, ",", REPT(" ", 100)), (COLUMNS($AH$2:AO27)-1)*100+1, 100))</f>
        <v/>
      </c>
      <c r="AP27" t="str">
        <f>TRIM(MID(SUBSTITUTE($F27, ",", REPT(" ", 100)), (COLUMNS($AH$2:AP27)-1)*100+1, 100))</f>
        <v/>
      </c>
      <c r="AQ27" t="str">
        <f>TRIM(MID(SUBSTITUTE($F27, ",", REPT(" ", 100)), (COLUMNS($AH$2:AQ27)-1)*100+1, 100))</f>
        <v/>
      </c>
      <c r="AR27" t="str">
        <f>TRIM(MID(SUBSTITUTE($F27, ",", REPT(" ", 100)), (COLUMNS($AH$2:AR27)-1)*100+1, 100))</f>
        <v/>
      </c>
      <c r="AS27" t="str">
        <f>TRIM(MID(SUBSTITUTE($F27, ",", REPT(" ", 100)), (COLUMNS($AH$2:AS27)-1)*100+1, 100))</f>
        <v/>
      </c>
      <c r="AT27" t="str">
        <f>TRIM(MID(SUBSTITUTE($F27, ",", REPT(" ", 100)), (COLUMNS($AH$2:AT27)-1)*100+1, 100))</f>
        <v/>
      </c>
      <c r="AU27" t="str">
        <f>TRIM(MID(SUBSTITUTE($F27, ",", REPT(" ", 100)), (COLUMNS($AH$2:AU27)-1)*100+1, 100))</f>
        <v/>
      </c>
      <c r="AV27" t="str">
        <f>TRIM(MID(SUBSTITUTE($F27, ",", REPT(" ", 100)), (COLUMNS($AH$2:AV27)-1)*100+1, 100))</f>
        <v/>
      </c>
      <c r="AW27" t="str">
        <f>TRIM(MID(SUBSTITUTE($F27, ",", REPT(" ", 100)), (COLUMNS($AH$2:AW27)-1)*100+1, 100))</f>
        <v/>
      </c>
      <c r="AX27" t="str">
        <f>TRIM(MID(SUBSTITUTE($F27, ",", REPT(" ", 100)), (COLUMNS($AH$2:AX27)-1)*100+1, 100))</f>
        <v/>
      </c>
      <c r="AY27" t="str">
        <f>TRIM(MID(SUBSTITUTE($F27, ",", REPT(" ", 100)), (COLUMNS($AH$2:AY27)-1)*100+1, 100))</f>
        <v/>
      </c>
      <c r="AZ27" t="str">
        <f>TRIM(MID(SUBSTITUTE($F27, ",", REPT(" ", 100)), (COLUMNS($AH$2:AZ27)-1)*100+1, 100))</f>
        <v/>
      </c>
      <c r="BA27" t="str">
        <f>TRIM(MID(SUBSTITUTE($F27, ",", REPT(" ", 100)), (COLUMNS($AH$2:BA27)-1)*100+1, 100))</f>
        <v/>
      </c>
    </row>
    <row r="28" spans="1:53" x14ac:dyDescent="0.5">
      <c r="A28" s="53">
        <v>45684</v>
      </c>
      <c r="B28" s="2">
        <v>5</v>
      </c>
      <c r="C28" s="267"/>
      <c r="D28" s="294"/>
      <c r="E28" s="58">
        <v>1</v>
      </c>
      <c r="F28" s="69" t="s">
        <v>176</v>
      </c>
      <c r="AK28" s="53">
        <v>45684</v>
      </c>
      <c r="AL28" s="2">
        <v>5</v>
      </c>
      <c r="AM28" s="2">
        <v>10</v>
      </c>
      <c r="AN28">
        <f t="shared" si="0"/>
        <v>-5</v>
      </c>
      <c r="AO28" t="str">
        <f>TRIM(MID(SUBSTITUTE($F28, ",", REPT(" ", 100)), (COLUMNS($AH$2:AO28)-1)*100+1, 100))</f>
        <v/>
      </c>
      <c r="AP28" t="str">
        <f>TRIM(MID(SUBSTITUTE($F28, ",", REPT(" ", 100)), (COLUMNS($AH$2:AP28)-1)*100+1, 100))</f>
        <v/>
      </c>
      <c r="AQ28" t="str">
        <f>TRIM(MID(SUBSTITUTE($F28, ",", REPT(" ", 100)), (COLUMNS($AH$2:AQ28)-1)*100+1, 100))</f>
        <v/>
      </c>
      <c r="AR28" t="str">
        <f>TRIM(MID(SUBSTITUTE($F28, ",", REPT(" ", 100)), (COLUMNS($AH$2:AR28)-1)*100+1, 100))</f>
        <v/>
      </c>
      <c r="AS28" t="str">
        <f>TRIM(MID(SUBSTITUTE($F28, ",", REPT(" ", 100)), (COLUMNS($AH$2:AS28)-1)*100+1, 100))</f>
        <v/>
      </c>
      <c r="AT28" t="str">
        <f>TRIM(MID(SUBSTITUTE($F28, ",", REPT(" ", 100)), (COLUMNS($AH$2:AT28)-1)*100+1, 100))</f>
        <v/>
      </c>
      <c r="AU28" t="str">
        <f>TRIM(MID(SUBSTITUTE($F28, ",", REPT(" ", 100)), (COLUMNS($AH$2:AU28)-1)*100+1, 100))</f>
        <v/>
      </c>
      <c r="AV28" t="str">
        <f>TRIM(MID(SUBSTITUTE($F28, ",", REPT(" ", 100)), (COLUMNS($AH$2:AV28)-1)*100+1, 100))</f>
        <v/>
      </c>
      <c r="AW28" t="str">
        <f>TRIM(MID(SUBSTITUTE($F28, ",", REPT(" ", 100)), (COLUMNS($AH$2:AW28)-1)*100+1, 100))</f>
        <v/>
      </c>
      <c r="AX28" t="str">
        <f>TRIM(MID(SUBSTITUTE($F28, ",", REPT(" ", 100)), (COLUMNS($AH$2:AX28)-1)*100+1, 100))</f>
        <v/>
      </c>
      <c r="AY28" t="str">
        <f>TRIM(MID(SUBSTITUTE($F28, ",", REPT(" ", 100)), (COLUMNS($AH$2:AY28)-1)*100+1, 100))</f>
        <v/>
      </c>
      <c r="AZ28" t="str">
        <f>TRIM(MID(SUBSTITUTE($F28, ",", REPT(" ", 100)), (COLUMNS($AH$2:AZ28)-1)*100+1, 100))</f>
        <v/>
      </c>
      <c r="BA28" t="str">
        <f>TRIM(MID(SUBSTITUTE($F28, ",", REPT(" ", 100)), (COLUMNS($AH$2:BA28)-1)*100+1, 100))</f>
        <v/>
      </c>
    </row>
    <row r="29" spans="1:53" x14ac:dyDescent="0.5">
      <c r="A29" s="53">
        <v>45685</v>
      </c>
      <c r="B29" s="2">
        <v>5.8</v>
      </c>
      <c r="C29" s="267"/>
      <c r="D29" s="294"/>
      <c r="E29" s="58">
        <v>1</v>
      </c>
      <c r="F29" s="68" t="s">
        <v>176</v>
      </c>
      <c r="G29" s="74"/>
      <c r="AK29" s="53">
        <v>45685</v>
      </c>
      <c r="AL29" s="2">
        <v>5.8</v>
      </c>
      <c r="AM29" s="2">
        <v>10</v>
      </c>
      <c r="AN29">
        <f t="shared" si="0"/>
        <v>-4.2</v>
      </c>
      <c r="AO29" t="str">
        <f>TRIM(MID(SUBSTITUTE($F29, ",", REPT(" ", 100)), (COLUMNS($AH$2:AO29)-1)*100+1, 100))</f>
        <v/>
      </c>
      <c r="AP29" t="str">
        <f>TRIM(MID(SUBSTITUTE($F29, ",", REPT(" ", 100)), (COLUMNS($AH$2:AP29)-1)*100+1, 100))</f>
        <v/>
      </c>
      <c r="AQ29" t="str">
        <f>TRIM(MID(SUBSTITUTE($F29, ",", REPT(" ", 100)), (COLUMNS($AH$2:AQ29)-1)*100+1, 100))</f>
        <v/>
      </c>
      <c r="AR29" t="str">
        <f>TRIM(MID(SUBSTITUTE($F29, ",", REPT(" ", 100)), (COLUMNS($AH$2:AR29)-1)*100+1, 100))</f>
        <v/>
      </c>
      <c r="AS29" t="str">
        <f>TRIM(MID(SUBSTITUTE($F29, ",", REPT(" ", 100)), (COLUMNS($AH$2:AS29)-1)*100+1, 100))</f>
        <v/>
      </c>
      <c r="AT29" t="str">
        <f>TRIM(MID(SUBSTITUTE($F29, ",", REPT(" ", 100)), (COLUMNS($AH$2:AT29)-1)*100+1, 100))</f>
        <v/>
      </c>
      <c r="AU29" t="str">
        <f>TRIM(MID(SUBSTITUTE($F29, ",", REPT(" ", 100)), (COLUMNS($AH$2:AU29)-1)*100+1, 100))</f>
        <v/>
      </c>
      <c r="AV29" t="str">
        <f>TRIM(MID(SUBSTITUTE($F29, ",", REPT(" ", 100)), (COLUMNS($AH$2:AV29)-1)*100+1, 100))</f>
        <v/>
      </c>
      <c r="AW29" t="str">
        <f>TRIM(MID(SUBSTITUTE($F29, ",", REPT(" ", 100)), (COLUMNS($AH$2:AW29)-1)*100+1, 100))</f>
        <v/>
      </c>
      <c r="AX29" t="str">
        <f>TRIM(MID(SUBSTITUTE($F29, ",", REPT(" ", 100)), (COLUMNS($AH$2:AX29)-1)*100+1, 100))</f>
        <v/>
      </c>
      <c r="AY29" t="str">
        <f>TRIM(MID(SUBSTITUTE($F29, ",", REPT(" ", 100)), (COLUMNS($AH$2:AY29)-1)*100+1, 100))</f>
        <v/>
      </c>
      <c r="AZ29" t="str">
        <f>TRIM(MID(SUBSTITUTE($F29, ",", REPT(" ", 100)), (COLUMNS($AH$2:AZ29)-1)*100+1, 100))</f>
        <v/>
      </c>
      <c r="BA29" t="str">
        <f>TRIM(MID(SUBSTITUTE($F29, ",", REPT(" ", 100)), (COLUMNS($AH$2:BA29)-1)*100+1, 100))</f>
        <v/>
      </c>
    </row>
    <row r="30" spans="1:53" x14ac:dyDescent="0.5">
      <c r="A30" s="53">
        <v>45686</v>
      </c>
      <c r="B30" s="2">
        <v>5.3</v>
      </c>
      <c r="C30" s="267"/>
      <c r="D30" s="294"/>
      <c r="E30" s="58">
        <v>0</v>
      </c>
      <c r="F30" s="69" t="s">
        <v>176</v>
      </c>
      <c r="AK30" s="53">
        <v>45686</v>
      </c>
      <c r="AL30" s="2">
        <v>5.3</v>
      </c>
      <c r="AM30" s="2">
        <v>4</v>
      </c>
      <c r="AN30">
        <f t="shared" si="0"/>
        <v>1.2999999999999998</v>
      </c>
      <c r="AO30" t="str">
        <f>TRIM(MID(SUBSTITUTE($F30, ",", REPT(" ", 100)), (COLUMNS($AH$2:AO30)-1)*100+1, 100))</f>
        <v/>
      </c>
      <c r="AP30" t="str">
        <f>TRIM(MID(SUBSTITUTE($F30, ",", REPT(" ", 100)), (COLUMNS($AH$2:AP30)-1)*100+1, 100))</f>
        <v/>
      </c>
      <c r="AQ30" t="str">
        <f>TRIM(MID(SUBSTITUTE($F30, ",", REPT(" ", 100)), (COLUMNS($AH$2:AQ30)-1)*100+1, 100))</f>
        <v/>
      </c>
      <c r="AR30" t="str">
        <f>TRIM(MID(SUBSTITUTE($F30, ",", REPT(" ", 100)), (COLUMNS($AH$2:AR30)-1)*100+1, 100))</f>
        <v/>
      </c>
      <c r="AS30" t="str">
        <f>TRIM(MID(SUBSTITUTE($F30, ",", REPT(" ", 100)), (COLUMNS($AH$2:AS30)-1)*100+1, 100))</f>
        <v/>
      </c>
      <c r="AT30" t="str">
        <f>TRIM(MID(SUBSTITUTE($F30, ",", REPT(" ", 100)), (COLUMNS($AH$2:AT30)-1)*100+1, 100))</f>
        <v/>
      </c>
      <c r="AU30" t="str">
        <f>TRIM(MID(SUBSTITUTE($F30, ",", REPT(" ", 100)), (COLUMNS($AH$2:AU30)-1)*100+1, 100))</f>
        <v/>
      </c>
      <c r="AV30" t="str">
        <f>TRIM(MID(SUBSTITUTE($F30, ",", REPT(" ", 100)), (COLUMNS($AH$2:AV30)-1)*100+1, 100))</f>
        <v/>
      </c>
      <c r="AW30" t="str">
        <f>TRIM(MID(SUBSTITUTE($F30, ",", REPT(" ", 100)), (COLUMNS($AH$2:AW30)-1)*100+1, 100))</f>
        <v/>
      </c>
      <c r="AX30" t="str">
        <f>TRIM(MID(SUBSTITUTE($F30, ",", REPT(" ", 100)), (COLUMNS($AH$2:AX30)-1)*100+1, 100))</f>
        <v/>
      </c>
      <c r="AY30" t="str">
        <f>TRIM(MID(SUBSTITUTE($F30, ",", REPT(" ", 100)), (COLUMNS($AH$2:AY30)-1)*100+1, 100))</f>
        <v/>
      </c>
      <c r="AZ30" t="str">
        <f>TRIM(MID(SUBSTITUTE($F30, ",", REPT(" ", 100)), (COLUMNS($AH$2:AZ30)-1)*100+1, 100))</f>
        <v/>
      </c>
      <c r="BA30" t="str">
        <f>TRIM(MID(SUBSTITUTE($F30, ",", REPT(" ", 100)), (COLUMNS($AH$2:BA30)-1)*100+1, 100))</f>
        <v/>
      </c>
    </row>
    <row r="31" spans="1:53" x14ac:dyDescent="0.5">
      <c r="A31" s="53">
        <v>45687</v>
      </c>
      <c r="B31" s="2">
        <v>7.4</v>
      </c>
      <c r="C31" s="267"/>
      <c r="D31" s="294"/>
      <c r="E31" s="58">
        <v>1</v>
      </c>
      <c r="F31" s="68" t="s">
        <v>176</v>
      </c>
      <c r="G31" s="74"/>
      <c r="AK31" s="53">
        <v>45687</v>
      </c>
      <c r="AL31" s="2">
        <v>7.4</v>
      </c>
      <c r="AM31" s="2">
        <v>4</v>
      </c>
      <c r="AN31">
        <f t="shared" si="0"/>
        <v>3.4000000000000004</v>
      </c>
      <c r="AO31" t="str">
        <f>TRIM(MID(SUBSTITUTE($F31, ",", REPT(" ", 100)), (COLUMNS($AH$2:AO31)-1)*100+1, 100))</f>
        <v/>
      </c>
      <c r="AP31" t="str">
        <f>TRIM(MID(SUBSTITUTE($F31, ",", REPT(" ", 100)), (COLUMNS($AH$2:AP31)-1)*100+1, 100))</f>
        <v/>
      </c>
      <c r="AQ31" t="str">
        <f>TRIM(MID(SUBSTITUTE($F31, ",", REPT(" ", 100)), (COLUMNS($AH$2:AQ31)-1)*100+1, 100))</f>
        <v/>
      </c>
      <c r="AR31" t="str">
        <f>TRIM(MID(SUBSTITUTE($F31, ",", REPT(" ", 100)), (COLUMNS($AH$2:AR31)-1)*100+1, 100))</f>
        <v/>
      </c>
      <c r="AS31" t="str">
        <f>TRIM(MID(SUBSTITUTE($F31, ",", REPT(" ", 100)), (COLUMNS($AH$2:AS31)-1)*100+1, 100))</f>
        <v/>
      </c>
      <c r="AT31" t="str">
        <f>TRIM(MID(SUBSTITUTE($F31, ",", REPT(" ", 100)), (COLUMNS($AH$2:AT31)-1)*100+1, 100))</f>
        <v/>
      </c>
      <c r="AU31" t="str">
        <f>TRIM(MID(SUBSTITUTE($F31, ",", REPT(" ", 100)), (COLUMNS($AH$2:AU31)-1)*100+1, 100))</f>
        <v/>
      </c>
      <c r="AV31" t="str">
        <f>TRIM(MID(SUBSTITUTE($F31, ",", REPT(" ", 100)), (COLUMNS($AH$2:AV31)-1)*100+1, 100))</f>
        <v/>
      </c>
      <c r="AW31" t="str">
        <f>TRIM(MID(SUBSTITUTE($F31, ",", REPT(" ", 100)), (COLUMNS($AH$2:AW31)-1)*100+1, 100))</f>
        <v/>
      </c>
      <c r="AX31" t="str">
        <f>TRIM(MID(SUBSTITUTE($F31, ",", REPT(" ", 100)), (COLUMNS($AH$2:AX31)-1)*100+1, 100))</f>
        <v/>
      </c>
      <c r="AY31" t="str">
        <f>TRIM(MID(SUBSTITUTE($F31, ",", REPT(" ", 100)), (COLUMNS($AH$2:AY31)-1)*100+1, 100))</f>
        <v/>
      </c>
      <c r="AZ31" t="str">
        <f>TRIM(MID(SUBSTITUTE($F31, ",", REPT(" ", 100)), (COLUMNS($AH$2:AZ31)-1)*100+1, 100))</f>
        <v/>
      </c>
      <c r="BA31" t="str">
        <f>TRIM(MID(SUBSTITUTE($F31, ",", REPT(" ", 100)), (COLUMNS($AH$2:BA31)-1)*100+1, 100))</f>
        <v/>
      </c>
    </row>
    <row r="32" spans="1:53" ht="14.7" thickBot="1" x14ac:dyDescent="0.55000000000000004">
      <c r="A32" s="54">
        <v>45688</v>
      </c>
      <c r="B32" s="55">
        <v>8.5</v>
      </c>
      <c r="C32" s="268"/>
      <c r="D32" s="294"/>
      <c r="E32" s="58">
        <v>1</v>
      </c>
      <c r="F32" s="69" t="s">
        <v>176</v>
      </c>
      <c r="G32" s="38" t="s">
        <v>198</v>
      </c>
      <c r="AJ32" t="str">
        <f>TRIM(MID(SUBSTITUTE($F32, ",", REPT(" ", 100)), (COLUMNS($AH$2:AJ32)-1)*100+1, 100))</f>
        <v/>
      </c>
      <c r="AK32" s="54">
        <v>45688</v>
      </c>
      <c r="AL32" s="55">
        <v>8.5</v>
      </c>
      <c r="AM32" s="2">
        <v>4</v>
      </c>
      <c r="AN32">
        <f t="shared" si="0"/>
        <v>4.5</v>
      </c>
      <c r="AO32" t="str">
        <f>TRIM(MID(SUBSTITUTE($F32, ",", REPT(" ", 100)), (COLUMNS($AH$2:AO32)-1)*100+1, 100))</f>
        <v/>
      </c>
      <c r="AP32" t="str">
        <f>TRIM(MID(SUBSTITUTE($F32, ",", REPT(" ", 100)), (COLUMNS($AH$2:AP32)-1)*100+1, 100))</f>
        <v/>
      </c>
      <c r="AQ32" t="str">
        <f>TRIM(MID(SUBSTITUTE($F32, ",", REPT(" ", 100)), (COLUMNS($AH$2:AQ32)-1)*100+1, 100))</f>
        <v/>
      </c>
      <c r="AR32" t="str">
        <f>TRIM(MID(SUBSTITUTE($F32, ",", REPT(" ", 100)), (COLUMNS($AH$2:AR32)-1)*100+1, 100))</f>
        <v/>
      </c>
      <c r="AS32" t="str">
        <f>TRIM(MID(SUBSTITUTE($F32, ",", REPT(" ", 100)), (COLUMNS($AH$2:AS32)-1)*100+1, 100))</f>
        <v/>
      </c>
      <c r="AT32" t="str">
        <f>TRIM(MID(SUBSTITUTE($F32, ",", REPT(" ", 100)), (COLUMNS($AH$2:AT32)-1)*100+1, 100))</f>
        <v/>
      </c>
      <c r="AU32" t="str">
        <f>TRIM(MID(SUBSTITUTE($F32, ",", REPT(" ", 100)), (COLUMNS($AH$2:AU32)-1)*100+1, 100))</f>
        <v/>
      </c>
      <c r="AV32" t="str">
        <f>TRIM(MID(SUBSTITUTE($F32, ",", REPT(" ", 100)), (COLUMNS($AH$2:AV32)-1)*100+1, 100))</f>
        <v/>
      </c>
      <c r="AW32" t="str">
        <f>TRIM(MID(SUBSTITUTE($F32, ",", REPT(" ", 100)), (COLUMNS($AH$2:AW32)-1)*100+1, 100))</f>
        <v/>
      </c>
      <c r="AX32" t="str">
        <f>TRIM(MID(SUBSTITUTE($F32, ",", REPT(" ", 100)), (COLUMNS($AH$2:AX32)-1)*100+1, 100))</f>
        <v/>
      </c>
      <c r="AY32" t="str">
        <f>TRIM(MID(SUBSTITUTE($F32, ",", REPT(" ", 100)), (COLUMNS($AH$2:AY32)-1)*100+1, 100))</f>
        <v/>
      </c>
      <c r="AZ32" t="str">
        <f>TRIM(MID(SUBSTITUTE($F32, ",", REPT(" ", 100)), (COLUMNS($AH$2:AZ32)-1)*100+1, 100))</f>
        <v/>
      </c>
      <c r="BA32" t="str">
        <f>TRIM(MID(SUBSTITUTE($F32, ",", REPT(" ", 100)), (COLUMNS($AH$2:BA32)-1)*100+1, 100))</f>
        <v/>
      </c>
    </row>
    <row r="33" spans="1:53" x14ac:dyDescent="0.5">
      <c r="A33" s="52">
        <v>45689</v>
      </c>
      <c r="B33" s="48">
        <v>4.8</v>
      </c>
      <c r="C33" s="274">
        <f>AVERAGE(B33:B60)</f>
        <v>4.7571428571428571</v>
      </c>
      <c r="D33" s="295"/>
      <c r="E33" s="58">
        <v>1</v>
      </c>
      <c r="F33" s="68" t="s">
        <v>176</v>
      </c>
      <c r="G33" s="74"/>
      <c r="K33" s="70"/>
      <c r="AJ33" t="str">
        <f>TRIM(MID(SUBSTITUTE($F33, ",", REPT(" ", 100)), (COLUMNS($AH$2:AJ33)-1)*100+1, 100))</f>
        <v/>
      </c>
      <c r="AK33" s="52">
        <v>45689</v>
      </c>
      <c r="AL33" s="48">
        <v>4.8</v>
      </c>
      <c r="AM33" s="2">
        <v>6</v>
      </c>
      <c r="AO33" t="str">
        <f>TRIM(MID(SUBSTITUTE($F33, ",", REPT(" ", 100)), (COLUMNS($AH$2:AO33)-1)*100+1, 100))</f>
        <v/>
      </c>
      <c r="AP33" t="str">
        <f>TRIM(MID(SUBSTITUTE($F33, ",", REPT(" ", 100)), (COLUMNS($AH$2:AP33)-1)*100+1, 100))</f>
        <v/>
      </c>
      <c r="AQ33" t="str">
        <f>TRIM(MID(SUBSTITUTE($F33, ",", REPT(" ", 100)), (COLUMNS($AH$2:AQ33)-1)*100+1, 100))</f>
        <v/>
      </c>
      <c r="AR33" t="str">
        <f>TRIM(MID(SUBSTITUTE($F33, ",", REPT(" ", 100)), (COLUMNS($AH$2:AR33)-1)*100+1, 100))</f>
        <v/>
      </c>
      <c r="AS33" t="str">
        <f>TRIM(MID(SUBSTITUTE($F33, ",", REPT(" ", 100)), (COLUMNS($AH$2:AS33)-1)*100+1, 100))</f>
        <v/>
      </c>
      <c r="AT33" t="str">
        <f>TRIM(MID(SUBSTITUTE($F33, ",", REPT(" ", 100)), (COLUMNS($AH$2:AT33)-1)*100+1, 100))</f>
        <v/>
      </c>
      <c r="AU33" t="str">
        <f>TRIM(MID(SUBSTITUTE($F33, ",", REPT(" ", 100)), (COLUMNS($AH$2:AU33)-1)*100+1, 100))</f>
        <v/>
      </c>
      <c r="AV33" t="str">
        <f>TRIM(MID(SUBSTITUTE($F33, ",", REPT(" ", 100)), (COLUMNS($AH$2:AV33)-1)*100+1, 100))</f>
        <v/>
      </c>
      <c r="AW33" t="str">
        <f>TRIM(MID(SUBSTITUTE($F33, ",", REPT(" ", 100)), (COLUMNS($AH$2:AW33)-1)*100+1, 100))</f>
        <v/>
      </c>
      <c r="AX33" t="str">
        <f>TRIM(MID(SUBSTITUTE($F33, ",", REPT(" ", 100)), (COLUMNS($AH$2:AX33)-1)*100+1, 100))</f>
        <v/>
      </c>
      <c r="AY33" t="str">
        <f>TRIM(MID(SUBSTITUTE($F33, ",", REPT(" ", 100)), (COLUMNS($AH$2:AY33)-1)*100+1, 100))</f>
        <v/>
      </c>
      <c r="AZ33" t="str">
        <f>TRIM(MID(SUBSTITUTE($F33, ",", REPT(" ", 100)), (COLUMNS($AH$2:AZ33)-1)*100+1, 100))</f>
        <v/>
      </c>
      <c r="BA33" t="str">
        <f>TRIM(MID(SUBSTITUTE($F33, ",", REPT(" ", 100)), (COLUMNS($AH$2:BA33)-1)*100+1, 100))</f>
        <v/>
      </c>
    </row>
    <row r="34" spans="1:53" x14ac:dyDescent="0.5">
      <c r="A34" s="1">
        <v>45690</v>
      </c>
      <c r="B34" s="2">
        <v>4.5</v>
      </c>
      <c r="C34" s="272"/>
      <c r="D34" s="295"/>
      <c r="E34" s="58">
        <v>0</v>
      </c>
      <c r="F34" s="69" t="s">
        <v>176</v>
      </c>
      <c r="K34" s="38"/>
      <c r="AJ34" t="str">
        <f>TRIM(MID(SUBSTITUTE($F34, ",", REPT(" ", 100)), (COLUMNS($AH$2:AJ34)-1)*100+1, 100))</f>
        <v/>
      </c>
      <c r="AK34" s="1">
        <v>45690</v>
      </c>
      <c r="AL34" s="2">
        <v>4.5</v>
      </c>
      <c r="AM34" s="2">
        <v>6</v>
      </c>
      <c r="AP34" t="str">
        <f>TRIM(MID(SUBSTITUTE($F34, ",", REPT(" ", 100)), (COLUMNS($AH$2:AP34)-1)*100+1, 100))</f>
        <v/>
      </c>
      <c r="AQ34" t="str">
        <f>TRIM(MID(SUBSTITUTE($F34, ",", REPT(" ", 100)), (COLUMNS($AH$2:AQ34)-1)*100+1, 100))</f>
        <v/>
      </c>
      <c r="AR34" t="str">
        <f>TRIM(MID(SUBSTITUTE($F34, ",", REPT(" ", 100)), (COLUMNS($AH$2:AR34)-1)*100+1, 100))</f>
        <v/>
      </c>
      <c r="AS34" t="str">
        <f>TRIM(MID(SUBSTITUTE($F34, ",", REPT(" ", 100)), (COLUMNS($AH$2:AS34)-1)*100+1, 100))</f>
        <v/>
      </c>
      <c r="AT34" t="str">
        <f>TRIM(MID(SUBSTITUTE($F34, ",", REPT(" ", 100)), (COLUMNS($AH$2:AT34)-1)*100+1, 100))</f>
        <v/>
      </c>
      <c r="AU34" t="str">
        <f>TRIM(MID(SUBSTITUTE($F34, ",", REPT(" ", 100)), (COLUMNS($AH$2:AU34)-1)*100+1, 100))</f>
        <v/>
      </c>
      <c r="AV34" t="str">
        <f>TRIM(MID(SUBSTITUTE($F34, ",", REPT(" ", 100)), (COLUMNS($AH$2:AV34)-1)*100+1, 100))</f>
        <v/>
      </c>
      <c r="AW34" t="str">
        <f>TRIM(MID(SUBSTITUTE($F34, ",", REPT(" ", 100)), (COLUMNS($AH$2:AW34)-1)*100+1, 100))</f>
        <v/>
      </c>
      <c r="AX34" t="str">
        <f>TRIM(MID(SUBSTITUTE($F34, ",", REPT(" ", 100)), (COLUMNS($AH$2:AX34)-1)*100+1, 100))</f>
        <v/>
      </c>
      <c r="AY34" t="str">
        <f>TRIM(MID(SUBSTITUTE($F34, ",", REPT(" ", 100)), (COLUMNS($AH$2:AY34)-1)*100+1, 100))</f>
        <v/>
      </c>
      <c r="AZ34" t="str">
        <f>TRIM(MID(SUBSTITUTE($F34, ",", REPT(" ", 100)), (COLUMNS($AH$2:AZ34)-1)*100+1, 100))</f>
        <v/>
      </c>
      <c r="BA34" t="str">
        <f>TRIM(MID(SUBSTITUTE($F34, ",", REPT(" ", 100)), (COLUMNS($AH$2:BA34)-1)*100+1, 100))</f>
        <v/>
      </c>
    </row>
    <row r="35" spans="1:53" x14ac:dyDescent="0.5">
      <c r="A35" s="1">
        <v>45691</v>
      </c>
      <c r="B35" s="2">
        <v>5</v>
      </c>
      <c r="C35" s="272"/>
      <c r="D35" s="295"/>
      <c r="E35" s="58">
        <v>1</v>
      </c>
      <c r="F35" s="68" t="s">
        <v>176</v>
      </c>
      <c r="G35" s="74"/>
      <c r="K35" s="38"/>
      <c r="AJ35" t="str">
        <f>TRIM(MID(SUBSTITUTE($F35, ",", REPT(" ", 100)), (COLUMNS($AH$2:AJ35)-1)*100+1, 100))</f>
        <v/>
      </c>
      <c r="AK35" s="1">
        <v>45691</v>
      </c>
      <c r="AL35" s="2">
        <v>5</v>
      </c>
      <c r="AM35" s="2">
        <v>6</v>
      </c>
      <c r="AP35" t="str">
        <f>TRIM(MID(SUBSTITUTE($F35, ",", REPT(" ", 100)), (COLUMNS($AH$2:AP35)-1)*100+1, 100))</f>
        <v/>
      </c>
      <c r="AQ35" t="str">
        <f>TRIM(MID(SUBSTITUTE($F35, ",", REPT(" ", 100)), (COLUMNS($AH$2:AQ35)-1)*100+1, 100))</f>
        <v/>
      </c>
      <c r="AR35" t="str">
        <f>TRIM(MID(SUBSTITUTE($F35, ",", REPT(" ", 100)), (COLUMNS($AH$2:AR35)-1)*100+1, 100))</f>
        <v/>
      </c>
      <c r="AS35" t="str">
        <f>TRIM(MID(SUBSTITUTE($F35, ",", REPT(" ", 100)), (COLUMNS($AH$2:AS35)-1)*100+1, 100))</f>
        <v/>
      </c>
      <c r="AT35" t="str">
        <f>TRIM(MID(SUBSTITUTE($F35, ",", REPT(" ", 100)), (COLUMNS($AH$2:AT35)-1)*100+1, 100))</f>
        <v/>
      </c>
      <c r="AU35" t="str">
        <f>TRIM(MID(SUBSTITUTE($F35, ",", REPT(" ", 100)), (COLUMNS($AH$2:AU35)-1)*100+1, 100))</f>
        <v/>
      </c>
      <c r="AV35" t="str">
        <f>TRIM(MID(SUBSTITUTE($F35, ",", REPT(" ", 100)), (COLUMNS($AH$2:AV35)-1)*100+1, 100))</f>
        <v/>
      </c>
      <c r="AW35" t="str">
        <f>TRIM(MID(SUBSTITUTE($F35, ",", REPT(" ", 100)), (COLUMNS($AH$2:AW35)-1)*100+1, 100))</f>
        <v/>
      </c>
      <c r="AX35" t="str">
        <f>TRIM(MID(SUBSTITUTE($F35, ",", REPT(" ", 100)), (COLUMNS($AH$2:AX35)-1)*100+1, 100))</f>
        <v/>
      </c>
      <c r="AY35" t="str">
        <f>TRIM(MID(SUBSTITUTE($F35, ",", REPT(" ", 100)), (COLUMNS($AH$2:AY35)-1)*100+1, 100))</f>
        <v/>
      </c>
      <c r="AZ35" t="str">
        <f>TRIM(MID(SUBSTITUTE($F35, ",", REPT(" ", 100)), (COLUMNS($AH$2:AZ35)-1)*100+1, 100))</f>
        <v/>
      </c>
      <c r="BA35" t="str">
        <f>TRIM(MID(SUBSTITUTE($F35, ",", REPT(" ", 100)), (COLUMNS($AH$2:BA35)-1)*100+1, 100))</f>
        <v/>
      </c>
    </row>
    <row r="36" spans="1:53" x14ac:dyDescent="0.5">
      <c r="A36" s="1">
        <v>45692</v>
      </c>
      <c r="B36" s="2">
        <v>2.2999999999999998</v>
      </c>
      <c r="C36" s="272"/>
      <c r="D36" s="295"/>
      <c r="E36" s="58">
        <v>1</v>
      </c>
      <c r="F36" s="38" t="s">
        <v>176</v>
      </c>
      <c r="K36" s="38"/>
      <c r="AJ36" t="str">
        <f>TRIM(MID(SUBSTITUTE($F36, ",", REPT(" ", 100)), (COLUMNS($AH$2:AJ36)-1)*100+1, 100))</f>
        <v/>
      </c>
      <c r="AK36" s="1">
        <v>45692</v>
      </c>
      <c r="AL36" s="2">
        <v>2.2999999999999998</v>
      </c>
      <c r="AM36" s="2">
        <v>4</v>
      </c>
      <c r="AP36" t="str">
        <f>TRIM(MID(SUBSTITUTE($F36, ",", REPT(" ", 100)), (COLUMNS($AH$2:AP36)-1)*100+1, 100))</f>
        <v/>
      </c>
      <c r="AQ36" t="str">
        <f>TRIM(MID(SUBSTITUTE($F36, ",", REPT(" ", 100)), (COLUMNS($AH$2:AQ36)-1)*100+1, 100))</f>
        <v/>
      </c>
      <c r="AR36" t="str">
        <f>TRIM(MID(SUBSTITUTE($F36, ",", REPT(" ", 100)), (COLUMNS($AH$2:AR36)-1)*100+1, 100))</f>
        <v/>
      </c>
      <c r="AS36" t="str">
        <f>TRIM(MID(SUBSTITUTE($F36, ",", REPT(" ", 100)), (COLUMNS($AH$2:AS36)-1)*100+1, 100))</f>
        <v/>
      </c>
      <c r="AT36" t="str">
        <f>TRIM(MID(SUBSTITUTE($F36, ",", REPT(" ", 100)), (COLUMNS($AH$2:AT36)-1)*100+1, 100))</f>
        <v/>
      </c>
      <c r="AU36" t="str">
        <f>TRIM(MID(SUBSTITUTE($F36, ",", REPT(" ", 100)), (COLUMNS($AH$2:AU36)-1)*100+1, 100))</f>
        <v/>
      </c>
      <c r="AV36" t="str">
        <f>TRIM(MID(SUBSTITUTE($F36, ",", REPT(" ", 100)), (COLUMNS($AH$2:AV36)-1)*100+1, 100))</f>
        <v/>
      </c>
      <c r="AW36" t="str">
        <f>TRIM(MID(SUBSTITUTE($F36, ",", REPT(" ", 100)), (COLUMNS($AH$2:AW36)-1)*100+1, 100))</f>
        <v/>
      </c>
      <c r="AX36" t="str">
        <f>TRIM(MID(SUBSTITUTE($F36, ",", REPT(" ", 100)), (COLUMNS($AH$2:AX36)-1)*100+1, 100))</f>
        <v/>
      </c>
      <c r="AY36" t="str">
        <f>TRIM(MID(SUBSTITUTE($F36, ",", REPT(" ", 100)), (COLUMNS($AH$2:AY36)-1)*100+1, 100))</f>
        <v/>
      </c>
      <c r="AZ36" t="str">
        <f>TRIM(MID(SUBSTITUTE($F36, ",", REPT(" ", 100)), (COLUMNS($AH$2:AZ36)-1)*100+1, 100))</f>
        <v/>
      </c>
      <c r="BA36" t="str">
        <f>TRIM(MID(SUBSTITUTE($F36, ",", REPT(" ", 100)), (COLUMNS($AH$2:BA36)-1)*100+1, 100))</f>
        <v/>
      </c>
    </row>
    <row r="37" spans="1:53" x14ac:dyDescent="0.5">
      <c r="A37" s="1">
        <v>45693</v>
      </c>
      <c r="B37" s="2">
        <v>3.3</v>
      </c>
      <c r="C37" s="272"/>
      <c r="D37" s="295"/>
      <c r="E37" s="58">
        <v>0</v>
      </c>
      <c r="F37" s="38" t="s">
        <v>176</v>
      </c>
      <c r="K37" s="38"/>
      <c r="AJ37" t="str">
        <f>TRIM(MID(SUBSTITUTE($F37, ",", REPT(" ", 100)), (COLUMNS($AH$2:AJ37)-1)*100+1, 100))</f>
        <v/>
      </c>
      <c r="AK37" s="1">
        <v>45693</v>
      </c>
      <c r="AL37" s="2">
        <v>3.3</v>
      </c>
      <c r="AM37" s="2">
        <v>2</v>
      </c>
      <c r="AP37" t="str">
        <f>TRIM(MID(SUBSTITUTE($F37, ",", REPT(" ", 100)), (COLUMNS($AH$2:AP37)-1)*100+1, 100))</f>
        <v/>
      </c>
      <c r="AQ37" t="str">
        <f>TRIM(MID(SUBSTITUTE($F37, ",", REPT(" ", 100)), (COLUMNS($AH$2:AQ37)-1)*100+1, 100))</f>
        <v/>
      </c>
      <c r="AR37" t="str">
        <f>TRIM(MID(SUBSTITUTE($F37, ",", REPT(" ", 100)), (COLUMNS($AH$2:AR37)-1)*100+1, 100))</f>
        <v/>
      </c>
      <c r="AS37" t="str">
        <f>TRIM(MID(SUBSTITUTE($F37, ",", REPT(" ", 100)), (COLUMNS($AH$2:AS37)-1)*100+1, 100))</f>
        <v/>
      </c>
      <c r="AT37" t="str">
        <f>TRIM(MID(SUBSTITUTE($F37, ",", REPT(" ", 100)), (COLUMNS($AH$2:AT37)-1)*100+1, 100))</f>
        <v/>
      </c>
      <c r="AU37" t="str">
        <f>TRIM(MID(SUBSTITUTE($F37, ",", REPT(" ", 100)), (COLUMNS($AH$2:AU37)-1)*100+1, 100))</f>
        <v/>
      </c>
      <c r="AV37" t="str">
        <f>TRIM(MID(SUBSTITUTE($F37, ",", REPT(" ", 100)), (COLUMNS($AH$2:AV37)-1)*100+1, 100))</f>
        <v/>
      </c>
      <c r="AW37" t="str">
        <f>TRIM(MID(SUBSTITUTE($F37, ",", REPT(" ", 100)), (COLUMNS($AH$2:AW37)-1)*100+1, 100))</f>
        <v/>
      </c>
      <c r="AX37" t="str">
        <f>TRIM(MID(SUBSTITUTE($F37, ",", REPT(" ", 100)), (COLUMNS($AH$2:AX37)-1)*100+1, 100))</f>
        <v/>
      </c>
      <c r="AY37" t="str">
        <f>TRIM(MID(SUBSTITUTE($F37, ",", REPT(" ", 100)), (COLUMNS($AH$2:AY37)-1)*100+1, 100))</f>
        <v/>
      </c>
      <c r="AZ37" t="str">
        <f>TRIM(MID(SUBSTITUTE($F37, ",", REPT(" ", 100)), (COLUMNS($AH$2:AZ37)-1)*100+1, 100))</f>
        <v/>
      </c>
      <c r="BA37" t="str">
        <f>TRIM(MID(SUBSTITUTE($F37, ",", REPT(" ", 100)), (COLUMNS($AH$2:BA37)-1)*100+1, 100))</f>
        <v/>
      </c>
    </row>
    <row r="38" spans="1:53" x14ac:dyDescent="0.5">
      <c r="A38" s="1">
        <v>45694</v>
      </c>
      <c r="B38" s="2">
        <v>2</v>
      </c>
      <c r="C38" s="272"/>
      <c r="D38" s="295"/>
      <c r="E38" s="58">
        <v>1</v>
      </c>
      <c r="F38" s="38" t="s">
        <v>176</v>
      </c>
      <c r="K38" s="38"/>
      <c r="AJ38" t="str">
        <f>TRIM(MID(SUBSTITUTE($F38, ",", REPT(" ", 100)), (COLUMNS($AH$2:AJ38)-1)*100+1, 100))</f>
        <v/>
      </c>
      <c r="AK38" s="1">
        <v>45694</v>
      </c>
      <c r="AL38" s="2">
        <v>2</v>
      </c>
      <c r="AM38" s="2">
        <v>6</v>
      </c>
      <c r="AP38" t="str">
        <f>TRIM(MID(SUBSTITUTE($F38, ",", REPT(" ", 100)), (COLUMNS($AH$2:AP38)-1)*100+1, 100))</f>
        <v/>
      </c>
      <c r="AQ38" t="str">
        <f>TRIM(MID(SUBSTITUTE($F38, ",", REPT(" ", 100)), (COLUMNS($AH$2:AQ38)-1)*100+1, 100))</f>
        <v/>
      </c>
      <c r="AR38" t="str">
        <f>TRIM(MID(SUBSTITUTE($F38, ",", REPT(" ", 100)), (COLUMNS($AH$2:AR38)-1)*100+1, 100))</f>
        <v/>
      </c>
      <c r="AS38" t="str">
        <f>TRIM(MID(SUBSTITUTE($F38, ",", REPT(" ", 100)), (COLUMNS($AH$2:AS38)-1)*100+1, 100))</f>
        <v/>
      </c>
      <c r="AT38" t="str">
        <f>TRIM(MID(SUBSTITUTE($F38, ",", REPT(" ", 100)), (COLUMNS($AH$2:AT38)-1)*100+1, 100))</f>
        <v/>
      </c>
      <c r="AU38" t="str">
        <f>TRIM(MID(SUBSTITUTE($F38, ",", REPT(" ", 100)), (COLUMNS($AH$2:AU38)-1)*100+1, 100))</f>
        <v/>
      </c>
      <c r="AV38" t="str">
        <f>TRIM(MID(SUBSTITUTE($F38, ",", REPT(" ", 100)), (COLUMNS($AH$2:AV38)-1)*100+1, 100))</f>
        <v/>
      </c>
      <c r="AW38" t="str">
        <f>TRIM(MID(SUBSTITUTE($F38, ",", REPT(" ", 100)), (COLUMNS($AH$2:AW38)-1)*100+1, 100))</f>
        <v/>
      </c>
      <c r="AX38" t="str">
        <f>TRIM(MID(SUBSTITUTE($F38, ",", REPT(" ", 100)), (COLUMNS($AH$2:AX38)-1)*100+1, 100))</f>
        <v/>
      </c>
      <c r="AY38" t="str">
        <f>TRIM(MID(SUBSTITUTE($F38, ",", REPT(" ", 100)), (COLUMNS($AH$2:AY38)-1)*100+1, 100))</f>
        <v/>
      </c>
      <c r="AZ38" t="str">
        <f>TRIM(MID(SUBSTITUTE($F38, ",", REPT(" ", 100)), (COLUMNS($AH$2:AZ38)-1)*100+1, 100))</f>
        <v/>
      </c>
      <c r="BA38" t="str">
        <f>TRIM(MID(SUBSTITUTE($F38, ",", REPT(" ", 100)), (COLUMNS($AH$2:BA38)-1)*100+1, 100))</f>
        <v/>
      </c>
    </row>
    <row r="39" spans="1:53" x14ac:dyDescent="0.5">
      <c r="A39" s="1">
        <v>45695</v>
      </c>
      <c r="B39" s="2">
        <v>1.3</v>
      </c>
      <c r="C39" s="272"/>
      <c r="D39" s="295"/>
      <c r="E39" s="58">
        <v>0</v>
      </c>
      <c r="F39" s="38" t="s">
        <v>176</v>
      </c>
      <c r="K39" s="38"/>
      <c r="AJ39" t="str">
        <f>TRIM(MID(SUBSTITUTE($F39, ",", REPT(" ", 100)), (COLUMNS($AH$2:AJ39)-1)*100+1, 100))</f>
        <v/>
      </c>
      <c r="AK39" s="1">
        <v>45695</v>
      </c>
      <c r="AL39" s="2">
        <v>1.3</v>
      </c>
      <c r="AM39" s="2">
        <v>4</v>
      </c>
      <c r="AP39" t="str">
        <f>TRIM(MID(SUBSTITUTE($F39, ",", REPT(" ", 100)), (COLUMNS($AH$2:AP39)-1)*100+1, 100))</f>
        <v/>
      </c>
      <c r="AQ39" t="str">
        <f>TRIM(MID(SUBSTITUTE($F39, ",", REPT(" ", 100)), (COLUMNS($AH$2:AQ39)-1)*100+1, 100))</f>
        <v/>
      </c>
      <c r="AR39" t="str">
        <f>TRIM(MID(SUBSTITUTE($F39, ",", REPT(" ", 100)), (COLUMNS($AH$2:AR39)-1)*100+1, 100))</f>
        <v/>
      </c>
      <c r="AS39" t="str">
        <f>TRIM(MID(SUBSTITUTE($F39, ",", REPT(" ", 100)), (COLUMNS($AH$2:AS39)-1)*100+1, 100))</f>
        <v/>
      </c>
      <c r="AT39" t="str">
        <f>TRIM(MID(SUBSTITUTE($F39, ",", REPT(" ", 100)), (COLUMNS($AH$2:AT39)-1)*100+1, 100))</f>
        <v/>
      </c>
      <c r="AU39" t="str">
        <f>TRIM(MID(SUBSTITUTE($F39, ",", REPT(" ", 100)), (COLUMNS($AH$2:AU39)-1)*100+1, 100))</f>
        <v/>
      </c>
      <c r="AV39" t="str">
        <f>TRIM(MID(SUBSTITUTE($F39, ",", REPT(" ", 100)), (COLUMNS($AH$2:AV39)-1)*100+1, 100))</f>
        <v/>
      </c>
      <c r="AW39" t="str">
        <f>TRIM(MID(SUBSTITUTE($F39, ",", REPT(" ", 100)), (COLUMNS($AH$2:AW39)-1)*100+1, 100))</f>
        <v/>
      </c>
      <c r="AX39" t="str">
        <f>TRIM(MID(SUBSTITUTE($F39, ",", REPT(" ", 100)), (COLUMNS($AH$2:AX39)-1)*100+1, 100))</f>
        <v/>
      </c>
      <c r="AY39" t="str">
        <f>TRIM(MID(SUBSTITUTE($F39, ",", REPT(" ", 100)), (COLUMNS($AH$2:AY39)-1)*100+1, 100))</f>
        <v/>
      </c>
      <c r="AZ39" t="str">
        <f>TRIM(MID(SUBSTITUTE($F39, ",", REPT(" ", 100)), (COLUMNS($AH$2:AZ39)-1)*100+1, 100))</f>
        <v/>
      </c>
      <c r="BA39" t="str">
        <f>TRIM(MID(SUBSTITUTE($F39, ",", REPT(" ", 100)), (COLUMNS($AH$2:BA39)-1)*100+1, 100))</f>
        <v/>
      </c>
    </row>
    <row r="40" spans="1:53" x14ac:dyDescent="0.5">
      <c r="A40" s="1">
        <v>45696</v>
      </c>
      <c r="B40" s="2">
        <v>8.5</v>
      </c>
      <c r="C40" s="272"/>
      <c r="D40" s="295"/>
      <c r="E40" s="58">
        <v>1</v>
      </c>
      <c r="F40" s="38" t="s">
        <v>176</v>
      </c>
      <c r="G40" s="38" t="s">
        <v>199</v>
      </c>
      <c r="K40" s="38"/>
      <c r="AJ40" t="str">
        <f>TRIM(MID(SUBSTITUTE($F40, ",", REPT(" ", 100)), (COLUMNS($AH$2:AJ40)-1)*100+1, 100))</f>
        <v/>
      </c>
      <c r="AK40" s="1">
        <v>45696</v>
      </c>
      <c r="AL40" s="2">
        <v>8.5</v>
      </c>
      <c r="AM40" s="2">
        <v>6</v>
      </c>
      <c r="AP40" t="str">
        <f>TRIM(MID(SUBSTITUTE($F40, ",", REPT(" ", 100)), (COLUMNS($AH$2:AP40)-1)*100+1, 100))</f>
        <v/>
      </c>
      <c r="AQ40" t="str">
        <f>TRIM(MID(SUBSTITUTE($F40, ",", REPT(" ", 100)), (COLUMNS($AH$2:AQ40)-1)*100+1, 100))</f>
        <v/>
      </c>
      <c r="AR40" t="str">
        <f>TRIM(MID(SUBSTITUTE($F40, ",", REPT(" ", 100)), (COLUMNS($AH$2:AR40)-1)*100+1, 100))</f>
        <v/>
      </c>
      <c r="AS40" t="str">
        <f>TRIM(MID(SUBSTITUTE($F40, ",", REPT(" ", 100)), (COLUMNS($AH$2:AS40)-1)*100+1, 100))</f>
        <v/>
      </c>
      <c r="AT40" t="str">
        <f>TRIM(MID(SUBSTITUTE($F40, ",", REPT(" ", 100)), (COLUMNS($AH$2:AT40)-1)*100+1, 100))</f>
        <v/>
      </c>
      <c r="AU40" t="str">
        <f>TRIM(MID(SUBSTITUTE($F40, ",", REPT(" ", 100)), (COLUMNS($AH$2:AU40)-1)*100+1, 100))</f>
        <v/>
      </c>
      <c r="AV40" t="str">
        <f>TRIM(MID(SUBSTITUTE($F40, ",", REPT(" ", 100)), (COLUMNS($AH$2:AV40)-1)*100+1, 100))</f>
        <v/>
      </c>
      <c r="AW40" t="str">
        <f>TRIM(MID(SUBSTITUTE($F40, ",", REPT(" ", 100)), (COLUMNS($AH$2:AW40)-1)*100+1, 100))</f>
        <v/>
      </c>
      <c r="AX40" t="str">
        <f>TRIM(MID(SUBSTITUTE($F40, ",", REPT(" ", 100)), (COLUMNS($AH$2:AX40)-1)*100+1, 100))</f>
        <v/>
      </c>
      <c r="AY40" t="str">
        <f>TRIM(MID(SUBSTITUTE($F40, ",", REPT(" ", 100)), (COLUMNS($AH$2:AY40)-1)*100+1, 100))</f>
        <v/>
      </c>
      <c r="AZ40" t="str">
        <f>TRIM(MID(SUBSTITUTE($F40, ",", REPT(" ", 100)), (COLUMNS($AH$2:AZ40)-1)*100+1, 100))</f>
        <v/>
      </c>
      <c r="BA40" t="str">
        <f>TRIM(MID(SUBSTITUTE($F40, ",", REPT(" ", 100)), (COLUMNS($AH$2:BA40)-1)*100+1, 100))</f>
        <v/>
      </c>
    </row>
    <row r="41" spans="1:53" x14ac:dyDescent="0.5">
      <c r="A41" s="1">
        <v>45697</v>
      </c>
      <c r="B41" s="2">
        <v>4.5</v>
      </c>
      <c r="C41" s="272"/>
      <c r="D41" s="295"/>
      <c r="E41" s="58">
        <v>0</v>
      </c>
      <c r="F41" s="38" t="s">
        <v>176</v>
      </c>
      <c r="K41" s="38"/>
      <c r="AJ41" t="str">
        <f>TRIM(MID(SUBSTITUTE($F41, ",", REPT(" ", 100)), (COLUMNS($AH$2:AJ41)-1)*100+1, 100))</f>
        <v/>
      </c>
      <c r="AK41" s="1">
        <v>45697</v>
      </c>
      <c r="AL41" s="2">
        <v>4.5</v>
      </c>
      <c r="AM41" s="2">
        <v>6</v>
      </c>
      <c r="AP41" t="str">
        <f>TRIM(MID(SUBSTITUTE($F41, ",", REPT(" ", 100)), (COLUMNS($AH$2:AP41)-1)*100+1, 100))</f>
        <v/>
      </c>
      <c r="AQ41" t="str">
        <f>TRIM(MID(SUBSTITUTE($F41, ",", REPT(" ", 100)), (COLUMNS($AH$2:AQ41)-1)*100+1, 100))</f>
        <v/>
      </c>
      <c r="AR41" t="str">
        <f>TRIM(MID(SUBSTITUTE($F41, ",", REPT(" ", 100)), (COLUMNS($AH$2:AR41)-1)*100+1, 100))</f>
        <v/>
      </c>
      <c r="AS41" t="str">
        <f>TRIM(MID(SUBSTITUTE($F41, ",", REPT(" ", 100)), (COLUMNS($AH$2:AS41)-1)*100+1, 100))</f>
        <v/>
      </c>
      <c r="AT41" t="str">
        <f>TRIM(MID(SUBSTITUTE($F41, ",", REPT(" ", 100)), (COLUMNS($AH$2:AT41)-1)*100+1, 100))</f>
        <v/>
      </c>
      <c r="AU41" t="str">
        <f>TRIM(MID(SUBSTITUTE($F41, ",", REPT(" ", 100)), (COLUMNS($AH$2:AU41)-1)*100+1, 100))</f>
        <v/>
      </c>
      <c r="AV41" t="str">
        <f>TRIM(MID(SUBSTITUTE($F41, ",", REPT(" ", 100)), (COLUMNS($AH$2:AV41)-1)*100+1, 100))</f>
        <v/>
      </c>
      <c r="AW41" t="str">
        <f>TRIM(MID(SUBSTITUTE($F41, ",", REPT(" ", 100)), (COLUMNS($AH$2:AW41)-1)*100+1, 100))</f>
        <v/>
      </c>
      <c r="AX41" t="str">
        <f>TRIM(MID(SUBSTITUTE($F41, ",", REPT(" ", 100)), (COLUMNS($AH$2:AX41)-1)*100+1, 100))</f>
        <v/>
      </c>
      <c r="AY41" t="str">
        <f>TRIM(MID(SUBSTITUTE($F41, ",", REPT(" ", 100)), (COLUMNS($AH$2:AY41)-1)*100+1, 100))</f>
        <v/>
      </c>
      <c r="AZ41" t="str">
        <f>TRIM(MID(SUBSTITUTE($F41, ",", REPT(" ", 100)), (COLUMNS($AH$2:AZ41)-1)*100+1, 100))</f>
        <v/>
      </c>
      <c r="BA41" t="str">
        <f>TRIM(MID(SUBSTITUTE($F41, ",", REPT(" ", 100)), (COLUMNS($AH$2:BA41)-1)*100+1, 100))</f>
        <v/>
      </c>
    </row>
    <row r="42" spans="1:53" x14ac:dyDescent="0.5">
      <c r="A42" s="1">
        <v>45698</v>
      </c>
      <c r="B42" s="2">
        <v>3.8</v>
      </c>
      <c r="C42" s="272"/>
      <c r="D42" s="295"/>
      <c r="E42" s="58">
        <v>1</v>
      </c>
      <c r="F42" s="38" t="s">
        <v>176</v>
      </c>
      <c r="K42" s="38"/>
      <c r="AJ42" t="str">
        <f>TRIM(MID(SUBSTITUTE($F42, ",", REPT(" ", 100)), (COLUMNS($AH$2:AJ42)-1)*100+1, 100))</f>
        <v/>
      </c>
      <c r="AK42" s="1">
        <v>45698</v>
      </c>
      <c r="AL42" s="2">
        <v>3.8</v>
      </c>
      <c r="AM42" s="2">
        <v>4</v>
      </c>
      <c r="AP42" t="str">
        <f>TRIM(MID(SUBSTITUTE($F42, ",", REPT(" ", 100)), (COLUMNS($AH$2:AP42)-1)*100+1, 100))</f>
        <v/>
      </c>
      <c r="AQ42" t="str">
        <f>TRIM(MID(SUBSTITUTE($F42, ",", REPT(" ", 100)), (COLUMNS($AH$2:AQ42)-1)*100+1, 100))</f>
        <v/>
      </c>
      <c r="AR42" t="str">
        <f>TRIM(MID(SUBSTITUTE($F42, ",", REPT(" ", 100)), (COLUMNS($AH$2:AR42)-1)*100+1, 100))</f>
        <v/>
      </c>
      <c r="AS42" t="str">
        <f>TRIM(MID(SUBSTITUTE($F42, ",", REPT(" ", 100)), (COLUMNS($AH$2:AS42)-1)*100+1, 100))</f>
        <v/>
      </c>
      <c r="AT42" t="str">
        <f>TRIM(MID(SUBSTITUTE($F42, ",", REPT(" ", 100)), (COLUMNS($AH$2:AT42)-1)*100+1, 100))</f>
        <v/>
      </c>
      <c r="AU42" t="str">
        <f>TRIM(MID(SUBSTITUTE($F42, ",", REPT(" ", 100)), (COLUMNS($AH$2:AU42)-1)*100+1, 100))</f>
        <v/>
      </c>
      <c r="AV42" t="str">
        <f>TRIM(MID(SUBSTITUTE($F42, ",", REPT(" ", 100)), (COLUMNS($AH$2:AV42)-1)*100+1, 100))</f>
        <v/>
      </c>
      <c r="AW42" t="str">
        <f>TRIM(MID(SUBSTITUTE($F42, ",", REPT(" ", 100)), (COLUMNS($AH$2:AW42)-1)*100+1, 100))</f>
        <v/>
      </c>
      <c r="AX42" t="str">
        <f>TRIM(MID(SUBSTITUTE($F42, ",", REPT(" ", 100)), (COLUMNS($AH$2:AX42)-1)*100+1, 100))</f>
        <v/>
      </c>
      <c r="AY42" t="str">
        <f>TRIM(MID(SUBSTITUTE($F42, ",", REPT(" ", 100)), (COLUMNS($AH$2:AY42)-1)*100+1, 100))</f>
        <v/>
      </c>
      <c r="AZ42" t="str">
        <f>TRIM(MID(SUBSTITUTE($F42, ",", REPT(" ", 100)), (COLUMNS($AH$2:AZ42)-1)*100+1, 100))</f>
        <v/>
      </c>
      <c r="BA42" t="str">
        <f>TRIM(MID(SUBSTITUTE($F42, ",", REPT(" ", 100)), (COLUMNS($AH$2:BA42)-1)*100+1, 100))</f>
        <v/>
      </c>
    </row>
    <row r="43" spans="1:53" x14ac:dyDescent="0.5">
      <c r="A43" s="1">
        <v>45699</v>
      </c>
      <c r="B43" s="2">
        <v>5.5</v>
      </c>
      <c r="C43" s="272"/>
      <c r="D43" s="295"/>
      <c r="E43" s="58">
        <v>1</v>
      </c>
      <c r="F43" s="38" t="s">
        <v>176</v>
      </c>
      <c r="K43" s="38"/>
      <c r="AJ43" t="str">
        <f>TRIM(MID(SUBSTITUTE($F43, ",", REPT(" ", 100)), (COLUMNS($AH$2:AJ43)-1)*100+1, 100))</f>
        <v/>
      </c>
      <c r="AK43" s="1">
        <v>45699</v>
      </c>
      <c r="AL43" s="2">
        <v>5.5</v>
      </c>
      <c r="AM43" s="2">
        <v>4</v>
      </c>
      <c r="AO43" t="str">
        <f>TRIM(MID(SUBSTITUTE($F43, ",", REPT(" ", 100)), (COLUMNS($AH$2:AO43)-1)*100+1, 100))</f>
        <v/>
      </c>
      <c r="AP43" t="str">
        <f>TRIM(MID(SUBSTITUTE($F43, ",", REPT(" ", 100)), (COLUMNS($AH$2:AP43)-1)*100+1, 100))</f>
        <v/>
      </c>
      <c r="AQ43" t="str">
        <f>TRIM(MID(SUBSTITUTE($F43, ",", REPT(" ", 100)), (COLUMNS($AH$2:AQ43)-1)*100+1, 100))</f>
        <v/>
      </c>
      <c r="AR43" t="str">
        <f>TRIM(MID(SUBSTITUTE($F43, ",", REPT(" ", 100)), (COLUMNS($AH$2:AR43)-1)*100+1, 100))</f>
        <v/>
      </c>
      <c r="AS43" t="str">
        <f>TRIM(MID(SUBSTITUTE($F43, ",", REPT(" ", 100)), (COLUMNS($AH$2:AS43)-1)*100+1, 100))</f>
        <v/>
      </c>
      <c r="AT43" t="str">
        <f>TRIM(MID(SUBSTITUTE($F43, ",", REPT(" ", 100)), (COLUMNS($AH$2:AT43)-1)*100+1, 100))</f>
        <v/>
      </c>
      <c r="AU43" t="str">
        <f>TRIM(MID(SUBSTITUTE($F43, ",", REPT(" ", 100)), (COLUMNS($AH$2:AU43)-1)*100+1, 100))</f>
        <v/>
      </c>
      <c r="AV43" t="str">
        <f>TRIM(MID(SUBSTITUTE($F43, ",", REPT(" ", 100)), (COLUMNS($AH$2:AV43)-1)*100+1, 100))</f>
        <v/>
      </c>
      <c r="AW43" t="str">
        <f>TRIM(MID(SUBSTITUTE($F43, ",", REPT(" ", 100)), (COLUMNS($AH$2:AW43)-1)*100+1, 100))</f>
        <v/>
      </c>
      <c r="AX43" t="str">
        <f>TRIM(MID(SUBSTITUTE($F43, ",", REPT(" ", 100)), (COLUMNS($AH$2:AX43)-1)*100+1, 100))</f>
        <v/>
      </c>
      <c r="AY43" t="str">
        <f>TRIM(MID(SUBSTITUTE($F43, ",", REPT(" ", 100)), (COLUMNS($AH$2:AY43)-1)*100+1, 100))</f>
        <v/>
      </c>
      <c r="AZ43" t="str">
        <f>TRIM(MID(SUBSTITUTE($F43, ",", REPT(" ", 100)), (COLUMNS($AH$2:AZ43)-1)*100+1, 100))</f>
        <v/>
      </c>
      <c r="BA43" t="str">
        <f>TRIM(MID(SUBSTITUTE($F43, ",", REPT(" ", 100)), (COLUMNS($AH$2:BA43)-1)*100+1, 100))</f>
        <v/>
      </c>
    </row>
    <row r="44" spans="1:53" x14ac:dyDescent="0.5">
      <c r="A44" s="1">
        <v>45700</v>
      </c>
      <c r="B44" s="2">
        <v>5.8</v>
      </c>
      <c r="C44" s="272"/>
      <c r="D44" s="295"/>
      <c r="E44" s="58">
        <v>1</v>
      </c>
      <c r="F44" s="38" t="s">
        <v>176</v>
      </c>
      <c r="K44" s="38"/>
      <c r="AJ44" t="str">
        <f>TRIM(MID(SUBSTITUTE($F44, ",", REPT(" ", 100)), (COLUMNS($AH$2:AJ44)-1)*100+1, 100))</f>
        <v/>
      </c>
      <c r="AK44" s="1">
        <v>45700</v>
      </c>
      <c r="AL44" s="2">
        <v>5.8</v>
      </c>
      <c r="AM44" s="2">
        <v>4</v>
      </c>
      <c r="AO44" t="str">
        <f>TRIM(MID(SUBSTITUTE($F44, ",", REPT(" ", 100)), (COLUMNS($AH$2:AO44)-1)*100+1, 100))</f>
        <v/>
      </c>
      <c r="AP44" t="str">
        <f>TRIM(MID(SUBSTITUTE($F44, ",", REPT(" ", 100)), (COLUMNS($AH$2:AP44)-1)*100+1, 100))</f>
        <v/>
      </c>
      <c r="AQ44" t="str">
        <f>TRIM(MID(SUBSTITUTE($F44, ",", REPT(" ", 100)), (COLUMNS($AH$2:AQ44)-1)*100+1, 100))</f>
        <v/>
      </c>
      <c r="AR44" t="str">
        <f>TRIM(MID(SUBSTITUTE($F44, ",", REPT(" ", 100)), (COLUMNS($AH$2:AR44)-1)*100+1, 100))</f>
        <v/>
      </c>
      <c r="AS44" t="str">
        <f>TRIM(MID(SUBSTITUTE($F44, ",", REPT(" ", 100)), (COLUMNS($AH$2:AS44)-1)*100+1, 100))</f>
        <v/>
      </c>
      <c r="AT44" t="str">
        <f>TRIM(MID(SUBSTITUTE($F44, ",", REPT(" ", 100)), (COLUMNS($AH$2:AT44)-1)*100+1, 100))</f>
        <v/>
      </c>
      <c r="AU44" t="str">
        <f>TRIM(MID(SUBSTITUTE($F44, ",", REPT(" ", 100)), (COLUMNS($AH$2:AU44)-1)*100+1, 100))</f>
        <v/>
      </c>
      <c r="AV44" t="str">
        <f>TRIM(MID(SUBSTITUTE($F44, ",", REPT(" ", 100)), (COLUMNS($AH$2:AV44)-1)*100+1, 100))</f>
        <v/>
      </c>
      <c r="AW44" t="str">
        <f>TRIM(MID(SUBSTITUTE($F44, ",", REPT(" ", 100)), (COLUMNS($AH$2:AW44)-1)*100+1, 100))</f>
        <v/>
      </c>
      <c r="AX44" t="str">
        <f>TRIM(MID(SUBSTITUTE($F44, ",", REPT(" ", 100)), (COLUMNS($AH$2:AX44)-1)*100+1, 100))</f>
        <v/>
      </c>
      <c r="AY44" t="str">
        <f>TRIM(MID(SUBSTITUTE($F44, ",", REPT(" ", 100)), (COLUMNS($AH$2:AY44)-1)*100+1, 100))</f>
        <v/>
      </c>
      <c r="AZ44" t="str">
        <f>TRIM(MID(SUBSTITUTE($F44, ",", REPT(" ", 100)), (COLUMNS($AH$2:AZ44)-1)*100+1, 100))</f>
        <v/>
      </c>
      <c r="BA44" t="str">
        <f>TRIM(MID(SUBSTITUTE($F44, ",", REPT(" ", 100)), (COLUMNS($AH$2:BA44)-1)*100+1, 100))</f>
        <v/>
      </c>
    </row>
    <row r="45" spans="1:53" x14ac:dyDescent="0.5">
      <c r="A45" s="1">
        <v>45701</v>
      </c>
      <c r="B45" s="2">
        <v>5.5</v>
      </c>
      <c r="C45" s="272"/>
      <c r="D45" s="295"/>
      <c r="E45" s="58">
        <v>0</v>
      </c>
      <c r="F45" s="38" t="s">
        <v>176</v>
      </c>
      <c r="K45" s="38"/>
      <c r="AJ45" t="str">
        <f>TRIM(MID(SUBSTITUTE($F45, ",", REPT(" ", 100)), (COLUMNS($AH$2:AJ45)-1)*100+1, 100))</f>
        <v/>
      </c>
      <c r="AK45" s="1">
        <v>45701</v>
      </c>
      <c r="AL45" s="2">
        <v>5.5</v>
      </c>
      <c r="AM45" s="2">
        <v>6</v>
      </c>
      <c r="AO45" t="str">
        <f>TRIM(MID(SUBSTITUTE($F45, ",", REPT(" ", 100)), (COLUMNS($AH$2:AO45)-1)*100+1, 100))</f>
        <v/>
      </c>
      <c r="AP45" t="str">
        <f>TRIM(MID(SUBSTITUTE($F45, ",", REPT(" ", 100)), (COLUMNS($AH$2:AP45)-1)*100+1, 100))</f>
        <v/>
      </c>
      <c r="AQ45" t="str">
        <f>TRIM(MID(SUBSTITUTE($F45, ",", REPT(" ", 100)), (COLUMNS($AH$2:AQ45)-1)*100+1, 100))</f>
        <v/>
      </c>
      <c r="AR45" t="str">
        <f>TRIM(MID(SUBSTITUTE($F45, ",", REPT(" ", 100)), (COLUMNS($AH$2:AR45)-1)*100+1, 100))</f>
        <v/>
      </c>
      <c r="AS45" t="str">
        <f>TRIM(MID(SUBSTITUTE($F45, ",", REPT(" ", 100)), (COLUMNS($AH$2:AS45)-1)*100+1, 100))</f>
        <v/>
      </c>
      <c r="AT45" t="str">
        <f>TRIM(MID(SUBSTITUTE($F45, ",", REPT(" ", 100)), (COLUMNS($AH$2:AT45)-1)*100+1, 100))</f>
        <v/>
      </c>
      <c r="AU45" t="str">
        <f>TRIM(MID(SUBSTITUTE($F45, ",", REPT(" ", 100)), (COLUMNS($AH$2:AU45)-1)*100+1, 100))</f>
        <v/>
      </c>
      <c r="AV45" t="str">
        <f>TRIM(MID(SUBSTITUTE($F45, ",", REPT(" ", 100)), (COLUMNS($AH$2:AV45)-1)*100+1, 100))</f>
        <v/>
      </c>
      <c r="AW45" t="str">
        <f>TRIM(MID(SUBSTITUTE($F45, ",", REPT(" ", 100)), (COLUMNS($AH$2:AW45)-1)*100+1, 100))</f>
        <v/>
      </c>
      <c r="AX45" t="str">
        <f>TRIM(MID(SUBSTITUTE($F45, ",", REPT(" ", 100)), (COLUMNS($AH$2:AX45)-1)*100+1, 100))</f>
        <v/>
      </c>
      <c r="AY45" t="str">
        <f>TRIM(MID(SUBSTITUTE($F45, ",", REPT(" ", 100)), (COLUMNS($AH$2:AY45)-1)*100+1, 100))</f>
        <v/>
      </c>
      <c r="AZ45" t="str">
        <f>TRIM(MID(SUBSTITUTE($F45, ",", REPT(" ", 100)), (COLUMNS($AH$2:AZ45)-1)*100+1, 100))</f>
        <v/>
      </c>
      <c r="BA45" t="str">
        <f>TRIM(MID(SUBSTITUTE($F45, ",", REPT(" ", 100)), (COLUMNS($AH$2:BA45)-1)*100+1, 100))</f>
        <v/>
      </c>
    </row>
    <row r="46" spans="1:53" x14ac:dyDescent="0.5">
      <c r="A46" s="1">
        <v>45702</v>
      </c>
      <c r="B46" s="2">
        <v>0</v>
      </c>
      <c r="C46" s="272"/>
      <c r="D46" s="295"/>
      <c r="E46" s="58">
        <v>0</v>
      </c>
      <c r="F46" s="38" t="s">
        <v>176</v>
      </c>
      <c r="G46" s="38" t="s">
        <v>643</v>
      </c>
      <c r="K46" s="38"/>
      <c r="AJ46" t="str">
        <f>TRIM(MID(SUBSTITUTE($F46, ",", REPT(" ", 100)), (COLUMNS($AH$2:AJ46)-1)*100+1, 100))</f>
        <v/>
      </c>
      <c r="AK46" s="1">
        <v>45702</v>
      </c>
      <c r="AL46" s="2">
        <v>0</v>
      </c>
      <c r="AM46" s="2">
        <v>10</v>
      </c>
      <c r="AO46" t="str">
        <f>TRIM(MID(SUBSTITUTE($F46, ",", REPT(" ", 100)), (COLUMNS($AH$2:AO46)-1)*100+1, 100))</f>
        <v/>
      </c>
      <c r="AP46" t="str">
        <f>TRIM(MID(SUBSTITUTE($F46, ",", REPT(" ", 100)), (COLUMNS($AH$2:AP46)-1)*100+1, 100))</f>
        <v/>
      </c>
      <c r="AQ46" t="str">
        <f>TRIM(MID(SUBSTITUTE($F46, ",", REPT(" ", 100)), (COLUMNS($AH$2:AQ46)-1)*100+1, 100))</f>
        <v/>
      </c>
      <c r="AR46" t="str">
        <f>TRIM(MID(SUBSTITUTE($F46, ",", REPT(" ", 100)), (COLUMNS($AH$2:AR46)-1)*100+1, 100))</f>
        <v/>
      </c>
      <c r="AS46" t="str">
        <f>TRIM(MID(SUBSTITUTE($F46, ",", REPT(" ", 100)), (COLUMNS($AH$2:AS46)-1)*100+1, 100))</f>
        <v/>
      </c>
      <c r="AT46" t="str">
        <f>TRIM(MID(SUBSTITUTE($F46, ",", REPT(" ", 100)), (COLUMNS($AH$2:AT46)-1)*100+1, 100))</f>
        <v/>
      </c>
      <c r="AU46" t="str">
        <f>TRIM(MID(SUBSTITUTE($F46, ",", REPT(" ", 100)), (COLUMNS($AH$2:AU46)-1)*100+1, 100))</f>
        <v/>
      </c>
      <c r="AV46" t="str">
        <f>TRIM(MID(SUBSTITUTE($F46, ",", REPT(" ", 100)), (COLUMNS($AH$2:AV46)-1)*100+1, 100))</f>
        <v/>
      </c>
      <c r="AW46" t="str">
        <f>TRIM(MID(SUBSTITUTE($F46, ",", REPT(" ", 100)), (COLUMNS($AH$2:AW46)-1)*100+1, 100))</f>
        <v/>
      </c>
      <c r="AX46" t="str">
        <f>TRIM(MID(SUBSTITUTE($F46, ",", REPT(" ", 100)), (COLUMNS($AH$2:AX46)-1)*100+1, 100))</f>
        <v/>
      </c>
      <c r="AY46" t="str">
        <f>TRIM(MID(SUBSTITUTE($F46, ",", REPT(" ", 100)), (COLUMNS($AH$2:AY46)-1)*100+1, 100))</f>
        <v/>
      </c>
      <c r="AZ46" t="str">
        <f>TRIM(MID(SUBSTITUTE($F46, ",", REPT(" ", 100)), (COLUMNS($AH$2:AZ46)-1)*100+1, 100))</f>
        <v/>
      </c>
      <c r="BA46" t="str">
        <f>TRIM(MID(SUBSTITUTE($F46, ",", REPT(" ", 100)), (COLUMNS($AH$2:BA46)-1)*100+1, 100))</f>
        <v/>
      </c>
    </row>
    <row r="47" spans="1:53" x14ac:dyDescent="0.5">
      <c r="A47" s="1">
        <v>45703</v>
      </c>
      <c r="B47" s="2">
        <v>4.5</v>
      </c>
      <c r="C47" s="272"/>
      <c r="D47" s="295"/>
      <c r="E47" s="58">
        <v>1</v>
      </c>
      <c r="F47" s="38" t="s">
        <v>176</v>
      </c>
      <c r="K47" s="38"/>
      <c r="AJ47" t="str">
        <f>TRIM(MID(SUBSTITUTE($F47, ",", REPT(" ", 100)), (COLUMNS($AH$2:AJ47)-1)*100+1, 100))</f>
        <v/>
      </c>
      <c r="AK47" s="1">
        <v>45703</v>
      </c>
      <c r="AL47" s="2">
        <v>4.5</v>
      </c>
      <c r="AM47" s="2">
        <v>6</v>
      </c>
      <c r="AO47" t="str">
        <f>TRIM(MID(SUBSTITUTE($F47, ",", REPT(" ", 100)), (COLUMNS($AH$2:AO47)-1)*100+1, 100))</f>
        <v/>
      </c>
      <c r="AP47" t="str">
        <f>TRIM(MID(SUBSTITUTE($F47, ",", REPT(" ", 100)), (COLUMNS($AH$2:AP47)-1)*100+1, 100))</f>
        <v/>
      </c>
      <c r="AQ47" t="str">
        <f>TRIM(MID(SUBSTITUTE($F47, ",", REPT(" ", 100)), (COLUMNS($AH$2:AQ47)-1)*100+1, 100))</f>
        <v/>
      </c>
      <c r="AR47" t="str">
        <f>TRIM(MID(SUBSTITUTE($F47, ",", REPT(" ", 100)), (COLUMNS($AH$2:AR47)-1)*100+1, 100))</f>
        <v/>
      </c>
      <c r="AS47" t="str">
        <f>TRIM(MID(SUBSTITUTE($F47, ",", REPT(" ", 100)), (COLUMNS($AH$2:AS47)-1)*100+1, 100))</f>
        <v/>
      </c>
      <c r="AT47" t="str">
        <f>TRIM(MID(SUBSTITUTE($F47, ",", REPT(" ", 100)), (COLUMNS($AH$2:AT47)-1)*100+1, 100))</f>
        <v/>
      </c>
      <c r="AU47" t="str">
        <f>TRIM(MID(SUBSTITUTE($F47, ",", REPT(" ", 100)), (COLUMNS($AH$2:AU47)-1)*100+1, 100))</f>
        <v/>
      </c>
      <c r="AV47" t="str">
        <f>TRIM(MID(SUBSTITUTE($F47, ",", REPT(" ", 100)), (COLUMNS($AH$2:AV47)-1)*100+1, 100))</f>
        <v/>
      </c>
      <c r="AW47" t="str">
        <f>TRIM(MID(SUBSTITUTE($F47, ",", REPT(" ", 100)), (COLUMNS($AH$2:AW47)-1)*100+1, 100))</f>
        <v/>
      </c>
      <c r="AX47" t="str">
        <f>TRIM(MID(SUBSTITUTE($F47, ",", REPT(" ", 100)), (COLUMNS($AH$2:AX47)-1)*100+1, 100))</f>
        <v/>
      </c>
      <c r="AY47" t="str">
        <f>TRIM(MID(SUBSTITUTE($F47, ",", REPT(" ", 100)), (COLUMNS($AH$2:AY47)-1)*100+1, 100))</f>
        <v/>
      </c>
      <c r="AZ47" t="str">
        <f>TRIM(MID(SUBSTITUTE($F47, ",", REPT(" ", 100)), (COLUMNS($AH$2:AZ47)-1)*100+1, 100))</f>
        <v/>
      </c>
      <c r="BA47" t="str">
        <f>TRIM(MID(SUBSTITUTE($F47, ",", REPT(" ", 100)), (COLUMNS($AH$2:BA47)-1)*100+1, 100))</f>
        <v/>
      </c>
    </row>
    <row r="48" spans="1:53" x14ac:dyDescent="0.5">
      <c r="A48" s="1">
        <v>45704</v>
      </c>
      <c r="B48" s="2">
        <v>6.6</v>
      </c>
      <c r="C48" s="272"/>
      <c r="D48" s="295"/>
      <c r="E48" s="58">
        <v>1</v>
      </c>
      <c r="F48" s="38" t="s">
        <v>176</v>
      </c>
      <c r="K48" s="38"/>
      <c r="AJ48" t="str">
        <f>TRIM(MID(SUBSTITUTE($F48, ",", REPT(" ", 100)), (COLUMNS($AH$2:AJ48)-1)*100+1, 100))</f>
        <v/>
      </c>
      <c r="AK48" s="1">
        <v>45704</v>
      </c>
      <c r="AL48" s="2">
        <v>6.6</v>
      </c>
      <c r="AM48" s="2">
        <v>2</v>
      </c>
      <c r="AO48" t="str">
        <f>TRIM(MID(SUBSTITUTE($F48, ",", REPT(" ", 100)), (COLUMNS($AH$2:AO48)-1)*100+1, 100))</f>
        <v/>
      </c>
      <c r="AP48" t="str">
        <f>TRIM(MID(SUBSTITUTE($F48, ",", REPT(" ", 100)), (COLUMNS($AH$2:AP48)-1)*100+1, 100))</f>
        <v/>
      </c>
      <c r="AQ48" t="str">
        <f>TRIM(MID(SUBSTITUTE($F48, ",", REPT(" ", 100)), (COLUMNS($AH$2:AQ48)-1)*100+1, 100))</f>
        <v/>
      </c>
      <c r="AR48" t="str">
        <f>TRIM(MID(SUBSTITUTE($F48, ",", REPT(" ", 100)), (COLUMNS($AH$2:AR48)-1)*100+1, 100))</f>
        <v/>
      </c>
      <c r="AS48" t="str">
        <f>TRIM(MID(SUBSTITUTE($F48, ",", REPT(" ", 100)), (COLUMNS($AH$2:AS48)-1)*100+1, 100))</f>
        <v/>
      </c>
      <c r="AT48" t="str">
        <f>TRIM(MID(SUBSTITUTE($F48, ",", REPT(" ", 100)), (COLUMNS($AH$2:AT48)-1)*100+1, 100))</f>
        <v/>
      </c>
      <c r="AU48" t="str">
        <f>TRIM(MID(SUBSTITUTE($F48, ",", REPT(" ", 100)), (COLUMNS($AH$2:AU48)-1)*100+1, 100))</f>
        <v/>
      </c>
      <c r="AV48" t="str">
        <f>TRIM(MID(SUBSTITUTE($F48, ",", REPT(" ", 100)), (COLUMNS($AH$2:AV48)-1)*100+1, 100))</f>
        <v/>
      </c>
      <c r="AW48" t="str">
        <f>TRIM(MID(SUBSTITUTE($F48, ",", REPT(" ", 100)), (COLUMNS($AH$2:AW48)-1)*100+1, 100))</f>
        <v/>
      </c>
      <c r="AX48" t="str">
        <f>TRIM(MID(SUBSTITUTE($F48, ",", REPT(" ", 100)), (COLUMNS($AH$2:AX48)-1)*100+1, 100))</f>
        <v/>
      </c>
      <c r="AY48" t="str">
        <f>TRIM(MID(SUBSTITUTE($F48, ",", REPT(" ", 100)), (COLUMNS($AH$2:AY48)-1)*100+1, 100))</f>
        <v/>
      </c>
      <c r="AZ48" t="str">
        <f>TRIM(MID(SUBSTITUTE($F48, ",", REPT(" ", 100)), (COLUMNS($AH$2:AZ48)-1)*100+1, 100))</f>
        <v/>
      </c>
      <c r="BA48" t="str">
        <f>TRIM(MID(SUBSTITUTE($F48, ",", REPT(" ", 100)), (COLUMNS($AH$2:BA48)-1)*100+1, 100))</f>
        <v/>
      </c>
    </row>
    <row r="49" spans="1:53" x14ac:dyDescent="0.5">
      <c r="A49" s="1">
        <v>45705</v>
      </c>
      <c r="B49" s="2">
        <v>7.5</v>
      </c>
      <c r="C49" s="272"/>
      <c r="D49" s="295"/>
      <c r="E49" s="58">
        <v>1</v>
      </c>
      <c r="F49" s="38" t="s">
        <v>176</v>
      </c>
      <c r="K49" s="38"/>
      <c r="AJ49" t="str">
        <f>TRIM(MID(SUBSTITUTE($F49, ",", REPT(" ", 100)), (COLUMNS($AH$2:AJ49)-1)*100+1, 100))</f>
        <v/>
      </c>
      <c r="AK49" s="1">
        <v>45705</v>
      </c>
      <c r="AL49" s="2">
        <v>7.5</v>
      </c>
      <c r="AM49" s="2">
        <v>4</v>
      </c>
      <c r="AO49" t="str">
        <f>TRIM(MID(SUBSTITUTE($F49, ",", REPT(" ", 100)), (COLUMNS($AH$2:AO49)-1)*100+1, 100))</f>
        <v/>
      </c>
      <c r="AP49" t="str">
        <f>TRIM(MID(SUBSTITUTE($F49, ",", REPT(" ", 100)), (COLUMNS($AH$2:AP49)-1)*100+1, 100))</f>
        <v/>
      </c>
      <c r="AQ49" t="str">
        <f>TRIM(MID(SUBSTITUTE($F49, ",", REPT(" ", 100)), (COLUMNS($AH$2:AQ49)-1)*100+1, 100))</f>
        <v/>
      </c>
      <c r="AR49" t="str">
        <f>TRIM(MID(SUBSTITUTE($F49, ",", REPT(" ", 100)), (COLUMNS($AH$2:AR49)-1)*100+1, 100))</f>
        <v/>
      </c>
      <c r="AS49" t="str">
        <f>TRIM(MID(SUBSTITUTE($F49, ",", REPT(" ", 100)), (COLUMNS($AH$2:AS49)-1)*100+1, 100))</f>
        <v/>
      </c>
      <c r="AT49" t="str">
        <f>TRIM(MID(SUBSTITUTE($F49, ",", REPT(" ", 100)), (COLUMNS($AH$2:AT49)-1)*100+1, 100))</f>
        <v/>
      </c>
      <c r="AU49" t="str">
        <f>TRIM(MID(SUBSTITUTE($F49, ",", REPT(" ", 100)), (COLUMNS($AH$2:AU49)-1)*100+1, 100))</f>
        <v/>
      </c>
      <c r="AV49" t="str">
        <f>TRIM(MID(SUBSTITUTE($F49, ",", REPT(" ", 100)), (COLUMNS($AH$2:AV49)-1)*100+1, 100))</f>
        <v/>
      </c>
      <c r="AW49" t="str">
        <f>TRIM(MID(SUBSTITUTE($F49, ",", REPT(" ", 100)), (COLUMNS($AH$2:AW49)-1)*100+1, 100))</f>
        <v/>
      </c>
      <c r="AX49" t="str">
        <f>TRIM(MID(SUBSTITUTE($F49, ",", REPT(" ", 100)), (COLUMNS($AH$2:AX49)-1)*100+1, 100))</f>
        <v/>
      </c>
      <c r="AY49" t="str">
        <f>TRIM(MID(SUBSTITUTE($F49, ",", REPT(" ", 100)), (COLUMNS($AH$2:AY49)-1)*100+1, 100))</f>
        <v/>
      </c>
      <c r="AZ49" t="str">
        <f>TRIM(MID(SUBSTITUTE($F49, ",", REPT(" ", 100)), (COLUMNS($AH$2:AZ49)-1)*100+1, 100))</f>
        <v/>
      </c>
      <c r="BA49" t="str">
        <f>TRIM(MID(SUBSTITUTE($F49, ",", REPT(" ", 100)), (COLUMNS($AH$2:BA49)-1)*100+1, 100))</f>
        <v/>
      </c>
    </row>
    <row r="50" spans="1:53" x14ac:dyDescent="0.5">
      <c r="A50" s="1">
        <v>45706</v>
      </c>
      <c r="B50" s="2">
        <v>5</v>
      </c>
      <c r="C50" s="272"/>
      <c r="D50" s="295"/>
      <c r="E50" s="58">
        <v>1</v>
      </c>
      <c r="F50" s="38" t="s">
        <v>176</v>
      </c>
      <c r="K50" s="38"/>
      <c r="AJ50" t="str">
        <f>TRIM(MID(SUBSTITUTE($F50, ",", REPT(" ", 100)), (COLUMNS($AH$2:AJ50)-1)*100+1, 100))</f>
        <v/>
      </c>
      <c r="AK50" s="1">
        <v>45706</v>
      </c>
      <c r="AL50" s="2">
        <v>5</v>
      </c>
      <c r="AM50" s="2">
        <v>4</v>
      </c>
      <c r="AO50" t="str">
        <f>TRIM(MID(SUBSTITUTE($F50, ",", REPT(" ", 100)), (COLUMNS($AH$2:AO50)-1)*100+1, 100))</f>
        <v/>
      </c>
      <c r="AP50" t="str">
        <f>TRIM(MID(SUBSTITUTE($F50, ",", REPT(" ", 100)), (COLUMNS($AH$2:AP50)-1)*100+1, 100))</f>
        <v/>
      </c>
      <c r="AQ50" t="str">
        <f>TRIM(MID(SUBSTITUTE($F50, ",", REPT(" ", 100)), (COLUMNS($AH$2:AQ50)-1)*100+1, 100))</f>
        <v/>
      </c>
      <c r="AR50" t="str">
        <f>TRIM(MID(SUBSTITUTE($F50, ",", REPT(" ", 100)), (COLUMNS($AH$2:AR50)-1)*100+1, 100))</f>
        <v/>
      </c>
      <c r="AS50" t="str">
        <f>TRIM(MID(SUBSTITUTE($F50, ",", REPT(" ", 100)), (COLUMNS($AH$2:AS50)-1)*100+1, 100))</f>
        <v/>
      </c>
      <c r="AT50" t="str">
        <f>TRIM(MID(SUBSTITUTE($F50, ",", REPT(" ", 100)), (COLUMNS($AH$2:AT50)-1)*100+1, 100))</f>
        <v/>
      </c>
      <c r="AU50" t="str">
        <f>TRIM(MID(SUBSTITUTE($F50, ",", REPT(" ", 100)), (COLUMNS($AH$2:AU50)-1)*100+1, 100))</f>
        <v/>
      </c>
      <c r="AV50" t="str">
        <f>TRIM(MID(SUBSTITUTE($F50, ",", REPT(" ", 100)), (COLUMNS($AH$2:AV50)-1)*100+1, 100))</f>
        <v/>
      </c>
      <c r="AW50" t="str">
        <f>TRIM(MID(SUBSTITUTE($F50, ",", REPT(" ", 100)), (COLUMNS($AH$2:AW50)-1)*100+1, 100))</f>
        <v/>
      </c>
      <c r="AX50" t="str">
        <f>TRIM(MID(SUBSTITUTE($F50, ",", REPT(" ", 100)), (COLUMNS($AH$2:AX50)-1)*100+1, 100))</f>
        <v/>
      </c>
      <c r="AY50" t="str">
        <f>TRIM(MID(SUBSTITUTE($F50, ",", REPT(" ", 100)), (COLUMNS($AH$2:AY50)-1)*100+1, 100))</f>
        <v/>
      </c>
      <c r="AZ50" t="str">
        <f>TRIM(MID(SUBSTITUTE($F50, ",", REPT(" ", 100)), (COLUMNS($AH$2:AZ50)-1)*100+1, 100))</f>
        <v/>
      </c>
      <c r="BA50" t="str">
        <f>TRIM(MID(SUBSTITUTE($F50, ",", REPT(" ", 100)), (COLUMNS($AH$2:BA50)-1)*100+1, 100))</f>
        <v/>
      </c>
    </row>
    <row r="51" spans="1:53" x14ac:dyDescent="0.5">
      <c r="A51" s="1">
        <v>45707</v>
      </c>
      <c r="B51" s="2">
        <v>4.8</v>
      </c>
      <c r="C51" s="272"/>
      <c r="D51" s="295"/>
      <c r="E51" s="58">
        <v>0</v>
      </c>
      <c r="F51" s="38" t="s">
        <v>176</v>
      </c>
      <c r="K51" s="38"/>
      <c r="T51" s="51" t="s">
        <v>7</v>
      </c>
      <c r="U51" s="51" t="s">
        <v>349</v>
      </c>
      <c r="V51" t="s">
        <v>350</v>
      </c>
      <c r="Z51" t="s">
        <v>377</v>
      </c>
      <c r="AA51" t="s">
        <v>378</v>
      </c>
      <c r="AB51" t="s">
        <v>377</v>
      </c>
      <c r="AC51" t="s">
        <v>378</v>
      </c>
      <c r="AJ51" t="str">
        <f>TRIM(MID(SUBSTITUTE($F51, ",", REPT(" ", 100)), (COLUMNS($AH$2:AJ51)-1)*100+1, 100))</f>
        <v/>
      </c>
      <c r="AK51" s="1">
        <v>45707</v>
      </c>
      <c r="AL51" s="2">
        <v>4.8</v>
      </c>
      <c r="AM51" s="2">
        <v>4</v>
      </c>
      <c r="AO51" t="str">
        <f>TRIM(MID(SUBSTITUTE($F51, ",", REPT(" ", 100)), (COLUMNS($AH$2:AO51)-1)*100+1, 100))</f>
        <v/>
      </c>
      <c r="AP51" t="str">
        <f>TRIM(MID(SUBSTITUTE($F51, ",", REPT(" ", 100)), (COLUMNS($AH$2:AP51)-1)*100+1, 100))</f>
        <v/>
      </c>
      <c r="AQ51" t="str">
        <f>TRIM(MID(SUBSTITUTE($F51, ",", REPT(" ", 100)), (COLUMNS($AH$2:AQ51)-1)*100+1, 100))</f>
        <v/>
      </c>
      <c r="AR51" t="str">
        <f>TRIM(MID(SUBSTITUTE($F51, ",", REPT(" ", 100)), (COLUMNS($AH$2:AR51)-1)*100+1, 100))</f>
        <v/>
      </c>
      <c r="AS51" t="str">
        <f>TRIM(MID(SUBSTITUTE($F51, ",", REPT(" ", 100)), (COLUMNS($AH$2:AS51)-1)*100+1, 100))</f>
        <v/>
      </c>
      <c r="AT51" t="str">
        <f>TRIM(MID(SUBSTITUTE($F51, ",", REPT(" ", 100)), (COLUMNS($AH$2:AT51)-1)*100+1, 100))</f>
        <v/>
      </c>
      <c r="AU51" t="str">
        <f>TRIM(MID(SUBSTITUTE($F51, ",", REPT(" ", 100)), (COLUMNS($AH$2:AU51)-1)*100+1, 100))</f>
        <v/>
      </c>
      <c r="AV51" t="str">
        <f>TRIM(MID(SUBSTITUTE($F51, ",", REPT(" ", 100)), (COLUMNS($AH$2:AV51)-1)*100+1, 100))</f>
        <v/>
      </c>
      <c r="AW51" t="str">
        <f>TRIM(MID(SUBSTITUTE($F51, ",", REPT(" ", 100)), (COLUMNS($AH$2:AW51)-1)*100+1, 100))</f>
        <v/>
      </c>
      <c r="AX51" t="str">
        <f>TRIM(MID(SUBSTITUTE($F51, ",", REPT(" ", 100)), (COLUMNS($AH$2:AX51)-1)*100+1, 100))</f>
        <v/>
      </c>
      <c r="AY51" t="str">
        <f>TRIM(MID(SUBSTITUTE($F51, ",", REPT(" ", 100)), (COLUMNS($AH$2:AY51)-1)*100+1, 100))</f>
        <v/>
      </c>
      <c r="AZ51" t="str">
        <f>TRIM(MID(SUBSTITUTE($F51, ",", REPT(" ", 100)), (COLUMNS($AH$2:AZ51)-1)*100+1, 100))</f>
        <v/>
      </c>
      <c r="BA51" t="str">
        <f>TRIM(MID(SUBSTITUTE($F51, ",", REPT(" ", 100)), (COLUMNS($AH$2:BA51)-1)*100+1, 100))</f>
        <v/>
      </c>
    </row>
    <row r="52" spans="1:53" x14ac:dyDescent="0.5">
      <c r="A52" s="1">
        <v>45708</v>
      </c>
      <c r="B52" s="2">
        <v>6.8</v>
      </c>
      <c r="C52" s="272"/>
      <c r="D52" s="295"/>
      <c r="E52" s="58">
        <v>1</v>
      </c>
      <c r="F52" s="38" t="s">
        <v>176</v>
      </c>
      <c r="K52" s="38"/>
      <c r="T52" s="56" t="s">
        <v>8</v>
      </c>
      <c r="U52" s="32">
        <v>5</v>
      </c>
      <c r="V52" s="29">
        <v>5.290322580645161</v>
      </c>
      <c r="W52" s="101">
        <f>U52-V52</f>
        <v>-0.29032258064516103</v>
      </c>
      <c r="Z52">
        <v>5</v>
      </c>
      <c r="AA52">
        <f>Z52*1.2</f>
        <v>6</v>
      </c>
      <c r="AB52">
        <f>Z52*100000/12</f>
        <v>41666.666666666664</v>
      </c>
      <c r="AC52">
        <f>AA52*100000/12</f>
        <v>50000</v>
      </c>
      <c r="AJ52" t="str">
        <f>TRIM(MID(SUBSTITUTE($F52, ",", REPT(" ", 100)), (COLUMNS($AH$2:AJ52)-1)*100+1, 100))</f>
        <v/>
      </c>
      <c r="AK52" s="1">
        <v>45708</v>
      </c>
      <c r="AL52" s="2">
        <v>6.8</v>
      </c>
      <c r="AM52" s="2">
        <v>0</v>
      </c>
      <c r="AO52" t="str">
        <f>TRIM(MID(SUBSTITUTE($F52, ",", REPT(" ", 100)), (COLUMNS($AH$2:AO52)-1)*100+1, 100))</f>
        <v/>
      </c>
      <c r="AP52" t="str">
        <f>TRIM(MID(SUBSTITUTE($F52, ",", REPT(" ", 100)), (COLUMNS($AH$2:AP52)-1)*100+1, 100))</f>
        <v/>
      </c>
      <c r="AQ52" t="str">
        <f>TRIM(MID(SUBSTITUTE($F52, ",", REPT(" ", 100)), (COLUMNS($AH$2:AQ52)-1)*100+1, 100))</f>
        <v/>
      </c>
      <c r="AR52" t="str">
        <f>TRIM(MID(SUBSTITUTE($F52, ",", REPT(" ", 100)), (COLUMNS($AH$2:AR52)-1)*100+1, 100))</f>
        <v/>
      </c>
      <c r="AS52" t="str">
        <f>TRIM(MID(SUBSTITUTE($F52, ",", REPT(" ", 100)), (COLUMNS($AH$2:AS52)-1)*100+1, 100))</f>
        <v/>
      </c>
      <c r="AT52" t="str">
        <f>TRIM(MID(SUBSTITUTE($F52, ",", REPT(" ", 100)), (COLUMNS($AH$2:AT52)-1)*100+1, 100))</f>
        <v/>
      </c>
      <c r="AU52" t="str">
        <f>TRIM(MID(SUBSTITUTE($F52, ",", REPT(" ", 100)), (COLUMNS($AH$2:AU52)-1)*100+1, 100))</f>
        <v/>
      </c>
      <c r="AV52" t="str">
        <f>TRIM(MID(SUBSTITUTE($F52, ",", REPT(" ", 100)), (COLUMNS($AH$2:AV52)-1)*100+1, 100))</f>
        <v/>
      </c>
      <c r="AW52" t="str">
        <f>TRIM(MID(SUBSTITUTE($F52, ",", REPT(" ", 100)), (COLUMNS($AH$2:AW52)-1)*100+1, 100))</f>
        <v/>
      </c>
      <c r="AX52" t="str">
        <f>TRIM(MID(SUBSTITUTE($F52, ",", REPT(" ", 100)), (COLUMNS($AH$2:AX52)-1)*100+1, 100))</f>
        <v/>
      </c>
      <c r="AY52" t="str">
        <f>TRIM(MID(SUBSTITUTE($F52, ",", REPT(" ", 100)), (COLUMNS($AH$2:AY52)-1)*100+1, 100))</f>
        <v/>
      </c>
      <c r="AZ52" t="str">
        <f>TRIM(MID(SUBSTITUTE($F52, ",", REPT(" ", 100)), (COLUMNS($AH$2:AZ52)-1)*100+1, 100))</f>
        <v/>
      </c>
      <c r="BA52" t="str">
        <f>TRIM(MID(SUBSTITUTE($F52, ",", REPT(" ", 100)), (COLUMNS($AH$2:BA52)-1)*100+1, 100))</f>
        <v/>
      </c>
    </row>
    <row r="53" spans="1:53" x14ac:dyDescent="0.5">
      <c r="A53" s="1">
        <v>45709</v>
      </c>
      <c r="B53" s="2">
        <v>2.2000000000000002</v>
      </c>
      <c r="C53" s="272"/>
      <c r="D53" s="295"/>
      <c r="E53" s="58">
        <v>1</v>
      </c>
      <c r="F53" s="38" t="s">
        <v>176</v>
      </c>
      <c r="K53" s="38"/>
      <c r="T53" s="56" t="s">
        <v>9</v>
      </c>
      <c r="U53" s="32">
        <v>4.7571428571428571</v>
      </c>
      <c r="V53" s="29">
        <v>4.4137931034482758</v>
      </c>
      <c r="W53" s="101">
        <f t="shared" ref="W53:W63" si="1">U53-V53</f>
        <v>0.34334975369458132</v>
      </c>
      <c r="Z53">
        <v>6</v>
      </c>
      <c r="AA53">
        <f t="shared" ref="AA53:AA59" si="2">Z53*1.2</f>
        <v>7.1999999999999993</v>
      </c>
      <c r="AB53">
        <f t="shared" ref="AB53:AB59" si="3">Z53*100000/12</f>
        <v>50000</v>
      </c>
      <c r="AC53">
        <f t="shared" ref="AC53:AC59" si="4">AA53*100000/12</f>
        <v>59999.999999999993</v>
      </c>
      <c r="AJ53" t="str">
        <f>TRIM(MID(SUBSTITUTE($F53, ",", REPT(" ", 100)), (COLUMNS($AH$2:AJ53)-1)*100+1, 100))</f>
        <v/>
      </c>
      <c r="AK53" s="1">
        <v>45709</v>
      </c>
      <c r="AL53" s="2">
        <v>2.2000000000000002</v>
      </c>
      <c r="AM53" s="2">
        <v>0</v>
      </c>
      <c r="AO53" t="str">
        <f>TRIM(MID(SUBSTITUTE($F53, ",", REPT(" ", 100)), (COLUMNS($AH$2:AO53)-1)*100+1, 100))</f>
        <v/>
      </c>
      <c r="AP53" t="str">
        <f>TRIM(MID(SUBSTITUTE($F53, ",", REPT(" ", 100)), (COLUMNS($AH$2:AP53)-1)*100+1, 100))</f>
        <v/>
      </c>
      <c r="AQ53" t="str">
        <f>TRIM(MID(SUBSTITUTE($F53, ",", REPT(" ", 100)), (COLUMNS($AH$2:AQ53)-1)*100+1, 100))</f>
        <v/>
      </c>
      <c r="AR53" t="str">
        <f>TRIM(MID(SUBSTITUTE($F53, ",", REPT(" ", 100)), (COLUMNS($AH$2:AR53)-1)*100+1, 100))</f>
        <v/>
      </c>
      <c r="AS53" t="str">
        <f>TRIM(MID(SUBSTITUTE($F53, ",", REPT(" ", 100)), (COLUMNS($AH$2:AS53)-1)*100+1, 100))</f>
        <v/>
      </c>
      <c r="AT53" t="str">
        <f>TRIM(MID(SUBSTITUTE($F53, ",", REPT(" ", 100)), (COLUMNS($AH$2:AT53)-1)*100+1, 100))</f>
        <v/>
      </c>
      <c r="AU53" t="str">
        <f>TRIM(MID(SUBSTITUTE($F53, ",", REPT(" ", 100)), (COLUMNS($AH$2:AU53)-1)*100+1, 100))</f>
        <v/>
      </c>
      <c r="AV53" t="str">
        <f>TRIM(MID(SUBSTITUTE($F53, ",", REPT(" ", 100)), (COLUMNS($AH$2:AV53)-1)*100+1, 100))</f>
        <v/>
      </c>
      <c r="AW53" t="str">
        <f>TRIM(MID(SUBSTITUTE($F53, ",", REPT(" ", 100)), (COLUMNS($AH$2:AW53)-1)*100+1, 100))</f>
        <v/>
      </c>
      <c r="AX53" t="str">
        <f>TRIM(MID(SUBSTITUTE($F53, ",", REPT(" ", 100)), (COLUMNS($AH$2:AX53)-1)*100+1, 100))</f>
        <v/>
      </c>
      <c r="AY53" t="str">
        <f>TRIM(MID(SUBSTITUTE($F53, ",", REPT(" ", 100)), (COLUMNS($AH$2:AY53)-1)*100+1, 100))</f>
        <v/>
      </c>
      <c r="AZ53" t="str">
        <f>TRIM(MID(SUBSTITUTE($F53, ",", REPT(" ", 100)), (COLUMNS($AH$2:AZ53)-1)*100+1, 100))</f>
        <v/>
      </c>
      <c r="BA53" t="str">
        <f>TRIM(MID(SUBSTITUTE($F53, ",", REPT(" ", 100)), (COLUMNS($AH$2:BA53)-1)*100+1, 100))</f>
        <v/>
      </c>
    </row>
    <row r="54" spans="1:53" x14ac:dyDescent="0.5">
      <c r="A54" s="1">
        <v>45710</v>
      </c>
      <c r="B54" s="2">
        <v>5.5</v>
      </c>
      <c r="C54" s="272"/>
      <c r="D54" s="295"/>
      <c r="E54" s="58">
        <v>0</v>
      </c>
      <c r="F54" s="38" t="s">
        <v>176</v>
      </c>
      <c r="K54" s="38"/>
      <c r="T54" s="56" t="s">
        <v>10</v>
      </c>
      <c r="U54" s="32">
        <v>5.1967741935483867</v>
      </c>
      <c r="V54" s="29">
        <v>5.5483870967741939</v>
      </c>
      <c r="W54" s="101">
        <f t="shared" si="1"/>
        <v>-0.35161290322580729</v>
      </c>
      <c r="Z54">
        <v>7</v>
      </c>
      <c r="AA54">
        <f t="shared" si="2"/>
        <v>8.4</v>
      </c>
      <c r="AB54">
        <f t="shared" si="3"/>
        <v>58333.333333333336</v>
      </c>
      <c r="AC54">
        <f t="shared" si="4"/>
        <v>70000</v>
      </c>
      <c r="AJ54" t="str">
        <f>TRIM(MID(SUBSTITUTE($F54, ",", REPT(" ", 100)), (COLUMNS($AH$2:AJ54)-1)*100+1, 100))</f>
        <v/>
      </c>
      <c r="AK54" s="1">
        <v>45710</v>
      </c>
      <c r="AL54" s="2">
        <v>5.5</v>
      </c>
      <c r="AM54" s="2">
        <v>2</v>
      </c>
      <c r="AO54" t="str">
        <f>TRIM(MID(SUBSTITUTE($F54, ",", REPT(" ", 100)), (COLUMNS($AH$2:AO54)-1)*100+1, 100))</f>
        <v/>
      </c>
      <c r="AP54" t="str">
        <f>TRIM(MID(SUBSTITUTE($F54, ",", REPT(" ", 100)), (COLUMNS($AH$2:AP54)-1)*100+1, 100))</f>
        <v/>
      </c>
      <c r="AQ54" t="str">
        <f>TRIM(MID(SUBSTITUTE($F54, ",", REPT(" ", 100)), (COLUMNS($AH$2:AQ54)-1)*100+1, 100))</f>
        <v/>
      </c>
      <c r="AR54" t="str">
        <f>TRIM(MID(SUBSTITUTE($F54, ",", REPT(" ", 100)), (COLUMNS($AH$2:AR54)-1)*100+1, 100))</f>
        <v/>
      </c>
      <c r="AS54" t="str">
        <f>TRIM(MID(SUBSTITUTE($F54, ",", REPT(" ", 100)), (COLUMNS($AH$2:AS54)-1)*100+1, 100))</f>
        <v/>
      </c>
      <c r="AT54" t="str">
        <f>TRIM(MID(SUBSTITUTE($F54, ",", REPT(" ", 100)), (COLUMNS($AH$2:AT54)-1)*100+1, 100))</f>
        <v/>
      </c>
      <c r="AU54" t="str">
        <f>TRIM(MID(SUBSTITUTE($F54, ",", REPT(" ", 100)), (COLUMNS($AH$2:AU54)-1)*100+1, 100))</f>
        <v/>
      </c>
      <c r="AV54" t="str">
        <f>TRIM(MID(SUBSTITUTE($F54, ",", REPT(" ", 100)), (COLUMNS($AH$2:AV54)-1)*100+1, 100))</f>
        <v/>
      </c>
      <c r="AW54" t="str">
        <f>TRIM(MID(SUBSTITUTE($F54, ",", REPT(" ", 100)), (COLUMNS($AH$2:AW54)-1)*100+1, 100))</f>
        <v/>
      </c>
      <c r="AX54" t="str">
        <f>TRIM(MID(SUBSTITUTE($F54, ",", REPT(" ", 100)), (COLUMNS($AH$2:AX54)-1)*100+1, 100))</f>
        <v/>
      </c>
      <c r="AY54" t="str">
        <f>TRIM(MID(SUBSTITUTE($F54, ",", REPT(" ", 100)), (COLUMNS($AH$2:AY54)-1)*100+1, 100))</f>
        <v/>
      </c>
      <c r="AZ54" t="str">
        <f>TRIM(MID(SUBSTITUTE($F54, ",", REPT(" ", 100)), (COLUMNS($AH$2:AZ54)-1)*100+1, 100))</f>
        <v/>
      </c>
      <c r="BA54" t="str">
        <f>TRIM(MID(SUBSTITUTE($F54, ",", REPT(" ", 100)), (COLUMNS($AH$2:BA54)-1)*100+1, 100))</f>
        <v/>
      </c>
    </row>
    <row r="55" spans="1:53" x14ac:dyDescent="0.5">
      <c r="A55" s="1">
        <v>45711</v>
      </c>
      <c r="B55" s="2">
        <v>4.5</v>
      </c>
      <c r="C55" s="272"/>
      <c r="D55" s="295"/>
      <c r="E55" s="58">
        <v>1</v>
      </c>
      <c r="F55" s="38" t="s">
        <v>176</v>
      </c>
      <c r="K55" s="38"/>
      <c r="T55" s="56" t="s">
        <v>11</v>
      </c>
      <c r="U55" s="32">
        <v>4.8866666666666676</v>
      </c>
      <c r="V55" s="29">
        <v>4.4666666666666668</v>
      </c>
      <c r="W55" s="101">
        <f t="shared" si="1"/>
        <v>0.42000000000000082</v>
      </c>
      <c r="Z55">
        <v>8</v>
      </c>
      <c r="AA55">
        <f t="shared" si="2"/>
        <v>9.6</v>
      </c>
      <c r="AB55">
        <f t="shared" si="3"/>
        <v>66666.666666666672</v>
      </c>
      <c r="AC55">
        <f t="shared" si="4"/>
        <v>80000</v>
      </c>
      <c r="AJ55" t="str">
        <f>TRIM(MID(SUBSTITUTE($F55, ",", REPT(" ", 100)), (COLUMNS($AH$2:AJ55)-1)*100+1, 100))</f>
        <v/>
      </c>
      <c r="AK55" s="1">
        <v>45711</v>
      </c>
      <c r="AL55" s="2">
        <v>4.5</v>
      </c>
      <c r="AM55" s="2">
        <v>4</v>
      </c>
      <c r="AO55" t="str">
        <f>TRIM(MID(SUBSTITUTE($F55, ",", REPT(" ", 100)), (COLUMNS($AH$2:AO55)-1)*100+1, 100))</f>
        <v/>
      </c>
      <c r="AP55" t="str">
        <f>TRIM(MID(SUBSTITUTE($F55, ",", REPT(" ", 100)), (COLUMNS($AH$2:AP55)-1)*100+1, 100))</f>
        <v/>
      </c>
      <c r="AQ55" t="str">
        <f>TRIM(MID(SUBSTITUTE($F55, ",", REPT(" ", 100)), (COLUMNS($AH$2:AQ55)-1)*100+1, 100))</f>
        <v/>
      </c>
      <c r="AR55" t="str">
        <f>TRIM(MID(SUBSTITUTE($F55, ",", REPT(" ", 100)), (COLUMNS($AH$2:AR55)-1)*100+1, 100))</f>
        <v/>
      </c>
      <c r="AS55" t="str">
        <f>TRIM(MID(SUBSTITUTE($F55, ",", REPT(" ", 100)), (COLUMNS($AH$2:AS55)-1)*100+1, 100))</f>
        <v/>
      </c>
      <c r="AT55" t="str">
        <f>TRIM(MID(SUBSTITUTE($F55, ",", REPT(" ", 100)), (COLUMNS($AH$2:AT55)-1)*100+1, 100))</f>
        <v/>
      </c>
      <c r="AU55" t="str">
        <f>TRIM(MID(SUBSTITUTE($F55, ",", REPT(" ", 100)), (COLUMNS($AH$2:AU55)-1)*100+1, 100))</f>
        <v/>
      </c>
      <c r="AV55" t="str">
        <f>TRIM(MID(SUBSTITUTE($F55, ",", REPT(" ", 100)), (COLUMNS($AH$2:AV55)-1)*100+1, 100))</f>
        <v/>
      </c>
      <c r="AW55" t="str">
        <f>TRIM(MID(SUBSTITUTE($F55, ",", REPT(" ", 100)), (COLUMNS($AH$2:AW55)-1)*100+1, 100))</f>
        <v/>
      </c>
      <c r="AX55" t="str">
        <f>TRIM(MID(SUBSTITUTE($F55, ",", REPT(" ", 100)), (COLUMNS($AH$2:AX55)-1)*100+1, 100))</f>
        <v/>
      </c>
      <c r="AY55" t="str">
        <f>TRIM(MID(SUBSTITUTE($F55, ",", REPT(" ", 100)), (COLUMNS($AH$2:AY55)-1)*100+1, 100))</f>
        <v/>
      </c>
      <c r="AZ55" t="str">
        <f>TRIM(MID(SUBSTITUTE($F55, ",", REPT(" ", 100)), (COLUMNS($AH$2:AZ55)-1)*100+1, 100))</f>
        <v/>
      </c>
      <c r="BA55" t="str">
        <f>TRIM(MID(SUBSTITUTE($F55, ",", REPT(" ", 100)), (COLUMNS($AH$2:BA55)-1)*100+1, 100))</f>
        <v/>
      </c>
    </row>
    <row r="56" spans="1:53" x14ac:dyDescent="0.5">
      <c r="A56" s="1">
        <v>45712</v>
      </c>
      <c r="B56" s="2">
        <v>6.5</v>
      </c>
      <c r="C56" s="272"/>
      <c r="D56" s="295"/>
      <c r="E56" s="58">
        <v>1</v>
      </c>
      <c r="F56" s="38" t="s">
        <v>176</v>
      </c>
      <c r="T56" s="56" t="s">
        <v>12</v>
      </c>
      <c r="U56" s="32">
        <v>5.8967741935483877</v>
      </c>
      <c r="V56" s="29">
        <v>6.129032258064516</v>
      </c>
      <c r="W56" s="101">
        <f t="shared" si="1"/>
        <v>-0.23225806451612829</v>
      </c>
      <c r="Z56">
        <v>9</v>
      </c>
      <c r="AA56">
        <f t="shared" si="2"/>
        <v>10.799999999999999</v>
      </c>
      <c r="AB56">
        <f t="shared" si="3"/>
        <v>75000</v>
      </c>
      <c r="AC56">
        <f t="shared" si="4"/>
        <v>90000</v>
      </c>
      <c r="AJ56" t="str">
        <f>TRIM(MID(SUBSTITUTE($F56, ",", REPT(" ", 100)), (COLUMNS($AH$2:AJ56)-1)*100+1, 100))</f>
        <v/>
      </c>
      <c r="AK56" s="1">
        <v>45712</v>
      </c>
      <c r="AL56" s="2">
        <v>6.5</v>
      </c>
      <c r="AM56" s="2">
        <v>4</v>
      </c>
      <c r="AO56" t="str">
        <f>TRIM(MID(SUBSTITUTE($F56, ",", REPT(" ", 100)), (COLUMNS($AH$2:AO56)-1)*100+1, 100))</f>
        <v/>
      </c>
      <c r="AP56" t="str">
        <f>TRIM(MID(SUBSTITUTE($F56, ",", REPT(" ", 100)), (COLUMNS($AH$2:AP56)-1)*100+1, 100))</f>
        <v/>
      </c>
      <c r="AQ56" t="str">
        <f>TRIM(MID(SUBSTITUTE($F56, ",", REPT(" ", 100)), (COLUMNS($AH$2:AQ56)-1)*100+1, 100))</f>
        <v/>
      </c>
      <c r="AR56" t="str">
        <f>TRIM(MID(SUBSTITUTE($F56, ",", REPT(" ", 100)), (COLUMNS($AH$2:AR56)-1)*100+1, 100))</f>
        <v/>
      </c>
      <c r="AS56" t="str">
        <f>TRIM(MID(SUBSTITUTE($F56, ",", REPT(" ", 100)), (COLUMNS($AH$2:AS56)-1)*100+1, 100))</f>
        <v/>
      </c>
      <c r="AT56" t="str">
        <f>TRIM(MID(SUBSTITUTE($F56, ",", REPT(" ", 100)), (COLUMNS($AH$2:AT56)-1)*100+1, 100))</f>
        <v/>
      </c>
      <c r="AU56" t="str">
        <f>TRIM(MID(SUBSTITUTE($F56, ",", REPT(" ", 100)), (COLUMNS($AH$2:AU56)-1)*100+1, 100))</f>
        <v/>
      </c>
      <c r="AV56" t="str">
        <f>TRIM(MID(SUBSTITUTE($F56, ",", REPT(" ", 100)), (COLUMNS($AH$2:AV56)-1)*100+1, 100))</f>
        <v/>
      </c>
      <c r="AW56" t="str">
        <f>TRIM(MID(SUBSTITUTE($F56, ",", REPT(" ", 100)), (COLUMNS($AH$2:AW56)-1)*100+1, 100))</f>
        <v/>
      </c>
      <c r="AX56" t="str">
        <f>TRIM(MID(SUBSTITUTE($F56, ",", REPT(" ", 100)), (COLUMNS($AH$2:AX56)-1)*100+1, 100))</f>
        <v/>
      </c>
      <c r="AY56" t="str">
        <f>TRIM(MID(SUBSTITUTE($F56, ",", REPT(" ", 100)), (COLUMNS($AH$2:AY56)-1)*100+1, 100))</f>
        <v/>
      </c>
      <c r="AZ56" t="str">
        <f>TRIM(MID(SUBSTITUTE($F56, ",", REPT(" ", 100)), (COLUMNS($AH$2:AZ56)-1)*100+1, 100))</f>
        <v/>
      </c>
      <c r="BA56" t="str">
        <f>TRIM(MID(SUBSTITUTE($F56, ",", REPT(" ", 100)), (COLUMNS($AH$2:BA56)-1)*100+1, 100))</f>
        <v/>
      </c>
    </row>
    <row r="57" spans="1:53" x14ac:dyDescent="0.5">
      <c r="A57" s="1">
        <v>45713</v>
      </c>
      <c r="B57" s="2">
        <v>4.5</v>
      </c>
      <c r="C57" s="272"/>
      <c r="D57" s="295"/>
      <c r="E57" s="58">
        <v>1</v>
      </c>
      <c r="F57" s="38" t="s">
        <v>176</v>
      </c>
      <c r="T57" s="56" t="s">
        <v>13</v>
      </c>
      <c r="U57" s="32">
        <v>4.8600000000000003</v>
      </c>
      <c r="V57" s="29">
        <v>5.333333333333333</v>
      </c>
      <c r="W57" s="101">
        <f t="shared" si="1"/>
        <v>-0.47333333333333272</v>
      </c>
      <c r="Z57">
        <v>10</v>
      </c>
      <c r="AA57">
        <f t="shared" si="2"/>
        <v>12</v>
      </c>
      <c r="AB57">
        <f t="shared" si="3"/>
        <v>83333.333333333328</v>
      </c>
      <c r="AC57">
        <f t="shared" si="4"/>
        <v>100000</v>
      </c>
      <c r="AJ57" t="str">
        <f>TRIM(MID(SUBSTITUTE($F57, ",", REPT(" ", 100)), (COLUMNS($AH$2:AJ57)-1)*100+1, 100))</f>
        <v/>
      </c>
      <c r="AK57" s="1">
        <v>45713</v>
      </c>
      <c r="AL57" s="2">
        <v>4.5</v>
      </c>
      <c r="AM57" s="2">
        <v>6</v>
      </c>
      <c r="AO57" t="str">
        <f>TRIM(MID(SUBSTITUTE($F57, ",", REPT(" ", 100)), (COLUMNS($AH$2:AO57)-1)*100+1, 100))</f>
        <v/>
      </c>
      <c r="AP57" t="str">
        <f>TRIM(MID(SUBSTITUTE($F57, ",", REPT(" ", 100)), (COLUMNS($AH$2:AP57)-1)*100+1, 100))</f>
        <v/>
      </c>
      <c r="AQ57" t="str">
        <f>TRIM(MID(SUBSTITUTE($F57, ",", REPT(" ", 100)), (COLUMNS($AH$2:AQ57)-1)*100+1, 100))</f>
        <v/>
      </c>
      <c r="AR57" t="str">
        <f>TRIM(MID(SUBSTITUTE($F57, ",", REPT(" ", 100)), (COLUMNS($AH$2:AR57)-1)*100+1, 100))</f>
        <v/>
      </c>
      <c r="AS57" t="str">
        <f>TRIM(MID(SUBSTITUTE($F57, ",", REPT(" ", 100)), (COLUMNS($AH$2:AS57)-1)*100+1, 100))</f>
        <v/>
      </c>
      <c r="AT57" t="str">
        <f>TRIM(MID(SUBSTITUTE($F57, ",", REPT(" ", 100)), (COLUMNS($AH$2:AT57)-1)*100+1, 100))</f>
        <v/>
      </c>
      <c r="AU57" t="str">
        <f>TRIM(MID(SUBSTITUTE($F57, ",", REPT(" ", 100)), (COLUMNS($AH$2:AU57)-1)*100+1, 100))</f>
        <v/>
      </c>
      <c r="AV57" t="str">
        <f>TRIM(MID(SUBSTITUTE($F57, ",", REPT(" ", 100)), (COLUMNS($AH$2:AV57)-1)*100+1, 100))</f>
        <v/>
      </c>
      <c r="AW57" t="str">
        <f>TRIM(MID(SUBSTITUTE($F57, ",", REPT(" ", 100)), (COLUMNS($AH$2:AW57)-1)*100+1, 100))</f>
        <v/>
      </c>
      <c r="AX57" t="str">
        <f>TRIM(MID(SUBSTITUTE($F57, ",", REPT(" ", 100)), (COLUMNS($AH$2:AX57)-1)*100+1, 100))</f>
        <v/>
      </c>
      <c r="AY57" t="str">
        <f>TRIM(MID(SUBSTITUTE($F57, ",", REPT(" ", 100)), (COLUMNS($AH$2:AY57)-1)*100+1, 100))</f>
        <v/>
      </c>
      <c r="AZ57" t="str">
        <f>TRIM(MID(SUBSTITUTE($F57, ",", REPT(" ", 100)), (COLUMNS($AH$2:AZ57)-1)*100+1, 100))</f>
        <v/>
      </c>
      <c r="BA57" t="str">
        <f>TRIM(MID(SUBSTITUTE($F57, ",", REPT(" ", 100)), (COLUMNS($AH$2:BA57)-1)*100+1, 100))</f>
        <v/>
      </c>
    </row>
    <row r="58" spans="1:53" x14ac:dyDescent="0.5">
      <c r="A58" s="1">
        <v>45714</v>
      </c>
      <c r="B58" s="2">
        <v>7.5</v>
      </c>
      <c r="C58" s="272"/>
      <c r="D58" s="295"/>
      <c r="E58" s="58">
        <v>0</v>
      </c>
      <c r="F58" s="38" t="s">
        <v>176</v>
      </c>
      <c r="M58" s="38"/>
      <c r="T58" s="56" t="s">
        <v>14</v>
      </c>
      <c r="U58" s="32">
        <v>5.3903225806451607</v>
      </c>
      <c r="V58" s="29">
        <v>5.032258064516129</v>
      </c>
      <c r="W58" s="101">
        <f t="shared" si="1"/>
        <v>0.35806451612903167</v>
      </c>
      <c r="Z58">
        <v>11</v>
      </c>
      <c r="AA58">
        <f t="shared" si="2"/>
        <v>13.2</v>
      </c>
      <c r="AB58">
        <f t="shared" si="3"/>
        <v>91666.666666666672</v>
      </c>
      <c r="AC58">
        <f t="shared" si="4"/>
        <v>110000</v>
      </c>
      <c r="AJ58" t="str">
        <f>TRIM(MID(SUBSTITUTE($F58, ",", REPT(" ", 100)), (COLUMNS($AH$2:AJ58)-1)*100+1, 100))</f>
        <v/>
      </c>
      <c r="AK58" s="1">
        <v>45714</v>
      </c>
      <c r="AL58" s="2">
        <v>7.5</v>
      </c>
      <c r="AM58" s="2">
        <v>4</v>
      </c>
      <c r="AO58" t="str">
        <f>TRIM(MID(SUBSTITUTE($F58, ",", REPT(" ", 100)), (COLUMNS($AH$2:AO58)-1)*100+1, 100))</f>
        <v/>
      </c>
      <c r="AP58" t="str">
        <f>TRIM(MID(SUBSTITUTE($F58, ",", REPT(" ", 100)), (COLUMNS($AH$2:AP58)-1)*100+1, 100))</f>
        <v/>
      </c>
      <c r="AQ58" t="str">
        <f>TRIM(MID(SUBSTITUTE($F58, ",", REPT(" ", 100)), (COLUMNS($AH$2:AQ58)-1)*100+1, 100))</f>
        <v/>
      </c>
      <c r="AR58" t="str">
        <f>TRIM(MID(SUBSTITUTE($F58, ",", REPT(" ", 100)), (COLUMNS($AH$2:AR58)-1)*100+1, 100))</f>
        <v/>
      </c>
      <c r="AS58" t="str">
        <f>TRIM(MID(SUBSTITUTE($F58, ",", REPT(" ", 100)), (COLUMNS($AH$2:AS58)-1)*100+1, 100))</f>
        <v/>
      </c>
      <c r="AT58" t="str">
        <f>TRIM(MID(SUBSTITUTE($F58, ",", REPT(" ", 100)), (COLUMNS($AH$2:AT58)-1)*100+1, 100))</f>
        <v/>
      </c>
      <c r="AU58" t="str">
        <f>TRIM(MID(SUBSTITUTE($F58, ",", REPT(" ", 100)), (COLUMNS($AH$2:AU58)-1)*100+1, 100))</f>
        <v/>
      </c>
      <c r="AV58" t="str">
        <f>TRIM(MID(SUBSTITUTE($F58, ",", REPT(" ", 100)), (COLUMNS($AH$2:AV58)-1)*100+1, 100))</f>
        <v/>
      </c>
      <c r="AW58" t="str">
        <f>TRIM(MID(SUBSTITUTE($F58, ",", REPT(" ", 100)), (COLUMNS($AH$2:AW58)-1)*100+1, 100))</f>
        <v/>
      </c>
      <c r="AX58" t="str">
        <f>TRIM(MID(SUBSTITUTE($F58, ",", REPT(" ", 100)), (COLUMNS($AH$2:AX58)-1)*100+1, 100))</f>
        <v/>
      </c>
      <c r="AY58" t="str">
        <f>TRIM(MID(SUBSTITUTE($F58, ",", REPT(" ", 100)), (COLUMNS($AH$2:AY58)-1)*100+1, 100))</f>
        <v/>
      </c>
      <c r="AZ58" t="str">
        <f>TRIM(MID(SUBSTITUTE($F58, ",", REPT(" ", 100)), (COLUMNS($AH$2:AZ58)-1)*100+1, 100))</f>
        <v/>
      </c>
      <c r="BA58" t="str">
        <f>TRIM(MID(SUBSTITUTE($F58, ",", REPT(" ", 100)), (COLUMNS($AH$2:BA58)-1)*100+1, 100))</f>
        <v/>
      </c>
    </row>
    <row r="59" spans="1:53" x14ac:dyDescent="0.5">
      <c r="A59" s="1">
        <v>45715</v>
      </c>
      <c r="B59" s="2">
        <v>5</v>
      </c>
      <c r="C59" s="272"/>
      <c r="D59" s="295"/>
      <c r="E59" s="58">
        <v>1</v>
      </c>
      <c r="F59" s="38" t="s">
        <v>176</v>
      </c>
      <c r="M59" s="38"/>
      <c r="T59" s="56" t="s">
        <v>15</v>
      </c>
      <c r="U59" s="32">
        <f>M12</f>
        <v>4.6545454545454543</v>
      </c>
      <c r="V59" s="29">
        <v>4.967741935483871</v>
      </c>
      <c r="W59" s="101">
        <f t="shared" si="1"/>
        <v>-0.31319648093841668</v>
      </c>
      <c r="Z59">
        <v>12</v>
      </c>
      <c r="AA59">
        <f t="shared" si="2"/>
        <v>14.399999999999999</v>
      </c>
      <c r="AB59">
        <f t="shared" si="3"/>
        <v>100000</v>
      </c>
      <c r="AC59">
        <f t="shared" si="4"/>
        <v>119999.99999999999</v>
      </c>
      <c r="AJ59" t="str">
        <f>TRIM(MID(SUBSTITUTE($F59, ",", REPT(" ", 100)), (COLUMNS($AH$2:AJ59)-1)*100+1, 100))</f>
        <v/>
      </c>
      <c r="AK59" s="1">
        <v>45715</v>
      </c>
      <c r="AL59" s="2">
        <v>5</v>
      </c>
      <c r="AM59" s="2">
        <v>4</v>
      </c>
      <c r="AO59" t="str">
        <f>TRIM(MID(SUBSTITUTE($F59, ",", REPT(" ", 100)), (COLUMNS($AH$2:AO59)-1)*100+1, 100))</f>
        <v/>
      </c>
      <c r="AP59" t="str">
        <f>TRIM(MID(SUBSTITUTE($F59, ",", REPT(" ", 100)), (COLUMNS($AH$2:AP59)-1)*100+1, 100))</f>
        <v/>
      </c>
      <c r="AQ59" t="str">
        <f>TRIM(MID(SUBSTITUTE($F59, ",", REPT(" ", 100)), (COLUMNS($AH$2:AQ59)-1)*100+1, 100))</f>
        <v/>
      </c>
      <c r="AR59" t="str">
        <f>TRIM(MID(SUBSTITUTE($F59, ",", REPT(" ", 100)), (COLUMNS($AH$2:AR59)-1)*100+1, 100))</f>
        <v/>
      </c>
      <c r="AS59" t="str">
        <f>TRIM(MID(SUBSTITUTE($F59, ",", REPT(" ", 100)), (COLUMNS($AH$2:AS59)-1)*100+1, 100))</f>
        <v/>
      </c>
      <c r="AT59" t="str">
        <f>TRIM(MID(SUBSTITUTE($F59, ",", REPT(" ", 100)), (COLUMNS($AH$2:AT59)-1)*100+1, 100))</f>
        <v/>
      </c>
      <c r="AU59" t="str">
        <f>TRIM(MID(SUBSTITUTE($F59, ",", REPT(" ", 100)), (COLUMNS($AH$2:AU59)-1)*100+1, 100))</f>
        <v/>
      </c>
      <c r="AV59" t="str">
        <f>TRIM(MID(SUBSTITUTE($F59, ",", REPT(" ", 100)), (COLUMNS($AH$2:AV59)-1)*100+1, 100))</f>
        <v/>
      </c>
      <c r="AW59" t="str">
        <f>TRIM(MID(SUBSTITUTE($F59, ",", REPT(" ", 100)), (COLUMNS($AH$2:AW59)-1)*100+1, 100))</f>
        <v/>
      </c>
      <c r="AX59" t="str">
        <f>TRIM(MID(SUBSTITUTE($F59, ",", REPT(" ", 100)), (COLUMNS($AH$2:AX59)-1)*100+1, 100))</f>
        <v/>
      </c>
      <c r="AY59" t="str">
        <f>TRIM(MID(SUBSTITUTE($F59, ",", REPT(" ", 100)), (COLUMNS($AH$2:AY59)-1)*100+1, 100))</f>
        <v/>
      </c>
      <c r="AZ59" t="str">
        <f>TRIM(MID(SUBSTITUTE($F59, ",", REPT(" ", 100)), (COLUMNS($AH$2:AZ59)-1)*100+1, 100))</f>
        <v/>
      </c>
      <c r="BA59" t="str">
        <f>TRIM(MID(SUBSTITUTE($F59, ",", REPT(" ", 100)), (COLUMNS($AH$2:BA59)-1)*100+1, 100))</f>
        <v/>
      </c>
    </row>
    <row r="60" spans="1:53" x14ac:dyDescent="0.5">
      <c r="A60" s="1">
        <v>45716</v>
      </c>
      <c r="B60" s="2">
        <v>5.5</v>
      </c>
      <c r="C60" s="272"/>
      <c r="D60" s="295"/>
      <c r="E60" s="58">
        <v>1</v>
      </c>
      <c r="F60" s="38" t="s">
        <v>176</v>
      </c>
      <c r="M60" s="38"/>
      <c r="T60" s="56" t="s">
        <v>16</v>
      </c>
      <c r="U60" s="32">
        <f>M13</f>
        <v>5.8166666666666673</v>
      </c>
      <c r="V60" s="29">
        <v>5.2666666666666666</v>
      </c>
      <c r="W60" s="101">
        <f t="shared" si="1"/>
        <v>0.55000000000000071</v>
      </c>
      <c r="AJ60" t="str">
        <f>TRIM(MID(SUBSTITUTE($F60, ",", REPT(" ", 100)), (COLUMNS($AH$2:AJ60)-1)*100+1, 100))</f>
        <v/>
      </c>
      <c r="AK60" s="1">
        <v>45716</v>
      </c>
      <c r="AL60" s="2">
        <v>5.5</v>
      </c>
      <c r="AM60" s="2">
        <v>4</v>
      </c>
      <c r="AO60" t="str">
        <f>TRIM(MID(SUBSTITUTE($F60, ",", REPT(" ", 100)), (COLUMNS($AH$2:AO60)-1)*100+1, 100))</f>
        <v/>
      </c>
      <c r="AP60" t="str">
        <f>TRIM(MID(SUBSTITUTE($F60, ",", REPT(" ", 100)), (COLUMNS($AH$2:AP60)-1)*100+1, 100))</f>
        <v/>
      </c>
      <c r="AQ60" t="str">
        <f>TRIM(MID(SUBSTITUTE($F60, ",", REPT(" ", 100)), (COLUMNS($AH$2:AQ60)-1)*100+1, 100))</f>
        <v/>
      </c>
      <c r="AR60" t="str">
        <f>TRIM(MID(SUBSTITUTE($F60, ",", REPT(" ", 100)), (COLUMNS($AH$2:AR60)-1)*100+1, 100))</f>
        <v/>
      </c>
      <c r="AS60" t="str">
        <f>TRIM(MID(SUBSTITUTE($F60, ",", REPT(" ", 100)), (COLUMNS($AH$2:AS60)-1)*100+1, 100))</f>
        <v/>
      </c>
      <c r="AT60" t="str">
        <f>TRIM(MID(SUBSTITUTE($F60, ",", REPT(" ", 100)), (COLUMNS($AH$2:AT60)-1)*100+1, 100))</f>
        <v/>
      </c>
      <c r="AU60" t="str">
        <f>TRIM(MID(SUBSTITUTE($F60, ",", REPT(" ", 100)), (COLUMNS($AH$2:AU60)-1)*100+1, 100))</f>
        <v/>
      </c>
      <c r="AV60" t="str">
        <f>TRIM(MID(SUBSTITUTE($F60, ",", REPT(" ", 100)), (COLUMNS($AH$2:AV60)-1)*100+1, 100))</f>
        <v/>
      </c>
      <c r="AW60" t="str">
        <f>TRIM(MID(SUBSTITUTE($F60, ",", REPT(" ", 100)), (COLUMNS($AH$2:AW60)-1)*100+1, 100))</f>
        <v/>
      </c>
      <c r="AX60" t="str">
        <f>TRIM(MID(SUBSTITUTE($F60, ",", REPT(" ", 100)), (COLUMNS($AH$2:AX60)-1)*100+1, 100))</f>
        <v/>
      </c>
      <c r="AY60" t="str">
        <f>TRIM(MID(SUBSTITUTE($F60, ",", REPT(" ", 100)), (COLUMNS($AH$2:AY60)-1)*100+1, 100))</f>
        <v/>
      </c>
      <c r="AZ60" t="str">
        <f>TRIM(MID(SUBSTITUTE($F60, ",", REPT(" ", 100)), (COLUMNS($AH$2:AZ60)-1)*100+1, 100))</f>
        <v/>
      </c>
      <c r="BA60" t="str">
        <f>TRIM(MID(SUBSTITUTE($F60, ",", REPT(" ", 100)), (COLUMNS($AH$2:BA60)-1)*100+1, 100))</f>
        <v/>
      </c>
    </row>
    <row r="61" spans="1:53" x14ac:dyDescent="0.5">
      <c r="A61" s="1">
        <v>45717</v>
      </c>
      <c r="B61" s="2">
        <v>5</v>
      </c>
      <c r="C61" s="272">
        <f>AVERAGE(B61:B91)</f>
        <v>5.1967741935483867</v>
      </c>
      <c r="D61" s="295"/>
      <c r="E61" s="58">
        <v>0</v>
      </c>
      <c r="F61" s="38" t="s">
        <v>176</v>
      </c>
      <c r="T61" s="56" t="s">
        <v>17</v>
      </c>
      <c r="U61" s="32">
        <f>M14</f>
        <v>5.629032258064516</v>
      </c>
      <c r="V61" s="29">
        <v>5.612903225806452</v>
      </c>
      <c r="W61" s="101">
        <f t="shared" si="1"/>
        <v>1.6129032258064058E-2</v>
      </c>
      <c r="AJ61" t="str">
        <f>TRIM(MID(SUBSTITUTE($F61, ",", REPT(" ", 100)), (COLUMNS($AH$2:AJ61)-1)*100+1, 100))</f>
        <v/>
      </c>
      <c r="AK61" s="1">
        <v>45717</v>
      </c>
      <c r="AL61" s="2">
        <v>6</v>
      </c>
      <c r="AM61" s="2">
        <v>5</v>
      </c>
      <c r="AO61" t="str">
        <f>TRIM(MID(SUBSTITUTE($F61, ",", REPT(" ", 100)), (COLUMNS($AH$2:AO61)-1)*100+1, 100))</f>
        <v/>
      </c>
      <c r="AP61" t="str">
        <f>TRIM(MID(SUBSTITUTE($F61, ",", REPT(" ", 100)), (COLUMNS($AH$2:AP61)-1)*100+1, 100))</f>
        <v/>
      </c>
      <c r="AQ61" t="str">
        <f>TRIM(MID(SUBSTITUTE($F61, ",", REPT(" ", 100)), (COLUMNS($AH$2:AQ61)-1)*100+1, 100))</f>
        <v/>
      </c>
      <c r="AR61" t="str">
        <f>TRIM(MID(SUBSTITUTE($F61, ",", REPT(" ", 100)), (COLUMNS($AH$2:AR61)-1)*100+1, 100))</f>
        <v/>
      </c>
      <c r="AS61" t="str">
        <f>TRIM(MID(SUBSTITUTE($F61, ",", REPT(" ", 100)), (COLUMNS($AH$2:AS61)-1)*100+1, 100))</f>
        <v/>
      </c>
      <c r="AT61" t="str">
        <f>TRIM(MID(SUBSTITUTE($F61, ",", REPT(" ", 100)), (COLUMNS($AH$2:AT61)-1)*100+1, 100))</f>
        <v/>
      </c>
      <c r="AU61" t="str">
        <f>TRIM(MID(SUBSTITUTE($F61, ",", REPT(" ", 100)), (COLUMNS($AH$2:AU61)-1)*100+1, 100))</f>
        <v/>
      </c>
      <c r="AV61" t="str">
        <f>TRIM(MID(SUBSTITUTE($F61, ",", REPT(" ", 100)), (COLUMNS($AH$2:AV61)-1)*100+1, 100))</f>
        <v/>
      </c>
      <c r="AW61" t="str">
        <f>TRIM(MID(SUBSTITUTE($F61, ",", REPT(" ", 100)), (COLUMNS($AH$2:AW61)-1)*100+1, 100))</f>
        <v/>
      </c>
      <c r="AX61" t="str">
        <f>TRIM(MID(SUBSTITUTE($F61, ",", REPT(" ", 100)), (COLUMNS($AH$2:AX61)-1)*100+1, 100))</f>
        <v/>
      </c>
      <c r="AY61" t="str">
        <f>TRIM(MID(SUBSTITUTE($F61, ",", REPT(" ", 100)), (COLUMNS($AH$2:AY61)-1)*100+1, 100))</f>
        <v/>
      </c>
      <c r="AZ61" t="str">
        <f>TRIM(MID(SUBSTITUTE($F61, ",", REPT(" ", 100)), (COLUMNS($AH$2:AZ61)-1)*100+1, 100))</f>
        <v/>
      </c>
      <c r="BA61" t="str">
        <f>TRIM(MID(SUBSTITUTE($F61, ",", REPT(" ", 100)), (COLUMNS($AH$2:BA61)-1)*100+1, 100))</f>
        <v/>
      </c>
    </row>
    <row r="62" spans="1:53" x14ac:dyDescent="0.5">
      <c r="A62" s="1">
        <v>45718</v>
      </c>
      <c r="B62" s="2">
        <v>4.8</v>
      </c>
      <c r="C62" s="272"/>
      <c r="D62" s="295"/>
      <c r="E62" s="58">
        <v>0</v>
      </c>
      <c r="F62" s="38" t="s">
        <v>176</v>
      </c>
      <c r="T62" s="56" t="s">
        <v>18</v>
      </c>
      <c r="U62" s="32">
        <f>M15</f>
        <v>6.0733333333333333</v>
      </c>
      <c r="V62" s="29">
        <v>5.5333333333333332</v>
      </c>
      <c r="W62" s="101">
        <f t="shared" si="1"/>
        <v>0.54</v>
      </c>
      <c r="AJ62" t="str">
        <f>TRIM(MID(SUBSTITUTE($F62, ",", REPT(" ", 100)), (COLUMNS($AH$2:AJ62)-1)*100+1, 100))</f>
        <v/>
      </c>
      <c r="AK62" s="1">
        <v>45718</v>
      </c>
      <c r="AL62" s="2">
        <v>6</v>
      </c>
      <c r="AM62" s="2">
        <v>4.8</v>
      </c>
      <c r="AO62" t="str">
        <f>TRIM(MID(SUBSTITUTE($F62, ",", REPT(" ", 100)), (COLUMNS($AH$2:AO62)-1)*100+1, 100))</f>
        <v/>
      </c>
      <c r="AP62" t="str">
        <f>TRIM(MID(SUBSTITUTE($F62, ",", REPT(" ", 100)), (COLUMNS($AH$2:AP62)-1)*100+1, 100))</f>
        <v/>
      </c>
      <c r="AQ62" t="str">
        <f>TRIM(MID(SUBSTITUTE($F62, ",", REPT(" ", 100)), (COLUMNS($AH$2:AQ62)-1)*100+1, 100))</f>
        <v/>
      </c>
      <c r="AR62" t="str">
        <f>TRIM(MID(SUBSTITUTE($F62, ",", REPT(" ", 100)), (COLUMNS($AH$2:AR62)-1)*100+1, 100))</f>
        <v/>
      </c>
      <c r="AS62" t="str">
        <f>TRIM(MID(SUBSTITUTE($F62, ",", REPT(" ", 100)), (COLUMNS($AH$2:AS62)-1)*100+1, 100))</f>
        <v/>
      </c>
      <c r="AT62" t="str">
        <f>TRIM(MID(SUBSTITUTE($F62, ",", REPT(" ", 100)), (COLUMNS($AH$2:AT62)-1)*100+1, 100))</f>
        <v/>
      </c>
      <c r="AU62" t="str">
        <f>TRIM(MID(SUBSTITUTE($F62, ",", REPT(" ", 100)), (COLUMNS($AH$2:AU62)-1)*100+1, 100))</f>
        <v/>
      </c>
      <c r="AV62" t="str">
        <f>TRIM(MID(SUBSTITUTE($F62, ",", REPT(" ", 100)), (COLUMNS($AH$2:AV62)-1)*100+1, 100))</f>
        <v/>
      </c>
      <c r="AW62" t="str">
        <f>TRIM(MID(SUBSTITUTE($F62, ",", REPT(" ", 100)), (COLUMNS($AH$2:AW62)-1)*100+1, 100))</f>
        <v/>
      </c>
      <c r="AX62" t="str">
        <f>TRIM(MID(SUBSTITUTE($F62, ",", REPT(" ", 100)), (COLUMNS($AH$2:AX62)-1)*100+1, 100))</f>
        <v/>
      </c>
      <c r="AY62" t="str">
        <f>TRIM(MID(SUBSTITUTE($F62, ",", REPT(" ", 100)), (COLUMNS($AH$2:AY62)-1)*100+1, 100))</f>
        <v/>
      </c>
      <c r="AZ62" t="str">
        <f>TRIM(MID(SUBSTITUTE($F62, ",", REPT(" ", 100)), (COLUMNS($AH$2:AZ62)-1)*100+1, 100))</f>
        <v/>
      </c>
      <c r="BA62" t="str">
        <f>TRIM(MID(SUBSTITUTE($F62, ",", REPT(" ", 100)), (COLUMNS($AH$2:BA62)-1)*100+1, 100))</f>
        <v/>
      </c>
    </row>
    <row r="63" spans="1:53" ht="14.7" thickBot="1" x14ac:dyDescent="0.55000000000000004">
      <c r="A63" s="1">
        <v>45719</v>
      </c>
      <c r="B63" s="2">
        <v>3</v>
      </c>
      <c r="C63" s="272"/>
      <c r="D63" s="295"/>
      <c r="E63" s="58">
        <v>1</v>
      </c>
      <c r="F63" s="38" t="s">
        <v>176</v>
      </c>
      <c r="K63" s="38"/>
      <c r="T63" s="56" t="s">
        <v>19</v>
      </c>
      <c r="U63" s="32">
        <f>M16</f>
        <v>5.8258064516129036</v>
      </c>
      <c r="V63" s="30">
        <v>4.709677419354839</v>
      </c>
      <c r="W63" s="101">
        <f t="shared" si="1"/>
        <v>1.1161290322580646</v>
      </c>
      <c r="AJ63" t="str">
        <f>TRIM(MID(SUBSTITUTE($F63, ",", REPT(" ", 100)), (COLUMNS($AH$2:AJ63)-1)*100+1, 100))</f>
        <v/>
      </c>
      <c r="AK63" s="1">
        <v>45719</v>
      </c>
      <c r="AL63" s="2">
        <v>8</v>
      </c>
      <c r="AM63" s="2">
        <v>3</v>
      </c>
      <c r="AO63" t="str">
        <f>TRIM(MID(SUBSTITUTE($F63, ",", REPT(" ", 100)), (COLUMNS($AH$2:AO63)-1)*100+1, 100))</f>
        <v/>
      </c>
      <c r="AP63" t="str">
        <f>TRIM(MID(SUBSTITUTE($F63, ",", REPT(" ", 100)), (COLUMNS($AH$2:AP63)-1)*100+1, 100))</f>
        <v/>
      </c>
      <c r="AQ63" t="str">
        <f>TRIM(MID(SUBSTITUTE($F63, ",", REPT(" ", 100)), (COLUMNS($AH$2:AQ63)-1)*100+1, 100))</f>
        <v/>
      </c>
      <c r="AR63" t="str">
        <f>TRIM(MID(SUBSTITUTE($F63, ",", REPT(" ", 100)), (COLUMNS($AH$2:AR63)-1)*100+1, 100))</f>
        <v/>
      </c>
      <c r="AS63" t="str">
        <f>TRIM(MID(SUBSTITUTE($F63, ",", REPT(" ", 100)), (COLUMNS($AH$2:AS63)-1)*100+1, 100))</f>
        <v/>
      </c>
      <c r="AT63" t="str">
        <f>TRIM(MID(SUBSTITUTE($F63, ",", REPT(" ", 100)), (COLUMNS($AH$2:AT63)-1)*100+1, 100))</f>
        <v/>
      </c>
      <c r="AU63" t="str">
        <f>TRIM(MID(SUBSTITUTE($F63, ",", REPT(" ", 100)), (COLUMNS($AH$2:AU63)-1)*100+1, 100))</f>
        <v/>
      </c>
      <c r="AV63" t="str">
        <f>TRIM(MID(SUBSTITUTE($F63, ",", REPT(" ", 100)), (COLUMNS($AH$2:AV63)-1)*100+1, 100))</f>
        <v/>
      </c>
      <c r="AW63" t="str">
        <f>TRIM(MID(SUBSTITUTE($F63, ",", REPT(" ", 100)), (COLUMNS($AH$2:AW63)-1)*100+1, 100))</f>
        <v/>
      </c>
      <c r="AX63" t="str">
        <f>TRIM(MID(SUBSTITUTE($F63, ",", REPT(" ", 100)), (COLUMNS($AH$2:AX63)-1)*100+1, 100))</f>
        <v/>
      </c>
      <c r="AY63" t="str">
        <f>TRIM(MID(SUBSTITUTE($F63, ",", REPT(" ", 100)), (COLUMNS($AH$2:AY63)-1)*100+1, 100))</f>
        <v/>
      </c>
      <c r="AZ63" t="str">
        <f>TRIM(MID(SUBSTITUTE($F63, ",", REPT(" ", 100)), (COLUMNS($AH$2:AZ63)-1)*100+1, 100))</f>
        <v/>
      </c>
      <c r="BA63" t="str">
        <f>TRIM(MID(SUBSTITUTE($F63, ",", REPT(" ", 100)), (COLUMNS($AH$2:BA63)-1)*100+1, 100))</f>
        <v/>
      </c>
    </row>
    <row r="64" spans="1:53" x14ac:dyDescent="0.5">
      <c r="A64" s="1">
        <v>45720</v>
      </c>
      <c r="B64" s="2">
        <v>4</v>
      </c>
      <c r="C64" s="272"/>
      <c r="D64" s="295"/>
      <c r="E64" s="58">
        <v>1</v>
      </c>
      <c r="F64" s="38" t="s">
        <v>176</v>
      </c>
      <c r="AJ64" t="str">
        <f>TRIM(MID(SUBSTITUTE($F64, ",", REPT(" ", 100)), (COLUMNS($AH$2:AJ64)-1)*100+1, 100))</f>
        <v/>
      </c>
      <c r="AK64" s="1">
        <v>45720</v>
      </c>
      <c r="AL64" s="2">
        <v>6</v>
      </c>
      <c r="AM64" s="2">
        <v>4</v>
      </c>
      <c r="AO64" t="str">
        <f>TRIM(MID(SUBSTITUTE($F64, ",", REPT(" ", 100)), (COLUMNS($AH$2:AO64)-1)*100+1, 100))</f>
        <v/>
      </c>
      <c r="AP64" t="str">
        <f>TRIM(MID(SUBSTITUTE($F64, ",", REPT(" ", 100)), (COLUMNS($AH$2:AP64)-1)*100+1, 100))</f>
        <v/>
      </c>
      <c r="AQ64" t="str">
        <f>TRIM(MID(SUBSTITUTE($F64, ",", REPT(" ", 100)), (COLUMNS($AH$2:AQ64)-1)*100+1, 100))</f>
        <v/>
      </c>
      <c r="AR64" t="str">
        <f>TRIM(MID(SUBSTITUTE($F64, ",", REPT(" ", 100)), (COLUMNS($AH$2:AR64)-1)*100+1, 100))</f>
        <v/>
      </c>
      <c r="AS64" t="str">
        <f>TRIM(MID(SUBSTITUTE($F64, ",", REPT(" ", 100)), (COLUMNS($AH$2:AS64)-1)*100+1, 100))</f>
        <v/>
      </c>
      <c r="AT64" t="str">
        <f>TRIM(MID(SUBSTITUTE($F64, ",", REPT(" ", 100)), (COLUMNS($AH$2:AT64)-1)*100+1, 100))</f>
        <v/>
      </c>
      <c r="AU64" t="str">
        <f>TRIM(MID(SUBSTITUTE($F64, ",", REPT(" ", 100)), (COLUMNS($AH$2:AU64)-1)*100+1, 100))</f>
        <v/>
      </c>
      <c r="AV64" t="str">
        <f>TRIM(MID(SUBSTITUTE($F64, ",", REPT(" ", 100)), (COLUMNS($AH$2:AV64)-1)*100+1, 100))</f>
        <v/>
      </c>
      <c r="AW64" t="str">
        <f>TRIM(MID(SUBSTITUTE($F64, ",", REPT(" ", 100)), (COLUMNS($AH$2:AW64)-1)*100+1, 100))</f>
        <v/>
      </c>
      <c r="AX64" t="str">
        <f>TRIM(MID(SUBSTITUTE($F64, ",", REPT(" ", 100)), (COLUMNS($AH$2:AX64)-1)*100+1, 100))</f>
        <v/>
      </c>
      <c r="AY64" t="str">
        <f>TRIM(MID(SUBSTITUTE($F64, ",", REPT(" ", 100)), (COLUMNS($AH$2:AY64)-1)*100+1, 100))</f>
        <v/>
      </c>
      <c r="AZ64" t="str">
        <f>TRIM(MID(SUBSTITUTE($F64, ",", REPT(" ", 100)), (COLUMNS($AH$2:AZ64)-1)*100+1, 100))</f>
        <v/>
      </c>
      <c r="BA64" t="str">
        <f>TRIM(MID(SUBSTITUTE($F64, ",", REPT(" ", 100)), (COLUMNS($AH$2:BA64)-1)*100+1, 100))</f>
        <v/>
      </c>
    </row>
    <row r="65" spans="1:53" x14ac:dyDescent="0.5">
      <c r="A65" s="1">
        <v>45721</v>
      </c>
      <c r="B65" s="2">
        <v>5</v>
      </c>
      <c r="C65" s="272"/>
      <c r="D65" s="295"/>
      <c r="E65" s="58">
        <v>0</v>
      </c>
      <c r="F65" s="38" t="s">
        <v>176</v>
      </c>
      <c r="K65" s="38"/>
      <c r="AJ65" t="str">
        <f>TRIM(MID(SUBSTITUTE($F65, ",", REPT(" ", 100)), (COLUMNS($AH$2:AJ65)-1)*100+1, 100))</f>
        <v/>
      </c>
      <c r="AK65" s="1">
        <v>45721</v>
      </c>
      <c r="AL65" s="2">
        <v>4</v>
      </c>
      <c r="AM65" s="2">
        <v>5</v>
      </c>
      <c r="AO65" t="str">
        <f>TRIM(MID(SUBSTITUTE($F65, ",", REPT(" ", 100)), (COLUMNS($AH$2:AO65)-1)*100+1, 100))</f>
        <v/>
      </c>
      <c r="AP65" t="str">
        <f>TRIM(MID(SUBSTITUTE($F65, ",", REPT(" ", 100)), (COLUMNS($AH$2:AP65)-1)*100+1, 100))</f>
        <v/>
      </c>
      <c r="AQ65" t="str">
        <f>TRIM(MID(SUBSTITUTE($F65, ",", REPT(" ", 100)), (COLUMNS($AH$2:AQ65)-1)*100+1, 100))</f>
        <v/>
      </c>
      <c r="AR65" t="str">
        <f>TRIM(MID(SUBSTITUTE($F65, ",", REPT(" ", 100)), (COLUMNS($AH$2:AR65)-1)*100+1, 100))</f>
        <v/>
      </c>
      <c r="AS65" t="str">
        <f>TRIM(MID(SUBSTITUTE($F65, ",", REPT(" ", 100)), (COLUMNS($AH$2:AS65)-1)*100+1, 100))</f>
        <v/>
      </c>
      <c r="AT65" t="str">
        <f>TRIM(MID(SUBSTITUTE($F65, ",", REPT(" ", 100)), (COLUMNS($AH$2:AT65)-1)*100+1, 100))</f>
        <v/>
      </c>
      <c r="AU65" t="str">
        <f>TRIM(MID(SUBSTITUTE($F65, ",", REPT(" ", 100)), (COLUMNS($AH$2:AU65)-1)*100+1, 100))</f>
        <v/>
      </c>
      <c r="AV65" t="str">
        <f>TRIM(MID(SUBSTITUTE($F65, ",", REPT(" ", 100)), (COLUMNS($AH$2:AV65)-1)*100+1, 100))</f>
        <v/>
      </c>
      <c r="AW65" t="str">
        <f>TRIM(MID(SUBSTITUTE($F65, ",", REPT(" ", 100)), (COLUMNS($AH$2:AW65)-1)*100+1, 100))</f>
        <v/>
      </c>
      <c r="AX65" t="str">
        <f>TRIM(MID(SUBSTITUTE($F65, ",", REPT(" ", 100)), (COLUMNS($AH$2:AX65)-1)*100+1, 100))</f>
        <v/>
      </c>
      <c r="AY65" t="str">
        <f>TRIM(MID(SUBSTITUTE($F65, ",", REPT(" ", 100)), (COLUMNS($AH$2:AY65)-1)*100+1, 100))</f>
        <v/>
      </c>
      <c r="AZ65" t="str">
        <f>TRIM(MID(SUBSTITUTE($F65, ",", REPT(" ", 100)), (COLUMNS($AH$2:AZ65)-1)*100+1, 100))</f>
        <v/>
      </c>
      <c r="BA65" t="str">
        <f>TRIM(MID(SUBSTITUTE($F65, ",", REPT(" ", 100)), (COLUMNS($AH$2:BA65)-1)*100+1, 100))</f>
        <v/>
      </c>
    </row>
    <row r="66" spans="1:53" x14ac:dyDescent="0.5">
      <c r="A66" s="1">
        <v>45722</v>
      </c>
      <c r="B66" s="2">
        <v>6.5</v>
      </c>
      <c r="C66" s="272"/>
      <c r="D66" s="295"/>
      <c r="E66" s="58">
        <v>0</v>
      </c>
      <c r="F66" s="38" t="s">
        <v>176</v>
      </c>
      <c r="K66" s="38"/>
      <c r="AJ66" t="str">
        <f>TRIM(MID(SUBSTITUTE($F66, ",", REPT(" ", 100)), (COLUMNS($AH$2:AJ66)-1)*100+1, 100))</f>
        <v/>
      </c>
      <c r="AK66" s="1">
        <v>45722</v>
      </c>
      <c r="AL66" s="2">
        <v>4</v>
      </c>
      <c r="AM66" s="2">
        <v>6.5</v>
      </c>
      <c r="AO66" t="str">
        <f>TRIM(MID(SUBSTITUTE($F66, ",", REPT(" ", 100)), (COLUMNS($AH$2:AO66)-1)*100+1, 100))</f>
        <v/>
      </c>
      <c r="AP66" t="str">
        <f>TRIM(MID(SUBSTITUTE($F66, ",", REPT(" ", 100)), (COLUMNS($AH$2:AP66)-1)*100+1, 100))</f>
        <v/>
      </c>
      <c r="AQ66" t="str">
        <f>TRIM(MID(SUBSTITUTE($F66, ",", REPT(" ", 100)), (COLUMNS($AH$2:AQ66)-1)*100+1, 100))</f>
        <v/>
      </c>
      <c r="AR66" t="str">
        <f>TRIM(MID(SUBSTITUTE($F66, ",", REPT(" ", 100)), (COLUMNS($AH$2:AR66)-1)*100+1, 100))</f>
        <v/>
      </c>
      <c r="AS66" t="str">
        <f>TRIM(MID(SUBSTITUTE($F66, ",", REPT(" ", 100)), (COLUMNS($AH$2:AS66)-1)*100+1, 100))</f>
        <v/>
      </c>
      <c r="AT66" t="str">
        <f>TRIM(MID(SUBSTITUTE($F66, ",", REPT(" ", 100)), (COLUMNS($AH$2:AT66)-1)*100+1, 100))</f>
        <v/>
      </c>
      <c r="AU66" t="str">
        <f>TRIM(MID(SUBSTITUTE($F66, ",", REPT(" ", 100)), (COLUMNS($AH$2:AU66)-1)*100+1, 100))</f>
        <v/>
      </c>
      <c r="AV66" t="str">
        <f>TRIM(MID(SUBSTITUTE($F66, ",", REPT(" ", 100)), (COLUMNS($AH$2:AV66)-1)*100+1, 100))</f>
        <v/>
      </c>
      <c r="AW66" t="str">
        <f>TRIM(MID(SUBSTITUTE($F66, ",", REPT(" ", 100)), (COLUMNS($AH$2:AW66)-1)*100+1, 100))</f>
        <v/>
      </c>
      <c r="AX66" t="str">
        <f>TRIM(MID(SUBSTITUTE($F66, ",", REPT(" ", 100)), (COLUMNS($AH$2:AX66)-1)*100+1, 100))</f>
        <v/>
      </c>
      <c r="AY66" t="str">
        <f>TRIM(MID(SUBSTITUTE($F66, ",", REPT(" ", 100)), (COLUMNS($AH$2:AY66)-1)*100+1, 100))</f>
        <v/>
      </c>
      <c r="AZ66" t="str">
        <f>TRIM(MID(SUBSTITUTE($F66, ",", REPT(" ", 100)), (COLUMNS($AH$2:AZ66)-1)*100+1, 100))</f>
        <v/>
      </c>
      <c r="BA66" t="str">
        <f>TRIM(MID(SUBSTITUTE($F66, ",", REPT(" ", 100)), (COLUMNS($AH$2:BA66)-1)*100+1, 100))</f>
        <v/>
      </c>
    </row>
    <row r="67" spans="1:53" x14ac:dyDescent="0.5">
      <c r="A67" s="1">
        <v>45723</v>
      </c>
      <c r="B67" s="2">
        <v>6</v>
      </c>
      <c r="C67" s="272"/>
      <c r="D67" s="295"/>
      <c r="E67" s="58">
        <v>1</v>
      </c>
      <c r="F67" s="38" t="s">
        <v>176</v>
      </c>
      <c r="AJ67" t="str">
        <f>TRIM(MID(SUBSTITUTE($F67, ",", REPT(" ", 100)), (COLUMNS($AH$2:AJ67)-1)*100+1, 100))</f>
        <v/>
      </c>
      <c r="AK67" s="1">
        <v>45723</v>
      </c>
      <c r="AL67" s="2">
        <v>6</v>
      </c>
      <c r="AM67" s="2">
        <v>6</v>
      </c>
      <c r="AO67" t="str">
        <f>TRIM(MID(SUBSTITUTE($F67, ",", REPT(" ", 100)), (COLUMNS($AH$2:AO67)-1)*100+1, 100))</f>
        <v/>
      </c>
      <c r="AP67" t="str">
        <f>TRIM(MID(SUBSTITUTE($F67, ",", REPT(" ", 100)), (COLUMNS($AH$2:AP67)-1)*100+1, 100))</f>
        <v/>
      </c>
      <c r="AQ67" t="str">
        <f>TRIM(MID(SUBSTITUTE($F67, ",", REPT(" ", 100)), (COLUMNS($AH$2:AQ67)-1)*100+1, 100))</f>
        <v/>
      </c>
      <c r="AR67" t="str">
        <f>TRIM(MID(SUBSTITUTE($F67, ",", REPT(" ", 100)), (COLUMNS($AH$2:AR67)-1)*100+1, 100))</f>
        <v/>
      </c>
      <c r="AS67" t="str">
        <f>TRIM(MID(SUBSTITUTE($F67, ",", REPT(" ", 100)), (COLUMNS($AH$2:AS67)-1)*100+1, 100))</f>
        <v/>
      </c>
      <c r="AT67" t="str">
        <f>TRIM(MID(SUBSTITUTE($F67, ",", REPT(" ", 100)), (COLUMNS($AH$2:AT67)-1)*100+1, 100))</f>
        <v/>
      </c>
      <c r="AU67" t="str">
        <f>TRIM(MID(SUBSTITUTE($F67, ",", REPT(" ", 100)), (COLUMNS($AH$2:AU67)-1)*100+1, 100))</f>
        <v/>
      </c>
      <c r="AV67" t="str">
        <f>TRIM(MID(SUBSTITUTE($F67, ",", REPT(" ", 100)), (COLUMNS($AH$2:AV67)-1)*100+1, 100))</f>
        <v/>
      </c>
      <c r="AW67" t="str">
        <f>TRIM(MID(SUBSTITUTE($F67, ",", REPT(" ", 100)), (COLUMNS($AH$2:AW67)-1)*100+1, 100))</f>
        <v/>
      </c>
      <c r="AX67" t="str">
        <f>TRIM(MID(SUBSTITUTE($F67, ",", REPT(" ", 100)), (COLUMNS($AH$2:AX67)-1)*100+1, 100))</f>
        <v/>
      </c>
      <c r="AY67" t="str">
        <f>TRIM(MID(SUBSTITUTE($F67, ",", REPT(" ", 100)), (COLUMNS($AH$2:AY67)-1)*100+1, 100))</f>
        <v/>
      </c>
      <c r="AZ67" t="str">
        <f>TRIM(MID(SUBSTITUTE($F67, ",", REPT(" ", 100)), (COLUMNS($AH$2:AZ67)-1)*100+1, 100))</f>
        <v/>
      </c>
      <c r="BA67" t="str">
        <f>TRIM(MID(SUBSTITUTE($F67, ",", REPT(" ", 100)), (COLUMNS($AH$2:BA67)-1)*100+1, 100))</f>
        <v/>
      </c>
    </row>
    <row r="68" spans="1:53" x14ac:dyDescent="0.5">
      <c r="A68" s="1">
        <v>45724</v>
      </c>
      <c r="B68" s="2">
        <v>6.1</v>
      </c>
      <c r="C68" s="272"/>
      <c r="D68" s="295"/>
      <c r="E68" s="58">
        <v>1</v>
      </c>
      <c r="F68" s="38" t="s">
        <v>176</v>
      </c>
      <c r="AJ68" t="str">
        <f>TRIM(MID(SUBSTITUTE($F68, ",", REPT(" ", 100)), (COLUMNS($AH$2:AJ68)-1)*100+1, 100))</f>
        <v/>
      </c>
      <c r="AK68" s="1">
        <v>45724</v>
      </c>
      <c r="AL68" s="2">
        <v>6</v>
      </c>
      <c r="AM68" s="2">
        <v>6.1</v>
      </c>
      <c r="AO68" t="str">
        <f>TRIM(MID(SUBSTITUTE($F68, ",", REPT(" ", 100)), (COLUMNS($AH$2:AO68)-1)*100+1, 100))</f>
        <v/>
      </c>
      <c r="AP68" t="str">
        <f>TRIM(MID(SUBSTITUTE($F68, ",", REPT(" ", 100)), (COLUMNS($AH$2:AP68)-1)*100+1, 100))</f>
        <v/>
      </c>
      <c r="AQ68" t="str">
        <f>TRIM(MID(SUBSTITUTE($F68, ",", REPT(" ", 100)), (COLUMNS($AH$2:AQ68)-1)*100+1, 100))</f>
        <v/>
      </c>
      <c r="AR68" t="str">
        <f>TRIM(MID(SUBSTITUTE($F68, ",", REPT(" ", 100)), (COLUMNS($AH$2:AR68)-1)*100+1, 100))</f>
        <v/>
      </c>
      <c r="AS68" t="str">
        <f>TRIM(MID(SUBSTITUTE($F68, ",", REPT(" ", 100)), (COLUMNS($AH$2:AS68)-1)*100+1, 100))</f>
        <v/>
      </c>
      <c r="AT68" t="str">
        <f>TRIM(MID(SUBSTITUTE($F68, ",", REPT(" ", 100)), (COLUMNS($AH$2:AT68)-1)*100+1, 100))</f>
        <v/>
      </c>
      <c r="AU68" t="str">
        <f>TRIM(MID(SUBSTITUTE($F68, ",", REPT(" ", 100)), (COLUMNS($AH$2:AU68)-1)*100+1, 100))</f>
        <v/>
      </c>
      <c r="AV68" t="str">
        <f>TRIM(MID(SUBSTITUTE($F68, ",", REPT(" ", 100)), (COLUMNS($AH$2:AV68)-1)*100+1, 100))</f>
        <v/>
      </c>
      <c r="AW68" t="str">
        <f>TRIM(MID(SUBSTITUTE($F68, ",", REPT(" ", 100)), (COLUMNS($AH$2:AW68)-1)*100+1, 100))</f>
        <v/>
      </c>
      <c r="AX68" t="str">
        <f>TRIM(MID(SUBSTITUTE($F68, ",", REPT(" ", 100)), (COLUMNS($AH$2:AX68)-1)*100+1, 100))</f>
        <v/>
      </c>
      <c r="AY68" t="str">
        <f>TRIM(MID(SUBSTITUTE($F68, ",", REPT(" ", 100)), (COLUMNS($AH$2:AY68)-1)*100+1, 100))</f>
        <v/>
      </c>
      <c r="AZ68" t="str">
        <f>TRIM(MID(SUBSTITUTE($F68, ",", REPT(" ", 100)), (COLUMNS($AH$2:AZ68)-1)*100+1, 100))</f>
        <v/>
      </c>
      <c r="BA68" t="str">
        <f>TRIM(MID(SUBSTITUTE($F68, ",", REPT(" ", 100)), (COLUMNS($AH$2:BA68)-1)*100+1, 100))</f>
        <v/>
      </c>
    </row>
    <row r="69" spans="1:53" x14ac:dyDescent="0.5">
      <c r="A69" s="1">
        <v>45725</v>
      </c>
      <c r="B69" s="2">
        <v>8</v>
      </c>
      <c r="C69" s="272"/>
      <c r="D69" s="295"/>
      <c r="E69" s="58">
        <v>0</v>
      </c>
      <c r="F69" s="38" t="s">
        <v>176</v>
      </c>
      <c r="AJ69" t="str">
        <f>TRIM(MID(SUBSTITUTE($F69, ",", REPT(" ", 100)), (COLUMNS($AH$2:AJ69)-1)*100+1, 100))</f>
        <v/>
      </c>
      <c r="AK69" s="1">
        <v>45725</v>
      </c>
      <c r="AL69" s="2">
        <v>6</v>
      </c>
      <c r="AM69" s="2">
        <v>8</v>
      </c>
      <c r="AO69" t="str">
        <f>TRIM(MID(SUBSTITUTE($F69, ",", REPT(" ", 100)), (COLUMNS($AH$2:AO69)-1)*100+1, 100))</f>
        <v/>
      </c>
      <c r="AP69" t="str">
        <f>TRIM(MID(SUBSTITUTE($F69, ",", REPT(" ", 100)), (COLUMNS($AH$2:AP69)-1)*100+1, 100))</f>
        <v/>
      </c>
      <c r="AQ69" t="str">
        <f>TRIM(MID(SUBSTITUTE($F69, ",", REPT(" ", 100)), (COLUMNS($AH$2:AQ69)-1)*100+1, 100))</f>
        <v/>
      </c>
      <c r="AR69" t="str">
        <f>TRIM(MID(SUBSTITUTE($F69, ",", REPT(" ", 100)), (COLUMNS($AH$2:AR69)-1)*100+1, 100))</f>
        <v/>
      </c>
      <c r="AS69" t="str">
        <f>TRIM(MID(SUBSTITUTE($F69, ",", REPT(" ", 100)), (COLUMNS($AH$2:AS69)-1)*100+1, 100))</f>
        <v/>
      </c>
      <c r="AT69" t="str">
        <f>TRIM(MID(SUBSTITUTE($F69, ",", REPT(" ", 100)), (COLUMNS($AH$2:AT69)-1)*100+1, 100))</f>
        <v/>
      </c>
      <c r="AU69" t="str">
        <f>TRIM(MID(SUBSTITUTE($F69, ",", REPT(" ", 100)), (COLUMNS($AH$2:AU69)-1)*100+1, 100))</f>
        <v/>
      </c>
      <c r="AV69" t="str">
        <f>TRIM(MID(SUBSTITUTE($F69, ",", REPT(" ", 100)), (COLUMNS($AH$2:AV69)-1)*100+1, 100))</f>
        <v/>
      </c>
      <c r="AW69" t="str">
        <f>TRIM(MID(SUBSTITUTE($F69, ",", REPT(" ", 100)), (COLUMNS($AH$2:AW69)-1)*100+1, 100))</f>
        <v/>
      </c>
      <c r="AX69" t="str">
        <f>TRIM(MID(SUBSTITUTE($F69, ",", REPT(" ", 100)), (COLUMNS($AH$2:AX69)-1)*100+1, 100))</f>
        <v/>
      </c>
      <c r="AY69" t="str">
        <f>TRIM(MID(SUBSTITUTE($F69, ",", REPT(" ", 100)), (COLUMNS($AH$2:AY69)-1)*100+1, 100))</f>
        <v/>
      </c>
      <c r="AZ69" t="str">
        <f>TRIM(MID(SUBSTITUTE($F69, ",", REPT(" ", 100)), (COLUMNS($AH$2:AZ69)-1)*100+1, 100))</f>
        <v/>
      </c>
      <c r="BA69" t="str">
        <f>TRIM(MID(SUBSTITUTE($F69, ",", REPT(" ", 100)), (COLUMNS($AH$2:BA69)-1)*100+1, 100))</f>
        <v/>
      </c>
    </row>
    <row r="70" spans="1:53" x14ac:dyDescent="0.5">
      <c r="A70" s="1">
        <v>45726</v>
      </c>
      <c r="B70" s="2">
        <v>4.5</v>
      </c>
      <c r="C70" s="272"/>
      <c r="D70" s="295"/>
      <c r="E70" s="58">
        <v>1</v>
      </c>
      <c r="F70" s="38" t="s">
        <v>176</v>
      </c>
      <c r="AJ70" t="str">
        <f>TRIM(MID(SUBSTITUTE($F70, ",", REPT(" ", 100)), (COLUMNS($AH$2:AJ70)-1)*100+1, 100))</f>
        <v/>
      </c>
      <c r="AK70" s="1">
        <v>45726</v>
      </c>
      <c r="AL70" s="2">
        <v>6</v>
      </c>
      <c r="AM70" s="2">
        <v>4.5</v>
      </c>
      <c r="AO70" t="str">
        <f>TRIM(MID(SUBSTITUTE($F70, ",", REPT(" ", 100)), (COLUMNS($AH$2:AO70)-1)*100+1, 100))</f>
        <v/>
      </c>
      <c r="AP70" t="str">
        <f>TRIM(MID(SUBSTITUTE($F70, ",", REPT(" ", 100)), (COLUMNS($AH$2:AP70)-1)*100+1, 100))</f>
        <v/>
      </c>
      <c r="AQ70" t="str">
        <f>TRIM(MID(SUBSTITUTE($F70, ",", REPT(" ", 100)), (COLUMNS($AH$2:AQ70)-1)*100+1, 100))</f>
        <v/>
      </c>
      <c r="AR70" t="str">
        <f>TRIM(MID(SUBSTITUTE($F70, ",", REPT(" ", 100)), (COLUMNS($AH$2:AR70)-1)*100+1, 100))</f>
        <v/>
      </c>
      <c r="AS70" t="str">
        <f>TRIM(MID(SUBSTITUTE($F70, ",", REPT(" ", 100)), (COLUMNS($AH$2:AS70)-1)*100+1, 100))</f>
        <v/>
      </c>
      <c r="AT70" t="str">
        <f>TRIM(MID(SUBSTITUTE($F70, ",", REPT(" ", 100)), (COLUMNS($AH$2:AT70)-1)*100+1, 100))</f>
        <v/>
      </c>
      <c r="AU70" t="str">
        <f>TRIM(MID(SUBSTITUTE($F70, ",", REPT(" ", 100)), (COLUMNS($AH$2:AU70)-1)*100+1, 100))</f>
        <v/>
      </c>
      <c r="AV70" t="str">
        <f>TRIM(MID(SUBSTITUTE($F70, ",", REPT(" ", 100)), (COLUMNS($AH$2:AV70)-1)*100+1, 100))</f>
        <v/>
      </c>
      <c r="AW70" t="str">
        <f>TRIM(MID(SUBSTITUTE($F70, ",", REPT(" ", 100)), (COLUMNS($AH$2:AW70)-1)*100+1, 100))</f>
        <v/>
      </c>
      <c r="AX70" t="str">
        <f>TRIM(MID(SUBSTITUTE($F70, ",", REPT(" ", 100)), (COLUMNS($AH$2:AX70)-1)*100+1, 100))</f>
        <v/>
      </c>
      <c r="AY70" t="str">
        <f>TRIM(MID(SUBSTITUTE($F70, ",", REPT(" ", 100)), (COLUMNS($AH$2:AY70)-1)*100+1, 100))</f>
        <v/>
      </c>
      <c r="AZ70" t="str">
        <f>TRIM(MID(SUBSTITUTE($F70, ",", REPT(" ", 100)), (COLUMNS($AH$2:AZ70)-1)*100+1, 100))</f>
        <v/>
      </c>
      <c r="BA70" t="str">
        <f>TRIM(MID(SUBSTITUTE($F70, ",", REPT(" ", 100)), (COLUMNS($AH$2:BA70)-1)*100+1, 100))</f>
        <v/>
      </c>
    </row>
    <row r="71" spans="1:53" x14ac:dyDescent="0.5">
      <c r="A71" s="1">
        <v>45727</v>
      </c>
      <c r="B71" s="2">
        <v>7</v>
      </c>
      <c r="C71" s="272"/>
      <c r="D71" s="295"/>
      <c r="E71" s="58">
        <v>1</v>
      </c>
      <c r="F71" s="38" t="s">
        <v>176</v>
      </c>
      <c r="AJ71" t="str">
        <f>TRIM(MID(SUBSTITUTE($F71, ",", REPT(" ", 100)), (COLUMNS($AH$2:AJ71)-1)*100+1, 100))</f>
        <v/>
      </c>
      <c r="AK71" s="1">
        <v>45727</v>
      </c>
      <c r="AL71" s="2">
        <v>4</v>
      </c>
      <c r="AM71" s="2">
        <v>7</v>
      </c>
      <c r="AO71" t="str">
        <f>TRIM(MID(SUBSTITUTE($F71, ",", REPT(" ", 100)), (COLUMNS($AH$2:AO71)-1)*100+1, 100))</f>
        <v/>
      </c>
      <c r="AP71" t="str">
        <f>TRIM(MID(SUBSTITUTE($F71, ",", REPT(" ", 100)), (COLUMNS($AH$2:AP71)-1)*100+1, 100))</f>
        <v/>
      </c>
      <c r="AQ71" t="str">
        <f>TRIM(MID(SUBSTITUTE($F71, ",", REPT(" ", 100)), (COLUMNS($AH$2:AQ71)-1)*100+1, 100))</f>
        <v/>
      </c>
      <c r="AR71" t="str">
        <f>TRIM(MID(SUBSTITUTE($F71, ",", REPT(" ", 100)), (COLUMNS($AH$2:AR71)-1)*100+1, 100))</f>
        <v/>
      </c>
      <c r="AS71" t="str">
        <f>TRIM(MID(SUBSTITUTE($F71, ",", REPT(" ", 100)), (COLUMNS($AH$2:AS71)-1)*100+1, 100))</f>
        <v/>
      </c>
      <c r="AT71" t="str">
        <f>TRIM(MID(SUBSTITUTE($F71, ",", REPT(" ", 100)), (COLUMNS($AH$2:AT71)-1)*100+1, 100))</f>
        <v/>
      </c>
      <c r="AU71" t="str">
        <f>TRIM(MID(SUBSTITUTE($F71, ",", REPT(" ", 100)), (COLUMNS($AH$2:AU71)-1)*100+1, 100))</f>
        <v/>
      </c>
      <c r="AV71" t="str">
        <f>TRIM(MID(SUBSTITUTE($F71, ",", REPT(" ", 100)), (COLUMNS($AH$2:AV71)-1)*100+1, 100))</f>
        <v/>
      </c>
      <c r="AW71" t="str">
        <f>TRIM(MID(SUBSTITUTE($F71, ",", REPT(" ", 100)), (COLUMNS($AH$2:AW71)-1)*100+1, 100))</f>
        <v/>
      </c>
      <c r="AX71" t="str">
        <f>TRIM(MID(SUBSTITUTE($F71, ",", REPT(" ", 100)), (COLUMNS($AH$2:AX71)-1)*100+1, 100))</f>
        <v/>
      </c>
      <c r="AY71" t="str">
        <f>TRIM(MID(SUBSTITUTE($F71, ",", REPT(" ", 100)), (COLUMNS($AH$2:AY71)-1)*100+1, 100))</f>
        <v/>
      </c>
      <c r="AZ71" t="str">
        <f>TRIM(MID(SUBSTITUTE($F71, ",", REPT(" ", 100)), (COLUMNS($AH$2:AZ71)-1)*100+1, 100))</f>
        <v/>
      </c>
      <c r="BA71" t="str">
        <f>TRIM(MID(SUBSTITUTE($F71, ",", REPT(" ", 100)), (COLUMNS($AH$2:BA71)-1)*100+1, 100))</f>
        <v/>
      </c>
    </row>
    <row r="72" spans="1:53" x14ac:dyDescent="0.5">
      <c r="A72" s="1">
        <v>45728</v>
      </c>
      <c r="B72" s="2">
        <v>4.8</v>
      </c>
      <c r="C72" s="272"/>
      <c r="D72" s="295"/>
      <c r="E72" s="58">
        <v>1</v>
      </c>
      <c r="F72" s="38" t="s">
        <v>176</v>
      </c>
      <c r="AJ72" t="str">
        <f>TRIM(MID(SUBSTITUTE($F72, ",", REPT(" ", 100)), (COLUMNS($AH$2:AJ72)-1)*100+1, 100))</f>
        <v/>
      </c>
      <c r="AK72" s="1">
        <v>45728</v>
      </c>
      <c r="AL72" s="2">
        <v>6</v>
      </c>
      <c r="AM72" s="2">
        <v>4.8</v>
      </c>
      <c r="AO72" t="str">
        <f>TRIM(MID(SUBSTITUTE($F72, ",", REPT(" ", 100)), (COLUMNS($AH$2:AO72)-1)*100+1, 100))</f>
        <v/>
      </c>
      <c r="AP72" t="str">
        <f>TRIM(MID(SUBSTITUTE($F72, ",", REPT(" ", 100)), (COLUMNS($AH$2:AP72)-1)*100+1, 100))</f>
        <v/>
      </c>
      <c r="AQ72" t="str">
        <f>TRIM(MID(SUBSTITUTE($F72, ",", REPT(" ", 100)), (COLUMNS($AH$2:AQ72)-1)*100+1, 100))</f>
        <v/>
      </c>
      <c r="AR72" t="str">
        <f>TRIM(MID(SUBSTITUTE($F72, ",", REPT(" ", 100)), (COLUMNS($AH$2:AR72)-1)*100+1, 100))</f>
        <v/>
      </c>
      <c r="AS72" t="str">
        <f>TRIM(MID(SUBSTITUTE($F72, ",", REPT(" ", 100)), (COLUMNS($AH$2:AS72)-1)*100+1, 100))</f>
        <v/>
      </c>
      <c r="AT72" t="str">
        <f>TRIM(MID(SUBSTITUTE($F72, ",", REPT(" ", 100)), (COLUMNS($AH$2:AT72)-1)*100+1, 100))</f>
        <v/>
      </c>
      <c r="AU72" t="str">
        <f>TRIM(MID(SUBSTITUTE($F72, ",", REPT(" ", 100)), (COLUMNS($AH$2:AU72)-1)*100+1, 100))</f>
        <v/>
      </c>
      <c r="AV72" t="str">
        <f>TRIM(MID(SUBSTITUTE($F72, ",", REPT(" ", 100)), (COLUMNS($AH$2:AV72)-1)*100+1, 100))</f>
        <v/>
      </c>
      <c r="AW72" t="str">
        <f>TRIM(MID(SUBSTITUTE($F72, ",", REPT(" ", 100)), (COLUMNS($AH$2:AW72)-1)*100+1, 100))</f>
        <v/>
      </c>
      <c r="AX72" t="str">
        <f>TRIM(MID(SUBSTITUTE($F72, ",", REPT(" ", 100)), (COLUMNS($AH$2:AX72)-1)*100+1, 100))</f>
        <v/>
      </c>
      <c r="AY72" t="str">
        <f>TRIM(MID(SUBSTITUTE($F72, ",", REPT(" ", 100)), (COLUMNS($AH$2:AY72)-1)*100+1, 100))</f>
        <v/>
      </c>
      <c r="AZ72" t="str">
        <f>TRIM(MID(SUBSTITUTE($F72, ",", REPT(" ", 100)), (COLUMNS($AH$2:AZ72)-1)*100+1, 100))</f>
        <v/>
      </c>
      <c r="BA72" t="str">
        <f>TRIM(MID(SUBSTITUTE($F72, ",", REPT(" ", 100)), (COLUMNS($AH$2:BA72)-1)*100+1, 100))</f>
        <v/>
      </c>
    </row>
    <row r="73" spans="1:53" x14ac:dyDescent="0.5">
      <c r="A73" s="1">
        <v>45729</v>
      </c>
      <c r="B73" s="2">
        <v>5</v>
      </c>
      <c r="C73" s="272"/>
      <c r="D73" s="295"/>
      <c r="E73" s="58">
        <v>1</v>
      </c>
      <c r="F73" s="38" t="s">
        <v>176</v>
      </c>
      <c r="AJ73" t="str">
        <f>TRIM(MID(SUBSTITUTE($F73, ",", REPT(" ", 100)), (COLUMNS($AH$2:AJ73)-1)*100+1, 100))</f>
        <v/>
      </c>
      <c r="AK73" s="1">
        <v>45729</v>
      </c>
      <c r="AL73" s="2">
        <v>6</v>
      </c>
      <c r="AM73" s="2">
        <v>5</v>
      </c>
      <c r="AO73" t="str">
        <f>TRIM(MID(SUBSTITUTE($F73, ",", REPT(" ", 100)), (COLUMNS($AH$2:AO73)-1)*100+1, 100))</f>
        <v/>
      </c>
      <c r="AP73" t="str">
        <f>TRIM(MID(SUBSTITUTE($F73, ",", REPT(" ", 100)), (COLUMNS($AH$2:AP73)-1)*100+1, 100))</f>
        <v/>
      </c>
      <c r="AQ73" t="str">
        <f>TRIM(MID(SUBSTITUTE($F73, ",", REPT(" ", 100)), (COLUMNS($AH$2:AQ73)-1)*100+1, 100))</f>
        <v/>
      </c>
      <c r="AR73" t="str">
        <f>TRIM(MID(SUBSTITUTE($F73, ",", REPT(" ", 100)), (COLUMNS($AH$2:AR73)-1)*100+1, 100))</f>
        <v/>
      </c>
      <c r="AS73" t="str">
        <f>TRIM(MID(SUBSTITUTE($F73, ",", REPT(" ", 100)), (COLUMNS($AH$2:AS73)-1)*100+1, 100))</f>
        <v/>
      </c>
      <c r="AT73" t="str">
        <f>TRIM(MID(SUBSTITUTE($F73, ",", REPT(" ", 100)), (COLUMNS($AH$2:AT73)-1)*100+1, 100))</f>
        <v/>
      </c>
      <c r="AU73" t="str">
        <f>TRIM(MID(SUBSTITUTE($F73, ",", REPT(" ", 100)), (COLUMNS($AH$2:AU73)-1)*100+1, 100))</f>
        <v/>
      </c>
      <c r="AV73" t="str">
        <f>TRIM(MID(SUBSTITUTE($F73, ",", REPT(" ", 100)), (COLUMNS($AH$2:AV73)-1)*100+1, 100))</f>
        <v/>
      </c>
      <c r="AW73" t="str">
        <f>TRIM(MID(SUBSTITUTE($F73, ",", REPT(" ", 100)), (COLUMNS($AH$2:AW73)-1)*100+1, 100))</f>
        <v/>
      </c>
      <c r="AX73" t="str">
        <f>TRIM(MID(SUBSTITUTE($F73, ",", REPT(" ", 100)), (COLUMNS($AH$2:AX73)-1)*100+1, 100))</f>
        <v/>
      </c>
      <c r="AY73" t="str">
        <f>TRIM(MID(SUBSTITUTE($F73, ",", REPT(" ", 100)), (COLUMNS($AH$2:AY73)-1)*100+1, 100))</f>
        <v/>
      </c>
      <c r="AZ73" t="str">
        <f>TRIM(MID(SUBSTITUTE($F73, ",", REPT(" ", 100)), (COLUMNS($AH$2:AZ73)-1)*100+1, 100))</f>
        <v/>
      </c>
      <c r="BA73" t="str">
        <f>TRIM(MID(SUBSTITUTE($F73, ",", REPT(" ", 100)), (COLUMNS($AH$2:BA73)-1)*100+1, 100))</f>
        <v/>
      </c>
    </row>
    <row r="74" spans="1:53" x14ac:dyDescent="0.5">
      <c r="A74" s="1">
        <v>45730</v>
      </c>
      <c r="B74" s="2">
        <v>4</v>
      </c>
      <c r="C74" s="272"/>
      <c r="D74" s="295"/>
      <c r="E74" s="58">
        <v>0</v>
      </c>
      <c r="F74" s="38" t="s">
        <v>176</v>
      </c>
      <c r="AJ74" t="str">
        <f>TRIM(MID(SUBSTITUTE($F74, ",", REPT(" ", 100)), (COLUMNS($AH$2:AJ74)-1)*100+1, 100))</f>
        <v/>
      </c>
      <c r="AK74" s="1">
        <v>45730</v>
      </c>
      <c r="AL74" s="2">
        <v>4</v>
      </c>
      <c r="AM74" s="2">
        <v>4</v>
      </c>
      <c r="AO74" t="str">
        <f>TRIM(MID(SUBSTITUTE($F74, ",", REPT(" ", 100)), (COLUMNS($AH$2:AO74)-1)*100+1, 100))</f>
        <v/>
      </c>
      <c r="AP74" t="str">
        <f>TRIM(MID(SUBSTITUTE($F74, ",", REPT(" ", 100)), (COLUMNS($AH$2:AP74)-1)*100+1, 100))</f>
        <v/>
      </c>
      <c r="AQ74" t="str">
        <f>TRIM(MID(SUBSTITUTE($F74, ",", REPT(" ", 100)), (COLUMNS($AH$2:AQ74)-1)*100+1, 100))</f>
        <v/>
      </c>
      <c r="AR74" t="str">
        <f>TRIM(MID(SUBSTITUTE($F74, ",", REPT(" ", 100)), (COLUMNS($AH$2:AR74)-1)*100+1, 100))</f>
        <v/>
      </c>
      <c r="AS74" t="str">
        <f>TRIM(MID(SUBSTITUTE($F74, ",", REPT(" ", 100)), (COLUMNS($AH$2:AS74)-1)*100+1, 100))</f>
        <v/>
      </c>
      <c r="AT74" t="str">
        <f>TRIM(MID(SUBSTITUTE($F74, ",", REPT(" ", 100)), (COLUMNS($AH$2:AT74)-1)*100+1, 100))</f>
        <v/>
      </c>
      <c r="AU74" t="str">
        <f>TRIM(MID(SUBSTITUTE($F74, ",", REPT(" ", 100)), (COLUMNS($AH$2:AU74)-1)*100+1, 100))</f>
        <v/>
      </c>
      <c r="AV74" t="str">
        <f>TRIM(MID(SUBSTITUTE($F74, ",", REPT(" ", 100)), (COLUMNS($AH$2:AV74)-1)*100+1, 100))</f>
        <v/>
      </c>
      <c r="AW74" t="str">
        <f>TRIM(MID(SUBSTITUTE($F74, ",", REPT(" ", 100)), (COLUMNS($AH$2:AW74)-1)*100+1, 100))</f>
        <v/>
      </c>
      <c r="AX74" t="str">
        <f>TRIM(MID(SUBSTITUTE($F74, ",", REPT(" ", 100)), (COLUMNS($AH$2:AX74)-1)*100+1, 100))</f>
        <v/>
      </c>
      <c r="AY74" t="str">
        <f>TRIM(MID(SUBSTITUTE($F74, ",", REPT(" ", 100)), (COLUMNS($AH$2:AY74)-1)*100+1, 100))</f>
        <v/>
      </c>
      <c r="AZ74" t="str">
        <f>TRIM(MID(SUBSTITUTE($F74, ",", REPT(" ", 100)), (COLUMNS($AH$2:AZ74)-1)*100+1, 100))</f>
        <v/>
      </c>
      <c r="BA74" t="str">
        <f>TRIM(MID(SUBSTITUTE($F74, ",", REPT(" ", 100)), (COLUMNS($AH$2:BA74)-1)*100+1, 100))</f>
        <v/>
      </c>
    </row>
    <row r="75" spans="1:53" x14ac:dyDescent="0.5">
      <c r="A75" s="1">
        <v>45731</v>
      </c>
      <c r="B75" s="2">
        <v>4</v>
      </c>
      <c r="C75" s="272"/>
      <c r="D75" s="295"/>
      <c r="E75" s="58">
        <v>0</v>
      </c>
      <c r="F75" s="38" t="s">
        <v>176</v>
      </c>
      <c r="AJ75" t="str">
        <f>TRIM(MID(SUBSTITUTE($F75, ",", REPT(" ", 100)), (COLUMNS($AH$2:AJ75)-1)*100+1, 100))</f>
        <v/>
      </c>
      <c r="AK75" s="1">
        <v>45731</v>
      </c>
      <c r="AL75" s="2">
        <v>6</v>
      </c>
      <c r="AM75" s="2">
        <v>4</v>
      </c>
      <c r="AO75" t="str">
        <f>TRIM(MID(SUBSTITUTE($F75, ",", REPT(" ", 100)), (COLUMNS($AH$2:AO75)-1)*100+1, 100))</f>
        <v/>
      </c>
      <c r="AP75" t="str">
        <f>TRIM(MID(SUBSTITUTE($F75, ",", REPT(" ", 100)), (COLUMNS($AH$2:AP75)-1)*100+1, 100))</f>
        <v/>
      </c>
      <c r="AQ75" t="str">
        <f>TRIM(MID(SUBSTITUTE($F75, ",", REPT(" ", 100)), (COLUMNS($AH$2:AQ75)-1)*100+1, 100))</f>
        <v/>
      </c>
      <c r="AR75" t="str">
        <f>TRIM(MID(SUBSTITUTE($F75, ",", REPT(" ", 100)), (COLUMNS($AH$2:AR75)-1)*100+1, 100))</f>
        <v/>
      </c>
      <c r="AS75" t="str">
        <f>TRIM(MID(SUBSTITUTE($F75, ",", REPT(" ", 100)), (COLUMNS($AH$2:AS75)-1)*100+1, 100))</f>
        <v/>
      </c>
      <c r="AT75" t="str">
        <f>TRIM(MID(SUBSTITUTE($F75, ",", REPT(" ", 100)), (COLUMNS($AH$2:AT75)-1)*100+1, 100))</f>
        <v/>
      </c>
      <c r="AU75" t="str">
        <f>TRIM(MID(SUBSTITUTE($F75, ",", REPT(" ", 100)), (COLUMNS($AH$2:AU75)-1)*100+1, 100))</f>
        <v/>
      </c>
      <c r="AV75" t="str">
        <f>TRIM(MID(SUBSTITUTE($F75, ",", REPT(" ", 100)), (COLUMNS($AH$2:AV75)-1)*100+1, 100))</f>
        <v/>
      </c>
      <c r="AW75" t="str">
        <f>TRIM(MID(SUBSTITUTE($F75, ",", REPT(" ", 100)), (COLUMNS($AH$2:AW75)-1)*100+1, 100))</f>
        <v/>
      </c>
      <c r="AX75" t="str">
        <f>TRIM(MID(SUBSTITUTE($F75, ",", REPT(" ", 100)), (COLUMNS($AH$2:AX75)-1)*100+1, 100))</f>
        <v/>
      </c>
      <c r="AY75" t="str">
        <f>TRIM(MID(SUBSTITUTE($F75, ",", REPT(" ", 100)), (COLUMNS($AH$2:AY75)-1)*100+1, 100))</f>
        <v/>
      </c>
      <c r="AZ75" t="str">
        <f>TRIM(MID(SUBSTITUTE($F75, ",", REPT(" ", 100)), (COLUMNS($AH$2:AZ75)-1)*100+1, 100))</f>
        <v/>
      </c>
      <c r="BA75" t="str">
        <f>TRIM(MID(SUBSTITUTE($F75, ",", REPT(" ", 100)), (COLUMNS($AH$2:BA75)-1)*100+1, 100))</f>
        <v/>
      </c>
    </row>
    <row r="76" spans="1:53" x14ac:dyDescent="0.5">
      <c r="A76" s="1">
        <v>45732</v>
      </c>
      <c r="B76" s="2">
        <v>5</v>
      </c>
      <c r="C76" s="272"/>
      <c r="D76" s="295"/>
      <c r="E76" s="58">
        <v>1</v>
      </c>
      <c r="F76" s="38" t="s">
        <v>176</v>
      </c>
      <c r="AJ76" t="str">
        <f>TRIM(MID(SUBSTITUTE($F76, ",", REPT(" ", 100)), (COLUMNS($AH$2:AJ76)-1)*100+1, 100))</f>
        <v/>
      </c>
      <c r="AK76" s="1">
        <v>45732</v>
      </c>
      <c r="AL76" s="2">
        <v>6</v>
      </c>
      <c r="AM76" s="2">
        <v>5</v>
      </c>
      <c r="AO76" t="str">
        <f>TRIM(MID(SUBSTITUTE($F76, ",", REPT(" ", 100)), (COLUMNS($AH$2:AO76)-1)*100+1, 100))</f>
        <v/>
      </c>
      <c r="AP76" t="str">
        <f>TRIM(MID(SUBSTITUTE($F76, ",", REPT(" ", 100)), (COLUMNS($AH$2:AP76)-1)*100+1, 100))</f>
        <v/>
      </c>
      <c r="AQ76" t="str">
        <f>TRIM(MID(SUBSTITUTE($F76, ",", REPT(" ", 100)), (COLUMNS($AH$2:AQ76)-1)*100+1, 100))</f>
        <v/>
      </c>
      <c r="AR76" t="str">
        <f>TRIM(MID(SUBSTITUTE($F76, ",", REPT(" ", 100)), (COLUMNS($AH$2:AR76)-1)*100+1, 100))</f>
        <v/>
      </c>
      <c r="AS76" t="str">
        <f>TRIM(MID(SUBSTITUTE($F76, ",", REPT(" ", 100)), (COLUMNS($AH$2:AS76)-1)*100+1, 100))</f>
        <v/>
      </c>
      <c r="AT76" t="str">
        <f>TRIM(MID(SUBSTITUTE($F76, ",", REPT(" ", 100)), (COLUMNS($AH$2:AT76)-1)*100+1, 100))</f>
        <v/>
      </c>
      <c r="AU76" t="str">
        <f>TRIM(MID(SUBSTITUTE($F76, ",", REPT(" ", 100)), (COLUMNS($AH$2:AU76)-1)*100+1, 100))</f>
        <v/>
      </c>
      <c r="AV76" t="str">
        <f>TRIM(MID(SUBSTITUTE($F76, ",", REPT(" ", 100)), (COLUMNS($AH$2:AV76)-1)*100+1, 100))</f>
        <v/>
      </c>
      <c r="AW76" t="str">
        <f>TRIM(MID(SUBSTITUTE($F76, ",", REPT(" ", 100)), (COLUMNS($AH$2:AW76)-1)*100+1, 100))</f>
        <v/>
      </c>
      <c r="AX76" t="str">
        <f>TRIM(MID(SUBSTITUTE($F76, ",", REPT(" ", 100)), (COLUMNS($AH$2:AX76)-1)*100+1, 100))</f>
        <v/>
      </c>
      <c r="AY76" t="str">
        <f>TRIM(MID(SUBSTITUTE($F76, ",", REPT(" ", 100)), (COLUMNS($AH$2:AY76)-1)*100+1, 100))</f>
        <v/>
      </c>
      <c r="AZ76" t="str">
        <f>TRIM(MID(SUBSTITUTE($F76, ",", REPT(" ", 100)), (COLUMNS($AH$2:AZ76)-1)*100+1, 100))</f>
        <v/>
      </c>
      <c r="BA76" t="str">
        <f>TRIM(MID(SUBSTITUTE($F76, ",", REPT(" ", 100)), (COLUMNS($AH$2:BA76)-1)*100+1, 100))</f>
        <v/>
      </c>
    </row>
    <row r="77" spans="1:53" x14ac:dyDescent="0.5">
      <c r="A77" s="1">
        <v>45733</v>
      </c>
      <c r="B77" s="2">
        <v>4.2</v>
      </c>
      <c r="C77" s="272"/>
      <c r="D77" s="295"/>
      <c r="E77" s="58">
        <v>0</v>
      </c>
      <c r="F77" s="38" t="s">
        <v>176</v>
      </c>
      <c r="AJ77" t="str">
        <f>TRIM(MID(SUBSTITUTE($F77, ",", REPT(" ", 100)), (COLUMNS($AH$2:AJ77)-1)*100+1, 100))</f>
        <v/>
      </c>
      <c r="AK77" s="1">
        <v>45733</v>
      </c>
      <c r="AL77" s="2">
        <v>4</v>
      </c>
      <c r="AM77" s="2">
        <v>4.2</v>
      </c>
      <c r="AO77" t="str">
        <f>TRIM(MID(SUBSTITUTE($F77, ",", REPT(" ", 100)), (COLUMNS($AH$2:AO77)-1)*100+1, 100))</f>
        <v/>
      </c>
      <c r="AP77" t="str">
        <f>TRIM(MID(SUBSTITUTE($F77, ",", REPT(" ", 100)), (COLUMNS($AH$2:AP77)-1)*100+1, 100))</f>
        <v/>
      </c>
      <c r="AQ77" t="str">
        <f>TRIM(MID(SUBSTITUTE($F77, ",", REPT(" ", 100)), (COLUMNS($AH$2:AQ77)-1)*100+1, 100))</f>
        <v/>
      </c>
      <c r="AR77" t="str">
        <f>TRIM(MID(SUBSTITUTE($F77, ",", REPT(" ", 100)), (COLUMNS($AH$2:AR77)-1)*100+1, 100))</f>
        <v/>
      </c>
      <c r="AS77" t="str">
        <f>TRIM(MID(SUBSTITUTE($F77, ",", REPT(" ", 100)), (COLUMNS($AH$2:AS77)-1)*100+1, 100))</f>
        <v/>
      </c>
      <c r="AT77" t="str">
        <f>TRIM(MID(SUBSTITUTE($F77, ",", REPT(" ", 100)), (COLUMNS($AH$2:AT77)-1)*100+1, 100))</f>
        <v/>
      </c>
      <c r="AU77" t="str">
        <f>TRIM(MID(SUBSTITUTE($F77, ",", REPT(" ", 100)), (COLUMNS($AH$2:AU77)-1)*100+1, 100))</f>
        <v/>
      </c>
      <c r="AV77" t="str">
        <f>TRIM(MID(SUBSTITUTE($F77, ",", REPT(" ", 100)), (COLUMNS($AH$2:AV77)-1)*100+1, 100))</f>
        <v/>
      </c>
      <c r="AW77" t="str">
        <f>TRIM(MID(SUBSTITUTE($F77, ",", REPT(" ", 100)), (COLUMNS($AH$2:AW77)-1)*100+1, 100))</f>
        <v/>
      </c>
      <c r="AX77" t="str">
        <f>TRIM(MID(SUBSTITUTE($F77, ",", REPT(" ", 100)), (COLUMNS($AH$2:AX77)-1)*100+1, 100))</f>
        <v/>
      </c>
      <c r="AY77" t="str">
        <f>TRIM(MID(SUBSTITUTE($F77, ",", REPT(" ", 100)), (COLUMNS($AH$2:AY77)-1)*100+1, 100))</f>
        <v/>
      </c>
      <c r="AZ77" t="str">
        <f>TRIM(MID(SUBSTITUTE($F77, ",", REPT(" ", 100)), (COLUMNS($AH$2:AZ77)-1)*100+1, 100))</f>
        <v/>
      </c>
      <c r="BA77" t="str">
        <f>TRIM(MID(SUBSTITUTE($F77, ",", REPT(" ", 100)), (COLUMNS($AH$2:BA77)-1)*100+1, 100))</f>
        <v/>
      </c>
    </row>
    <row r="78" spans="1:53" x14ac:dyDescent="0.5">
      <c r="A78" s="1">
        <v>45734</v>
      </c>
      <c r="B78" s="2">
        <v>5.5</v>
      </c>
      <c r="C78" s="272"/>
      <c r="D78" s="295"/>
      <c r="E78" s="58">
        <v>1</v>
      </c>
      <c r="F78" s="38" t="s">
        <v>176</v>
      </c>
      <c r="AJ78" t="str">
        <f>TRIM(MID(SUBSTITUTE($F78, ",", REPT(" ", 100)), (COLUMNS($AH$2:AJ78)-1)*100+1, 100))</f>
        <v/>
      </c>
      <c r="AK78" s="1">
        <v>45734</v>
      </c>
      <c r="AL78" s="2">
        <v>6</v>
      </c>
      <c r="AM78" s="2">
        <v>5.5</v>
      </c>
      <c r="AO78" t="str">
        <f>TRIM(MID(SUBSTITUTE($F78, ",", REPT(" ", 100)), (COLUMNS($AH$2:AO78)-1)*100+1, 100))</f>
        <v/>
      </c>
      <c r="AP78" t="str">
        <f>TRIM(MID(SUBSTITUTE($F78, ",", REPT(" ", 100)), (COLUMNS($AH$2:AP78)-1)*100+1, 100))</f>
        <v/>
      </c>
      <c r="AQ78" t="str">
        <f>TRIM(MID(SUBSTITUTE($F78, ",", REPT(" ", 100)), (COLUMNS($AH$2:AQ78)-1)*100+1, 100))</f>
        <v/>
      </c>
      <c r="AR78" t="str">
        <f>TRIM(MID(SUBSTITUTE($F78, ",", REPT(" ", 100)), (COLUMNS($AH$2:AR78)-1)*100+1, 100))</f>
        <v/>
      </c>
      <c r="AS78" t="str">
        <f>TRIM(MID(SUBSTITUTE($F78, ",", REPT(" ", 100)), (COLUMNS($AH$2:AS78)-1)*100+1, 100))</f>
        <v/>
      </c>
      <c r="AT78" t="str">
        <f>TRIM(MID(SUBSTITUTE($F78, ",", REPT(" ", 100)), (COLUMNS($AH$2:AT78)-1)*100+1, 100))</f>
        <v/>
      </c>
      <c r="AU78" t="str">
        <f>TRIM(MID(SUBSTITUTE($F78, ",", REPT(" ", 100)), (COLUMNS($AH$2:AU78)-1)*100+1, 100))</f>
        <v/>
      </c>
      <c r="AV78" t="str">
        <f>TRIM(MID(SUBSTITUTE($F78, ",", REPT(" ", 100)), (COLUMNS($AH$2:AV78)-1)*100+1, 100))</f>
        <v/>
      </c>
      <c r="AW78" t="str">
        <f>TRIM(MID(SUBSTITUTE($F78, ",", REPT(" ", 100)), (COLUMNS($AH$2:AW78)-1)*100+1, 100))</f>
        <v/>
      </c>
      <c r="AX78" t="str">
        <f>TRIM(MID(SUBSTITUTE($F78, ",", REPT(" ", 100)), (COLUMNS($AH$2:AX78)-1)*100+1, 100))</f>
        <v/>
      </c>
      <c r="AY78" t="str">
        <f>TRIM(MID(SUBSTITUTE($F78, ",", REPT(" ", 100)), (COLUMNS($AH$2:AY78)-1)*100+1, 100))</f>
        <v/>
      </c>
      <c r="AZ78" t="str">
        <f>TRIM(MID(SUBSTITUTE($F78, ",", REPT(" ", 100)), (COLUMNS($AH$2:AZ78)-1)*100+1, 100))</f>
        <v/>
      </c>
      <c r="BA78" t="str">
        <f>TRIM(MID(SUBSTITUTE($F78, ",", REPT(" ", 100)), (COLUMNS($AH$2:BA78)-1)*100+1, 100))</f>
        <v/>
      </c>
    </row>
    <row r="79" spans="1:53" x14ac:dyDescent="0.5">
      <c r="A79" s="1">
        <v>45735</v>
      </c>
      <c r="B79" s="2">
        <v>3</v>
      </c>
      <c r="C79" s="272"/>
      <c r="D79" s="295"/>
      <c r="E79" s="58">
        <v>0</v>
      </c>
      <c r="F79" s="38" t="s">
        <v>176</v>
      </c>
      <c r="AJ79" t="str">
        <f>TRIM(MID(SUBSTITUTE($F79, ",", REPT(" ", 100)), (COLUMNS($AH$2:AJ79)-1)*100+1, 100))</f>
        <v/>
      </c>
      <c r="AK79" s="1">
        <v>45735</v>
      </c>
      <c r="AL79" s="2">
        <v>2</v>
      </c>
      <c r="AM79" s="2">
        <v>3</v>
      </c>
      <c r="AO79" t="str">
        <f>TRIM(MID(SUBSTITUTE($F79, ",", REPT(" ", 100)), (COLUMNS($AH$2:AO79)-1)*100+1, 100))</f>
        <v/>
      </c>
      <c r="AP79" t="str">
        <f>TRIM(MID(SUBSTITUTE($F79, ",", REPT(" ", 100)), (COLUMNS($AH$2:AP79)-1)*100+1, 100))</f>
        <v/>
      </c>
      <c r="AQ79" t="str">
        <f>TRIM(MID(SUBSTITUTE($F79, ",", REPT(" ", 100)), (COLUMNS($AH$2:AQ79)-1)*100+1, 100))</f>
        <v/>
      </c>
      <c r="AR79" t="str">
        <f>TRIM(MID(SUBSTITUTE($F79, ",", REPT(" ", 100)), (COLUMNS($AH$2:AR79)-1)*100+1, 100))</f>
        <v/>
      </c>
      <c r="AS79" t="str">
        <f>TRIM(MID(SUBSTITUTE($F79, ",", REPT(" ", 100)), (COLUMNS($AH$2:AS79)-1)*100+1, 100))</f>
        <v/>
      </c>
      <c r="AT79" t="str">
        <f>TRIM(MID(SUBSTITUTE($F79, ",", REPT(" ", 100)), (COLUMNS($AH$2:AT79)-1)*100+1, 100))</f>
        <v/>
      </c>
      <c r="AU79" t="str">
        <f>TRIM(MID(SUBSTITUTE($F79, ",", REPT(" ", 100)), (COLUMNS($AH$2:AU79)-1)*100+1, 100))</f>
        <v/>
      </c>
      <c r="AV79" t="str">
        <f>TRIM(MID(SUBSTITUTE($F79, ",", REPT(" ", 100)), (COLUMNS($AH$2:AV79)-1)*100+1, 100))</f>
        <v/>
      </c>
      <c r="AW79" t="str">
        <f>TRIM(MID(SUBSTITUTE($F79, ",", REPT(" ", 100)), (COLUMNS($AH$2:AW79)-1)*100+1, 100))</f>
        <v/>
      </c>
      <c r="AX79" t="str">
        <f>TRIM(MID(SUBSTITUTE($F79, ",", REPT(" ", 100)), (COLUMNS($AH$2:AX79)-1)*100+1, 100))</f>
        <v/>
      </c>
      <c r="AY79" t="str">
        <f>TRIM(MID(SUBSTITUTE($F79, ",", REPT(" ", 100)), (COLUMNS($AH$2:AY79)-1)*100+1, 100))</f>
        <v/>
      </c>
      <c r="AZ79" t="str">
        <f>TRIM(MID(SUBSTITUTE($F79, ",", REPT(" ", 100)), (COLUMNS($AH$2:AZ79)-1)*100+1, 100))</f>
        <v/>
      </c>
      <c r="BA79" t="str">
        <f>TRIM(MID(SUBSTITUTE($F79, ",", REPT(" ", 100)), (COLUMNS($AH$2:BA79)-1)*100+1, 100))</f>
        <v/>
      </c>
    </row>
    <row r="80" spans="1:53" x14ac:dyDescent="0.5">
      <c r="A80" s="1">
        <v>45736</v>
      </c>
      <c r="B80" s="2">
        <v>5</v>
      </c>
      <c r="C80" s="272"/>
      <c r="D80" s="295"/>
      <c r="E80" s="58">
        <v>1</v>
      </c>
      <c r="F80" s="38" t="s">
        <v>176</v>
      </c>
      <c r="AJ80" t="str">
        <f>TRIM(MID(SUBSTITUTE($F80, ",", REPT(" ", 100)), (COLUMNS($AH$2:AJ80)-1)*100+1, 100))</f>
        <v/>
      </c>
      <c r="AK80" s="1">
        <v>45736</v>
      </c>
      <c r="AL80" s="2">
        <v>8</v>
      </c>
      <c r="AM80" s="2">
        <v>5</v>
      </c>
      <c r="AO80" t="str">
        <f>TRIM(MID(SUBSTITUTE($F80, ",", REPT(" ", 100)), (COLUMNS($AH$2:AO80)-1)*100+1, 100))</f>
        <v/>
      </c>
      <c r="AP80" t="str">
        <f>TRIM(MID(SUBSTITUTE($F80, ",", REPT(" ", 100)), (COLUMNS($AH$2:AP80)-1)*100+1, 100))</f>
        <v/>
      </c>
      <c r="AQ80" t="str">
        <f>TRIM(MID(SUBSTITUTE($F80, ",", REPT(" ", 100)), (COLUMNS($AH$2:AQ80)-1)*100+1, 100))</f>
        <v/>
      </c>
      <c r="AR80" t="str">
        <f>TRIM(MID(SUBSTITUTE($F80, ",", REPT(" ", 100)), (COLUMNS($AH$2:AR80)-1)*100+1, 100))</f>
        <v/>
      </c>
      <c r="AS80" t="str">
        <f>TRIM(MID(SUBSTITUTE($F80, ",", REPT(" ", 100)), (COLUMNS($AH$2:AS80)-1)*100+1, 100))</f>
        <v/>
      </c>
      <c r="AT80" t="str">
        <f>TRIM(MID(SUBSTITUTE($F80, ",", REPT(" ", 100)), (COLUMNS($AH$2:AT80)-1)*100+1, 100))</f>
        <v/>
      </c>
      <c r="AU80" t="str">
        <f>TRIM(MID(SUBSTITUTE($F80, ",", REPT(" ", 100)), (COLUMNS($AH$2:AU80)-1)*100+1, 100))</f>
        <v/>
      </c>
      <c r="AV80" t="str">
        <f>TRIM(MID(SUBSTITUTE($F80, ",", REPT(" ", 100)), (COLUMNS($AH$2:AV80)-1)*100+1, 100))</f>
        <v/>
      </c>
      <c r="AW80" t="str">
        <f>TRIM(MID(SUBSTITUTE($F80, ",", REPT(" ", 100)), (COLUMNS($AH$2:AW80)-1)*100+1, 100))</f>
        <v/>
      </c>
      <c r="AX80" t="str">
        <f>TRIM(MID(SUBSTITUTE($F80, ",", REPT(" ", 100)), (COLUMNS($AH$2:AX80)-1)*100+1, 100))</f>
        <v/>
      </c>
      <c r="AY80" t="str">
        <f>TRIM(MID(SUBSTITUTE($F80, ",", REPT(" ", 100)), (COLUMNS($AH$2:AY80)-1)*100+1, 100))</f>
        <v/>
      </c>
      <c r="AZ80" t="str">
        <f>TRIM(MID(SUBSTITUTE($F80, ",", REPT(" ", 100)), (COLUMNS($AH$2:AZ80)-1)*100+1, 100))</f>
        <v/>
      </c>
      <c r="BA80" t="str">
        <f>TRIM(MID(SUBSTITUTE($F80, ",", REPT(" ", 100)), (COLUMNS($AH$2:BA80)-1)*100+1, 100))</f>
        <v/>
      </c>
    </row>
    <row r="81" spans="1:53" x14ac:dyDescent="0.5">
      <c r="A81" s="1">
        <v>45737</v>
      </c>
      <c r="B81" s="2">
        <v>5</v>
      </c>
      <c r="C81" s="272"/>
      <c r="D81" s="295"/>
      <c r="E81" s="58">
        <v>1</v>
      </c>
      <c r="F81" s="38" t="s">
        <v>176</v>
      </c>
      <c r="AJ81" t="str">
        <f>TRIM(MID(SUBSTITUTE($F81, ",", REPT(" ", 100)), (COLUMNS($AH$2:AJ81)-1)*100+1, 100))</f>
        <v/>
      </c>
      <c r="AK81" s="1">
        <v>45737</v>
      </c>
      <c r="AL81" s="2">
        <v>6</v>
      </c>
      <c r="AM81" s="2">
        <v>5</v>
      </c>
      <c r="AO81" t="str">
        <f>TRIM(MID(SUBSTITUTE($F81, ",", REPT(" ", 100)), (COLUMNS($AH$2:AO81)-1)*100+1, 100))</f>
        <v/>
      </c>
      <c r="AP81" t="str">
        <f>TRIM(MID(SUBSTITUTE($F81, ",", REPT(" ", 100)), (COLUMNS($AH$2:AP81)-1)*100+1, 100))</f>
        <v/>
      </c>
      <c r="AQ81" t="str">
        <f>TRIM(MID(SUBSTITUTE($F81, ",", REPT(" ", 100)), (COLUMNS($AH$2:AQ81)-1)*100+1, 100))</f>
        <v/>
      </c>
      <c r="AR81" t="str">
        <f>TRIM(MID(SUBSTITUTE($F81, ",", REPT(" ", 100)), (COLUMNS($AH$2:AR81)-1)*100+1, 100))</f>
        <v/>
      </c>
      <c r="AS81" t="str">
        <f>TRIM(MID(SUBSTITUTE($F81, ",", REPT(" ", 100)), (COLUMNS($AH$2:AS81)-1)*100+1, 100))</f>
        <v/>
      </c>
      <c r="AT81" t="str">
        <f>TRIM(MID(SUBSTITUTE($F81, ",", REPT(" ", 100)), (COLUMNS($AH$2:AT81)-1)*100+1, 100))</f>
        <v/>
      </c>
      <c r="AU81" t="str">
        <f>TRIM(MID(SUBSTITUTE($F81, ",", REPT(" ", 100)), (COLUMNS($AH$2:AU81)-1)*100+1, 100))</f>
        <v/>
      </c>
      <c r="AV81" t="str">
        <f>TRIM(MID(SUBSTITUTE($F81, ",", REPT(" ", 100)), (COLUMNS($AH$2:AV81)-1)*100+1, 100))</f>
        <v/>
      </c>
      <c r="AW81" t="str">
        <f>TRIM(MID(SUBSTITUTE($F81, ",", REPT(" ", 100)), (COLUMNS($AH$2:AW81)-1)*100+1, 100))</f>
        <v/>
      </c>
      <c r="AX81" t="str">
        <f>TRIM(MID(SUBSTITUTE($F81, ",", REPT(" ", 100)), (COLUMNS($AH$2:AX81)-1)*100+1, 100))</f>
        <v/>
      </c>
      <c r="AY81" t="str">
        <f>TRIM(MID(SUBSTITUTE($F81, ",", REPT(" ", 100)), (COLUMNS($AH$2:AY81)-1)*100+1, 100))</f>
        <v/>
      </c>
      <c r="AZ81" t="str">
        <f>TRIM(MID(SUBSTITUTE($F81, ",", REPT(" ", 100)), (COLUMNS($AH$2:AZ81)-1)*100+1, 100))</f>
        <v/>
      </c>
      <c r="BA81" t="str">
        <f>TRIM(MID(SUBSTITUTE($F81, ",", REPT(" ", 100)), (COLUMNS($AH$2:BA81)-1)*100+1, 100))</f>
        <v/>
      </c>
    </row>
    <row r="82" spans="1:53" x14ac:dyDescent="0.5">
      <c r="A82" s="1">
        <v>45738</v>
      </c>
      <c r="B82" s="2">
        <v>7.5</v>
      </c>
      <c r="C82" s="272"/>
      <c r="D82" s="295"/>
      <c r="E82" s="58">
        <v>1</v>
      </c>
      <c r="F82" s="38" t="s">
        <v>176</v>
      </c>
      <c r="AJ82" t="str">
        <f>TRIM(MID(SUBSTITUTE($F82, ",", REPT(" ", 100)), (COLUMNS($AH$2:AJ82)-1)*100+1, 100))</f>
        <v/>
      </c>
      <c r="AK82" s="1">
        <v>45738</v>
      </c>
      <c r="AL82" s="2">
        <v>8</v>
      </c>
      <c r="AM82" s="2">
        <v>7.5</v>
      </c>
      <c r="AO82" t="str">
        <f>TRIM(MID(SUBSTITUTE($F82, ",", REPT(" ", 100)), (COLUMNS($AH$2:AO82)-1)*100+1, 100))</f>
        <v/>
      </c>
      <c r="AP82" t="str">
        <f>TRIM(MID(SUBSTITUTE($F82, ",", REPT(" ", 100)), (COLUMNS($AH$2:AP82)-1)*100+1, 100))</f>
        <v/>
      </c>
      <c r="AQ82" t="str">
        <f>TRIM(MID(SUBSTITUTE($F82, ",", REPT(" ", 100)), (COLUMNS($AH$2:AQ82)-1)*100+1, 100))</f>
        <v/>
      </c>
      <c r="AR82" t="str">
        <f>TRIM(MID(SUBSTITUTE($F82, ",", REPT(" ", 100)), (COLUMNS($AH$2:AR82)-1)*100+1, 100))</f>
        <v/>
      </c>
      <c r="AS82" t="str">
        <f>TRIM(MID(SUBSTITUTE($F82, ",", REPT(" ", 100)), (COLUMNS($AH$2:AS82)-1)*100+1, 100))</f>
        <v/>
      </c>
      <c r="AT82" t="str">
        <f>TRIM(MID(SUBSTITUTE($F82, ",", REPT(" ", 100)), (COLUMNS($AH$2:AT82)-1)*100+1, 100))</f>
        <v/>
      </c>
      <c r="AU82" t="str">
        <f>TRIM(MID(SUBSTITUTE($F82, ",", REPT(" ", 100)), (COLUMNS($AH$2:AU82)-1)*100+1, 100))</f>
        <v/>
      </c>
      <c r="AV82" t="str">
        <f>TRIM(MID(SUBSTITUTE($F82, ",", REPT(" ", 100)), (COLUMNS($AH$2:AV82)-1)*100+1, 100))</f>
        <v/>
      </c>
      <c r="AW82" t="str">
        <f>TRIM(MID(SUBSTITUTE($F82, ",", REPT(" ", 100)), (COLUMNS($AH$2:AW82)-1)*100+1, 100))</f>
        <v/>
      </c>
      <c r="AX82" t="str">
        <f>TRIM(MID(SUBSTITUTE($F82, ",", REPT(" ", 100)), (COLUMNS($AH$2:AX82)-1)*100+1, 100))</f>
        <v/>
      </c>
      <c r="AY82" t="str">
        <f>TRIM(MID(SUBSTITUTE($F82, ",", REPT(" ", 100)), (COLUMNS($AH$2:AY82)-1)*100+1, 100))</f>
        <v/>
      </c>
      <c r="AZ82" t="str">
        <f>TRIM(MID(SUBSTITUTE($F82, ",", REPT(" ", 100)), (COLUMNS($AH$2:AZ82)-1)*100+1, 100))</f>
        <v/>
      </c>
      <c r="BA82" t="str">
        <f>TRIM(MID(SUBSTITUTE($F82, ",", REPT(" ", 100)), (COLUMNS($AH$2:BA82)-1)*100+1, 100))</f>
        <v/>
      </c>
    </row>
    <row r="83" spans="1:53" x14ac:dyDescent="0.5">
      <c r="A83" s="1">
        <v>45739</v>
      </c>
      <c r="B83" s="2">
        <v>7</v>
      </c>
      <c r="C83" s="272"/>
      <c r="D83" s="295"/>
      <c r="E83" s="58">
        <v>1</v>
      </c>
      <c r="F83" s="38" t="s">
        <v>176</v>
      </c>
      <c r="G83" s="38" t="s">
        <v>259</v>
      </c>
      <c r="AJ83" t="str">
        <f>TRIM(MID(SUBSTITUTE($F83, ",", REPT(" ", 100)), (COLUMNS($AH$2:AJ83)-1)*100+1, 100))</f>
        <v/>
      </c>
      <c r="AK83" s="1">
        <v>45739</v>
      </c>
      <c r="AL83" s="2">
        <v>6</v>
      </c>
      <c r="AM83" s="2">
        <v>7</v>
      </c>
      <c r="AO83" t="str">
        <f>TRIM(MID(SUBSTITUTE($F83, ",", REPT(" ", 100)), (COLUMNS($AH$2:AO83)-1)*100+1, 100))</f>
        <v/>
      </c>
      <c r="AP83" t="str">
        <f>TRIM(MID(SUBSTITUTE($F83, ",", REPT(" ", 100)), (COLUMNS($AH$2:AP83)-1)*100+1, 100))</f>
        <v/>
      </c>
      <c r="AQ83" t="str">
        <f>TRIM(MID(SUBSTITUTE($F83, ",", REPT(" ", 100)), (COLUMNS($AH$2:AQ83)-1)*100+1, 100))</f>
        <v/>
      </c>
      <c r="AR83" t="str">
        <f>TRIM(MID(SUBSTITUTE($F83, ",", REPT(" ", 100)), (COLUMNS($AH$2:AR83)-1)*100+1, 100))</f>
        <v/>
      </c>
      <c r="AS83" t="str">
        <f>TRIM(MID(SUBSTITUTE($F83, ",", REPT(" ", 100)), (COLUMNS($AH$2:AS83)-1)*100+1, 100))</f>
        <v/>
      </c>
      <c r="AT83" t="str">
        <f>TRIM(MID(SUBSTITUTE($F83, ",", REPT(" ", 100)), (COLUMNS($AH$2:AT83)-1)*100+1, 100))</f>
        <v/>
      </c>
      <c r="AU83" t="str">
        <f>TRIM(MID(SUBSTITUTE($F83, ",", REPT(" ", 100)), (COLUMNS($AH$2:AU83)-1)*100+1, 100))</f>
        <v/>
      </c>
      <c r="AV83" t="str">
        <f>TRIM(MID(SUBSTITUTE($F83, ",", REPT(" ", 100)), (COLUMNS($AH$2:AV83)-1)*100+1, 100))</f>
        <v/>
      </c>
      <c r="AW83" t="str">
        <f>TRIM(MID(SUBSTITUTE($F83, ",", REPT(" ", 100)), (COLUMNS($AH$2:AW83)-1)*100+1, 100))</f>
        <v/>
      </c>
      <c r="AX83" t="str">
        <f>TRIM(MID(SUBSTITUTE($F83, ",", REPT(" ", 100)), (COLUMNS($AH$2:AX83)-1)*100+1, 100))</f>
        <v/>
      </c>
      <c r="AY83" t="str">
        <f>TRIM(MID(SUBSTITUTE($F83, ",", REPT(" ", 100)), (COLUMNS($AH$2:AY83)-1)*100+1, 100))</f>
        <v/>
      </c>
      <c r="AZ83" t="str">
        <f>TRIM(MID(SUBSTITUTE($F83, ",", REPT(" ", 100)), (COLUMNS($AH$2:AZ83)-1)*100+1, 100))</f>
        <v/>
      </c>
      <c r="BA83" t="str">
        <f>TRIM(MID(SUBSTITUTE($F83, ",", REPT(" ", 100)), (COLUMNS($AH$2:BA83)-1)*100+1, 100))</f>
        <v/>
      </c>
    </row>
    <row r="84" spans="1:53" x14ac:dyDescent="0.5">
      <c r="A84" s="1">
        <v>45740</v>
      </c>
      <c r="B84" s="2">
        <v>4</v>
      </c>
      <c r="C84" s="272"/>
      <c r="D84" s="295"/>
      <c r="E84" s="58">
        <v>0</v>
      </c>
      <c r="F84" s="38" t="s">
        <v>176</v>
      </c>
      <c r="AJ84" t="str">
        <f>TRIM(MID(SUBSTITUTE($F84, ",", REPT(" ", 100)), (COLUMNS($AH$2:AJ84)-1)*100+1, 100))</f>
        <v/>
      </c>
      <c r="AK84" s="1">
        <v>45740</v>
      </c>
      <c r="AL84" s="2">
        <v>2</v>
      </c>
      <c r="AM84" s="2">
        <v>4.5</v>
      </c>
      <c r="AO84" t="str">
        <f>TRIM(MID(SUBSTITUTE($F84, ",", REPT(" ", 100)), (COLUMNS($AH$2:AO84)-1)*100+1, 100))</f>
        <v/>
      </c>
      <c r="AP84" t="str">
        <f>TRIM(MID(SUBSTITUTE($F84, ",", REPT(" ", 100)), (COLUMNS($AH$2:AP84)-1)*100+1, 100))</f>
        <v/>
      </c>
      <c r="AQ84" t="str">
        <f>TRIM(MID(SUBSTITUTE($F84, ",", REPT(" ", 100)), (COLUMNS($AH$2:AQ84)-1)*100+1, 100))</f>
        <v/>
      </c>
      <c r="AR84" t="str">
        <f>TRIM(MID(SUBSTITUTE($F84, ",", REPT(" ", 100)), (COLUMNS($AH$2:AR84)-1)*100+1, 100))</f>
        <v/>
      </c>
      <c r="AS84" t="str">
        <f>TRIM(MID(SUBSTITUTE($F84, ",", REPT(" ", 100)), (COLUMNS($AH$2:AS84)-1)*100+1, 100))</f>
        <v/>
      </c>
      <c r="AT84" t="str">
        <f>TRIM(MID(SUBSTITUTE($F84, ",", REPT(" ", 100)), (COLUMNS($AH$2:AT84)-1)*100+1, 100))</f>
        <v/>
      </c>
      <c r="AU84" t="str">
        <f>TRIM(MID(SUBSTITUTE($F84, ",", REPT(" ", 100)), (COLUMNS($AH$2:AU84)-1)*100+1, 100))</f>
        <v/>
      </c>
      <c r="AV84" t="str">
        <f>TRIM(MID(SUBSTITUTE($F84, ",", REPT(" ", 100)), (COLUMNS($AH$2:AV84)-1)*100+1, 100))</f>
        <v/>
      </c>
      <c r="AW84" t="str">
        <f>TRIM(MID(SUBSTITUTE($F84, ",", REPT(" ", 100)), (COLUMNS($AH$2:AW84)-1)*100+1, 100))</f>
        <v/>
      </c>
      <c r="AX84" t="str">
        <f>TRIM(MID(SUBSTITUTE($F84, ",", REPT(" ", 100)), (COLUMNS($AH$2:AX84)-1)*100+1, 100))</f>
        <v/>
      </c>
      <c r="AY84" t="str">
        <f>TRIM(MID(SUBSTITUTE($F84, ",", REPT(" ", 100)), (COLUMNS($AH$2:AY84)-1)*100+1, 100))</f>
        <v/>
      </c>
      <c r="AZ84" t="str">
        <f>TRIM(MID(SUBSTITUTE($F84, ",", REPT(" ", 100)), (COLUMNS($AH$2:AZ84)-1)*100+1, 100))</f>
        <v/>
      </c>
      <c r="BA84" t="str">
        <f>TRIM(MID(SUBSTITUTE($F84, ",", REPT(" ", 100)), (COLUMNS($AH$2:BA84)-1)*100+1, 100))</f>
        <v/>
      </c>
    </row>
    <row r="85" spans="1:53" x14ac:dyDescent="0.5">
      <c r="A85" s="1">
        <v>45741</v>
      </c>
      <c r="B85" s="2">
        <v>5.5</v>
      </c>
      <c r="C85" s="272"/>
      <c r="D85" s="295"/>
      <c r="E85" s="58">
        <v>1</v>
      </c>
      <c r="F85" s="38" t="s">
        <v>176</v>
      </c>
      <c r="AJ85" t="str">
        <f>TRIM(MID(SUBSTITUTE($F85, ",", REPT(" ", 100)), (COLUMNS($AH$2:AJ85)-1)*100+1, 100))</f>
        <v/>
      </c>
      <c r="AK85" s="1">
        <v>45741</v>
      </c>
      <c r="AL85" s="2">
        <v>8</v>
      </c>
      <c r="AM85" s="2">
        <v>5.5</v>
      </c>
      <c r="AO85" t="str">
        <f>TRIM(MID(SUBSTITUTE($F85, ",", REPT(" ", 100)), (COLUMNS($AH$2:AO85)-1)*100+1, 100))</f>
        <v/>
      </c>
      <c r="AP85" t="str">
        <f>TRIM(MID(SUBSTITUTE($F85, ",", REPT(" ", 100)), (COLUMNS($AH$2:AP85)-1)*100+1, 100))</f>
        <v/>
      </c>
      <c r="AQ85" t="str">
        <f>TRIM(MID(SUBSTITUTE($F85, ",", REPT(" ", 100)), (COLUMNS($AH$2:AQ85)-1)*100+1, 100))</f>
        <v/>
      </c>
      <c r="AR85" t="str">
        <f>TRIM(MID(SUBSTITUTE($F85, ",", REPT(" ", 100)), (COLUMNS($AH$2:AR85)-1)*100+1, 100))</f>
        <v/>
      </c>
      <c r="AS85" t="str">
        <f>TRIM(MID(SUBSTITUTE($F85, ",", REPT(" ", 100)), (COLUMNS($AH$2:AS85)-1)*100+1, 100))</f>
        <v/>
      </c>
      <c r="AT85" t="str">
        <f>TRIM(MID(SUBSTITUTE($F85, ",", REPT(" ", 100)), (COLUMNS($AH$2:AT85)-1)*100+1, 100))</f>
        <v/>
      </c>
      <c r="AU85" t="str">
        <f>TRIM(MID(SUBSTITUTE($F85, ",", REPT(" ", 100)), (COLUMNS($AH$2:AU85)-1)*100+1, 100))</f>
        <v/>
      </c>
      <c r="AV85" t="str">
        <f>TRIM(MID(SUBSTITUTE($F85, ",", REPT(" ", 100)), (COLUMNS($AH$2:AV85)-1)*100+1, 100))</f>
        <v/>
      </c>
      <c r="AW85" t="str">
        <f>TRIM(MID(SUBSTITUTE($F85, ",", REPT(" ", 100)), (COLUMNS($AH$2:AW85)-1)*100+1, 100))</f>
        <v/>
      </c>
      <c r="AX85" t="str">
        <f>TRIM(MID(SUBSTITUTE($F85, ",", REPT(" ", 100)), (COLUMNS($AH$2:AX85)-1)*100+1, 100))</f>
        <v/>
      </c>
      <c r="AY85" t="str">
        <f>TRIM(MID(SUBSTITUTE($F85, ",", REPT(" ", 100)), (COLUMNS($AH$2:AY85)-1)*100+1, 100))</f>
        <v/>
      </c>
      <c r="AZ85" t="str">
        <f>TRIM(MID(SUBSTITUTE($F85, ",", REPT(" ", 100)), (COLUMNS($AH$2:AZ85)-1)*100+1, 100))</f>
        <v/>
      </c>
      <c r="BA85" t="str">
        <f>TRIM(MID(SUBSTITUTE($F85, ",", REPT(" ", 100)), (COLUMNS($AH$2:BA85)-1)*100+1, 100))</f>
        <v/>
      </c>
    </row>
    <row r="86" spans="1:53" x14ac:dyDescent="0.5">
      <c r="A86" s="1">
        <v>45742</v>
      </c>
      <c r="B86" s="2">
        <v>6</v>
      </c>
      <c r="C86" s="272"/>
      <c r="D86" s="295"/>
      <c r="E86" s="58">
        <v>1</v>
      </c>
      <c r="F86" s="38" t="s">
        <v>176</v>
      </c>
      <c r="G86" s="38" t="s">
        <v>260</v>
      </c>
      <c r="AJ86" t="str">
        <f>TRIM(MID(SUBSTITUTE($F86, ",", REPT(" ", 100)), (COLUMNS($AH$2:AJ86)-1)*100+1, 100))</f>
        <v/>
      </c>
      <c r="AK86" s="1">
        <v>45742</v>
      </c>
      <c r="AL86" s="2">
        <v>6</v>
      </c>
      <c r="AM86" s="2">
        <v>6</v>
      </c>
      <c r="AO86" t="str">
        <f>TRIM(MID(SUBSTITUTE($F86, ",", REPT(" ", 100)), (COLUMNS($AH$2:AO86)-1)*100+1, 100))</f>
        <v/>
      </c>
      <c r="AP86" t="str">
        <f>TRIM(MID(SUBSTITUTE($F86, ",", REPT(" ", 100)), (COLUMNS($AH$2:AP86)-1)*100+1, 100))</f>
        <v/>
      </c>
      <c r="AQ86" t="str">
        <f>TRIM(MID(SUBSTITUTE($F86, ",", REPT(" ", 100)), (COLUMNS($AH$2:AQ86)-1)*100+1, 100))</f>
        <v/>
      </c>
      <c r="AR86" t="str">
        <f>TRIM(MID(SUBSTITUTE($F86, ",", REPT(" ", 100)), (COLUMNS($AH$2:AR86)-1)*100+1, 100))</f>
        <v/>
      </c>
      <c r="AS86" t="str">
        <f>TRIM(MID(SUBSTITUTE($F86, ",", REPT(" ", 100)), (COLUMNS($AH$2:AS86)-1)*100+1, 100))</f>
        <v/>
      </c>
      <c r="AT86" t="str">
        <f>TRIM(MID(SUBSTITUTE($F86, ",", REPT(" ", 100)), (COLUMNS($AH$2:AT86)-1)*100+1, 100))</f>
        <v/>
      </c>
      <c r="AU86" t="str">
        <f>TRIM(MID(SUBSTITUTE($F86, ",", REPT(" ", 100)), (COLUMNS($AH$2:AU86)-1)*100+1, 100))</f>
        <v/>
      </c>
      <c r="AV86" t="str">
        <f>TRIM(MID(SUBSTITUTE($F86, ",", REPT(" ", 100)), (COLUMNS($AH$2:AV86)-1)*100+1, 100))</f>
        <v/>
      </c>
      <c r="AW86" t="str">
        <f>TRIM(MID(SUBSTITUTE($F86, ",", REPT(" ", 100)), (COLUMNS($AH$2:AW86)-1)*100+1, 100))</f>
        <v/>
      </c>
      <c r="AX86" t="str">
        <f>TRIM(MID(SUBSTITUTE($F86, ",", REPT(" ", 100)), (COLUMNS($AH$2:AX86)-1)*100+1, 100))</f>
        <v/>
      </c>
      <c r="AY86" t="str">
        <f>TRIM(MID(SUBSTITUTE($F86, ",", REPT(" ", 100)), (COLUMNS($AH$2:AY86)-1)*100+1, 100))</f>
        <v/>
      </c>
      <c r="AZ86" t="str">
        <f>TRIM(MID(SUBSTITUTE($F86, ",", REPT(" ", 100)), (COLUMNS($AH$2:AZ86)-1)*100+1, 100))</f>
        <v/>
      </c>
      <c r="BA86" t="str">
        <f>TRIM(MID(SUBSTITUTE($F86, ",", REPT(" ", 100)), (COLUMNS($AH$2:BA86)-1)*100+1, 100))</f>
        <v/>
      </c>
    </row>
    <row r="87" spans="1:53" x14ac:dyDescent="0.5">
      <c r="A87" s="1">
        <v>45743</v>
      </c>
      <c r="B87" s="2">
        <v>5.2</v>
      </c>
      <c r="C87" s="272"/>
      <c r="D87" s="295"/>
      <c r="E87" s="58">
        <v>1</v>
      </c>
      <c r="F87" s="38" t="s">
        <v>176</v>
      </c>
      <c r="AJ87" t="str">
        <f>TRIM(MID(SUBSTITUTE($F87, ",", REPT(" ", 100)), (COLUMNS($AH$2:AJ87)-1)*100+1, 100))</f>
        <v/>
      </c>
      <c r="AK87" s="1">
        <v>45743</v>
      </c>
      <c r="AL87" s="2">
        <v>4</v>
      </c>
      <c r="AM87" s="2">
        <v>5.2</v>
      </c>
      <c r="AO87" t="str">
        <f>TRIM(MID(SUBSTITUTE($F87, ",", REPT(" ", 100)), (COLUMNS($AH$2:AO87)-1)*100+1, 100))</f>
        <v/>
      </c>
      <c r="AP87" t="str">
        <f>TRIM(MID(SUBSTITUTE($F87, ",", REPT(" ", 100)), (COLUMNS($AH$2:AP87)-1)*100+1, 100))</f>
        <v/>
      </c>
      <c r="AQ87" t="str">
        <f>TRIM(MID(SUBSTITUTE($F87, ",", REPT(" ", 100)), (COLUMNS($AH$2:AQ87)-1)*100+1, 100))</f>
        <v/>
      </c>
      <c r="AR87" t="str">
        <f>TRIM(MID(SUBSTITUTE($F87, ",", REPT(" ", 100)), (COLUMNS($AH$2:AR87)-1)*100+1, 100))</f>
        <v/>
      </c>
      <c r="AS87" t="str">
        <f>TRIM(MID(SUBSTITUTE($F87, ",", REPT(" ", 100)), (COLUMNS($AH$2:AS87)-1)*100+1, 100))</f>
        <v/>
      </c>
      <c r="AT87" t="str">
        <f>TRIM(MID(SUBSTITUTE($F87, ",", REPT(" ", 100)), (COLUMNS($AH$2:AT87)-1)*100+1, 100))</f>
        <v/>
      </c>
      <c r="AU87" t="str">
        <f>TRIM(MID(SUBSTITUTE($F87, ",", REPT(" ", 100)), (COLUMNS($AH$2:AU87)-1)*100+1, 100))</f>
        <v/>
      </c>
      <c r="AV87" t="str">
        <f>TRIM(MID(SUBSTITUTE($F87, ",", REPT(" ", 100)), (COLUMNS($AH$2:AV87)-1)*100+1, 100))</f>
        <v/>
      </c>
      <c r="AW87" t="str">
        <f>TRIM(MID(SUBSTITUTE($F87, ",", REPT(" ", 100)), (COLUMNS($AH$2:AW87)-1)*100+1, 100))</f>
        <v/>
      </c>
      <c r="AX87" t="str">
        <f>TRIM(MID(SUBSTITUTE($F87, ",", REPT(" ", 100)), (COLUMNS($AH$2:AX87)-1)*100+1, 100))</f>
        <v/>
      </c>
      <c r="AY87" t="str">
        <f>TRIM(MID(SUBSTITUTE($F87, ",", REPT(" ", 100)), (COLUMNS($AH$2:AY87)-1)*100+1, 100))</f>
        <v/>
      </c>
      <c r="AZ87" t="str">
        <f>TRIM(MID(SUBSTITUTE($F87, ",", REPT(" ", 100)), (COLUMNS($AH$2:AZ87)-1)*100+1, 100))</f>
        <v/>
      </c>
      <c r="BA87" t="str">
        <f>TRIM(MID(SUBSTITUTE($F87, ",", REPT(" ", 100)), (COLUMNS($AH$2:BA87)-1)*100+1, 100))</f>
        <v/>
      </c>
    </row>
    <row r="88" spans="1:53" x14ac:dyDescent="0.5">
      <c r="A88" s="1">
        <v>45744</v>
      </c>
      <c r="B88" s="2">
        <v>4.5</v>
      </c>
      <c r="C88" s="272"/>
      <c r="D88" s="295"/>
      <c r="E88" s="58">
        <v>1</v>
      </c>
      <c r="F88" s="38" t="s">
        <v>176</v>
      </c>
      <c r="AJ88" t="str">
        <f>TRIM(MID(SUBSTITUTE($F88, ",", REPT(" ", 100)), (COLUMNS($AH$2:AJ88)-1)*100+1, 100))</f>
        <v/>
      </c>
      <c r="AK88" s="1">
        <v>45744</v>
      </c>
      <c r="AL88" s="2">
        <v>6</v>
      </c>
      <c r="AM88" s="2">
        <v>4.5</v>
      </c>
      <c r="AO88" t="str">
        <f>TRIM(MID(SUBSTITUTE($F88, ",", REPT(" ", 100)), (COLUMNS($AH$2:AO88)-1)*100+1, 100))</f>
        <v/>
      </c>
      <c r="AP88" t="str">
        <f>TRIM(MID(SUBSTITUTE($F88, ",", REPT(" ", 100)), (COLUMNS($AH$2:AP88)-1)*100+1, 100))</f>
        <v/>
      </c>
      <c r="AQ88" t="str">
        <f>TRIM(MID(SUBSTITUTE($F88, ",", REPT(" ", 100)), (COLUMNS($AH$2:AQ88)-1)*100+1, 100))</f>
        <v/>
      </c>
      <c r="AR88" t="str">
        <f>TRIM(MID(SUBSTITUTE($F88, ",", REPT(" ", 100)), (COLUMNS($AH$2:AR88)-1)*100+1, 100))</f>
        <v/>
      </c>
      <c r="AS88" t="str">
        <f>TRIM(MID(SUBSTITUTE($F88, ",", REPT(" ", 100)), (COLUMNS($AH$2:AS88)-1)*100+1, 100))</f>
        <v/>
      </c>
      <c r="AT88" t="str">
        <f>TRIM(MID(SUBSTITUTE($F88, ",", REPT(" ", 100)), (COLUMNS($AH$2:AT88)-1)*100+1, 100))</f>
        <v/>
      </c>
      <c r="AU88" t="str">
        <f>TRIM(MID(SUBSTITUTE($F88, ",", REPT(" ", 100)), (COLUMNS($AH$2:AU88)-1)*100+1, 100))</f>
        <v/>
      </c>
      <c r="AV88" t="str">
        <f>TRIM(MID(SUBSTITUTE($F88, ",", REPT(" ", 100)), (COLUMNS($AH$2:AV88)-1)*100+1, 100))</f>
        <v/>
      </c>
      <c r="AW88" t="str">
        <f>TRIM(MID(SUBSTITUTE($F88, ",", REPT(" ", 100)), (COLUMNS($AH$2:AW88)-1)*100+1, 100))</f>
        <v/>
      </c>
      <c r="AX88" t="str">
        <f>TRIM(MID(SUBSTITUTE($F88, ",", REPT(" ", 100)), (COLUMNS($AH$2:AX88)-1)*100+1, 100))</f>
        <v/>
      </c>
      <c r="AY88" t="str">
        <f>TRIM(MID(SUBSTITUTE($F88, ",", REPT(" ", 100)), (COLUMNS($AH$2:AY88)-1)*100+1, 100))</f>
        <v/>
      </c>
      <c r="AZ88" t="str">
        <f>TRIM(MID(SUBSTITUTE($F88, ",", REPT(" ", 100)), (COLUMNS($AH$2:AZ88)-1)*100+1, 100))</f>
        <v/>
      </c>
      <c r="BA88" t="str">
        <f>TRIM(MID(SUBSTITUTE($F88, ",", REPT(" ", 100)), (COLUMNS($AH$2:BA88)-1)*100+1, 100))</f>
        <v/>
      </c>
    </row>
    <row r="89" spans="1:53" x14ac:dyDescent="0.5">
      <c r="A89" s="1">
        <v>45745</v>
      </c>
      <c r="B89" s="2">
        <v>4</v>
      </c>
      <c r="C89" s="272"/>
      <c r="D89" s="295"/>
      <c r="E89" s="58">
        <v>0</v>
      </c>
      <c r="F89" s="38" t="s">
        <v>176</v>
      </c>
      <c r="AJ89" t="str">
        <f>TRIM(MID(SUBSTITUTE($F89, ",", REPT(" ", 100)), (COLUMNS($AH$2:AJ89)-1)*100+1, 100))</f>
        <v/>
      </c>
      <c r="AK89" s="1">
        <v>45745</v>
      </c>
      <c r="AL89" s="2">
        <v>4</v>
      </c>
      <c r="AM89" s="2">
        <v>4</v>
      </c>
      <c r="AO89" t="str">
        <f>TRIM(MID(SUBSTITUTE($F89, ",", REPT(" ", 100)), (COLUMNS($AH$2:AO89)-1)*100+1, 100))</f>
        <v/>
      </c>
      <c r="AP89" t="str">
        <f>TRIM(MID(SUBSTITUTE($F89, ",", REPT(" ", 100)), (COLUMNS($AH$2:AP89)-1)*100+1, 100))</f>
        <v/>
      </c>
      <c r="AQ89" t="str">
        <f>TRIM(MID(SUBSTITUTE($F89, ",", REPT(" ", 100)), (COLUMNS($AH$2:AQ89)-1)*100+1, 100))</f>
        <v/>
      </c>
      <c r="AR89" t="str">
        <f>TRIM(MID(SUBSTITUTE($F89, ",", REPT(" ", 100)), (COLUMNS($AH$2:AR89)-1)*100+1, 100))</f>
        <v/>
      </c>
      <c r="AS89" t="str">
        <f>TRIM(MID(SUBSTITUTE($F89, ",", REPT(" ", 100)), (COLUMNS($AH$2:AS89)-1)*100+1, 100))</f>
        <v/>
      </c>
      <c r="AT89" t="str">
        <f>TRIM(MID(SUBSTITUTE($F89, ",", REPT(" ", 100)), (COLUMNS($AH$2:AT89)-1)*100+1, 100))</f>
        <v/>
      </c>
      <c r="AU89" t="str">
        <f>TRIM(MID(SUBSTITUTE($F89, ",", REPT(" ", 100)), (COLUMNS($AH$2:AU89)-1)*100+1, 100))</f>
        <v/>
      </c>
      <c r="AV89" t="str">
        <f>TRIM(MID(SUBSTITUTE($F89, ",", REPT(" ", 100)), (COLUMNS($AH$2:AV89)-1)*100+1, 100))</f>
        <v/>
      </c>
      <c r="AW89" t="str">
        <f>TRIM(MID(SUBSTITUTE($F89, ",", REPT(" ", 100)), (COLUMNS($AH$2:AW89)-1)*100+1, 100))</f>
        <v/>
      </c>
      <c r="AX89" t="str">
        <f>TRIM(MID(SUBSTITUTE($F89, ",", REPT(" ", 100)), (COLUMNS($AH$2:AX89)-1)*100+1, 100))</f>
        <v/>
      </c>
      <c r="AY89" t="str">
        <f>TRIM(MID(SUBSTITUTE($F89, ",", REPT(" ", 100)), (COLUMNS($AH$2:AY89)-1)*100+1, 100))</f>
        <v/>
      </c>
      <c r="AZ89" t="str">
        <f>TRIM(MID(SUBSTITUTE($F89, ",", REPT(" ", 100)), (COLUMNS($AH$2:AZ89)-1)*100+1, 100))</f>
        <v/>
      </c>
      <c r="BA89" t="str">
        <f>TRIM(MID(SUBSTITUTE($F89, ",", REPT(" ", 100)), (COLUMNS($AH$2:BA89)-1)*100+1, 100))</f>
        <v/>
      </c>
    </row>
    <row r="90" spans="1:53" x14ac:dyDescent="0.5">
      <c r="A90" s="1">
        <v>45746</v>
      </c>
      <c r="B90" s="2">
        <v>6.5</v>
      </c>
      <c r="C90" s="272"/>
      <c r="D90" s="295"/>
      <c r="E90" s="58">
        <v>1</v>
      </c>
      <c r="F90" s="38" t="s">
        <v>176</v>
      </c>
      <c r="AJ90" t="str">
        <f>TRIM(MID(SUBSTITUTE($F90, ",", REPT(" ", 100)), (COLUMNS($AH$2:AJ90)-1)*100+1, 100))</f>
        <v/>
      </c>
      <c r="AK90" s="1">
        <v>45746</v>
      </c>
      <c r="AL90" s="2">
        <v>6</v>
      </c>
      <c r="AM90" s="2">
        <v>6.5</v>
      </c>
      <c r="AO90" t="str">
        <f>TRIM(MID(SUBSTITUTE($F90, ",", REPT(" ", 100)), (COLUMNS($AH$2:AO90)-1)*100+1, 100))</f>
        <v/>
      </c>
      <c r="AP90" t="str">
        <f>TRIM(MID(SUBSTITUTE($F90, ",", REPT(" ", 100)), (COLUMNS($AH$2:AP90)-1)*100+1, 100))</f>
        <v/>
      </c>
      <c r="AQ90" t="str">
        <f>TRIM(MID(SUBSTITUTE($F90, ",", REPT(" ", 100)), (COLUMNS($AH$2:AQ90)-1)*100+1, 100))</f>
        <v/>
      </c>
      <c r="AR90" t="str">
        <f>TRIM(MID(SUBSTITUTE($F90, ",", REPT(" ", 100)), (COLUMNS($AH$2:AR90)-1)*100+1, 100))</f>
        <v/>
      </c>
      <c r="AS90" t="str">
        <f>TRIM(MID(SUBSTITUTE($F90, ",", REPT(" ", 100)), (COLUMNS($AH$2:AS90)-1)*100+1, 100))</f>
        <v/>
      </c>
      <c r="AT90" t="str">
        <f>TRIM(MID(SUBSTITUTE($F90, ",", REPT(" ", 100)), (COLUMNS($AH$2:AT90)-1)*100+1, 100))</f>
        <v/>
      </c>
      <c r="AU90" t="str">
        <f>TRIM(MID(SUBSTITUTE($F90, ",", REPT(" ", 100)), (COLUMNS($AH$2:AU90)-1)*100+1, 100))</f>
        <v/>
      </c>
      <c r="AV90" t="str">
        <f>TRIM(MID(SUBSTITUTE($F90, ",", REPT(" ", 100)), (COLUMNS($AH$2:AV90)-1)*100+1, 100))</f>
        <v/>
      </c>
      <c r="AW90" t="str">
        <f>TRIM(MID(SUBSTITUTE($F90, ",", REPT(" ", 100)), (COLUMNS($AH$2:AW90)-1)*100+1, 100))</f>
        <v/>
      </c>
      <c r="AX90" t="str">
        <f>TRIM(MID(SUBSTITUTE($F90, ",", REPT(" ", 100)), (COLUMNS($AH$2:AX90)-1)*100+1, 100))</f>
        <v/>
      </c>
      <c r="AY90" t="str">
        <f>TRIM(MID(SUBSTITUTE($F90, ",", REPT(" ", 100)), (COLUMNS($AH$2:AY90)-1)*100+1, 100))</f>
        <v/>
      </c>
      <c r="AZ90" t="str">
        <f>TRIM(MID(SUBSTITUTE($F90, ",", REPT(" ", 100)), (COLUMNS($AH$2:AZ90)-1)*100+1, 100))</f>
        <v/>
      </c>
      <c r="BA90" t="str">
        <f>TRIM(MID(SUBSTITUTE($F90, ",", REPT(" ", 100)), (COLUMNS($AH$2:BA90)-1)*100+1, 100))</f>
        <v/>
      </c>
    </row>
    <row r="91" spans="1:53" x14ac:dyDescent="0.5">
      <c r="A91" s="1">
        <v>45747</v>
      </c>
      <c r="B91" s="2">
        <v>5.5</v>
      </c>
      <c r="C91" s="272"/>
      <c r="D91" s="295"/>
      <c r="E91" s="58">
        <v>1</v>
      </c>
      <c r="F91" s="38" t="s">
        <v>176</v>
      </c>
      <c r="AJ91" t="str">
        <f>TRIM(MID(SUBSTITUTE($F91, ",", REPT(" ", 100)), (COLUMNS($AH$2:AJ91)-1)*100+1, 100))</f>
        <v/>
      </c>
      <c r="AK91" s="1">
        <v>45747</v>
      </c>
      <c r="AL91" s="2">
        <v>6</v>
      </c>
      <c r="AM91" s="2">
        <v>5.5</v>
      </c>
      <c r="AO91" t="str">
        <f>TRIM(MID(SUBSTITUTE($F91, ",", REPT(" ", 100)), (COLUMNS($AH$2:AO91)-1)*100+1, 100))</f>
        <v/>
      </c>
      <c r="AP91" t="str">
        <f>TRIM(MID(SUBSTITUTE($F91, ",", REPT(" ", 100)), (COLUMNS($AH$2:AP91)-1)*100+1, 100))</f>
        <v/>
      </c>
      <c r="AQ91" t="str">
        <f>TRIM(MID(SUBSTITUTE($F91, ",", REPT(" ", 100)), (COLUMNS($AH$2:AQ91)-1)*100+1, 100))</f>
        <v/>
      </c>
      <c r="AR91" t="str">
        <f>TRIM(MID(SUBSTITUTE($F91, ",", REPT(" ", 100)), (COLUMNS($AH$2:AR91)-1)*100+1, 100))</f>
        <v/>
      </c>
      <c r="AS91" t="str">
        <f>TRIM(MID(SUBSTITUTE($F91, ",", REPT(" ", 100)), (COLUMNS($AH$2:AS91)-1)*100+1, 100))</f>
        <v/>
      </c>
      <c r="AT91" t="str">
        <f>TRIM(MID(SUBSTITUTE($F91, ",", REPT(" ", 100)), (COLUMNS($AH$2:AT91)-1)*100+1, 100))</f>
        <v/>
      </c>
      <c r="AU91" t="str">
        <f>TRIM(MID(SUBSTITUTE($F91, ",", REPT(" ", 100)), (COLUMNS($AH$2:AU91)-1)*100+1, 100))</f>
        <v/>
      </c>
      <c r="AV91" t="str">
        <f>TRIM(MID(SUBSTITUTE($F91, ",", REPT(" ", 100)), (COLUMNS($AH$2:AV91)-1)*100+1, 100))</f>
        <v/>
      </c>
      <c r="AW91" t="str">
        <f>TRIM(MID(SUBSTITUTE($F91, ",", REPT(" ", 100)), (COLUMNS($AH$2:AW91)-1)*100+1, 100))</f>
        <v/>
      </c>
      <c r="AX91" t="str">
        <f>TRIM(MID(SUBSTITUTE($F91, ",", REPT(" ", 100)), (COLUMNS($AH$2:AX91)-1)*100+1, 100))</f>
        <v/>
      </c>
      <c r="AY91" t="str">
        <f>TRIM(MID(SUBSTITUTE($F91, ",", REPT(" ", 100)), (COLUMNS($AH$2:AY91)-1)*100+1, 100))</f>
        <v/>
      </c>
      <c r="AZ91" t="str">
        <f>TRIM(MID(SUBSTITUTE($F91, ",", REPT(" ", 100)), (COLUMNS($AH$2:AZ91)-1)*100+1, 100))</f>
        <v/>
      </c>
      <c r="BA91" t="str">
        <f>TRIM(MID(SUBSTITUTE($F91, ",", REPT(" ", 100)), (COLUMNS($AH$2:BA91)-1)*100+1, 100))</f>
        <v/>
      </c>
    </row>
    <row r="92" spans="1:53" x14ac:dyDescent="0.5">
      <c r="A92" s="1">
        <v>45748</v>
      </c>
      <c r="B92" s="2">
        <v>4.8</v>
      </c>
      <c r="C92" s="272">
        <f>AVERAGE(B92:B121)</f>
        <v>4.8866666666666676</v>
      </c>
      <c r="D92" s="295"/>
      <c r="E92" s="58">
        <v>1</v>
      </c>
      <c r="F92" s="38" t="s">
        <v>176</v>
      </c>
      <c r="AJ92" t="str">
        <f>TRIM(MID(SUBSTITUTE($F92, ",", REPT(" ", 100)), (COLUMNS($AH$2:AJ92)-1)*100+1, 100))</f>
        <v/>
      </c>
      <c r="AK92" s="1">
        <v>45748</v>
      </c>
      <c r="AL92" s="2">
        <v>4.8</v>
      </c>
      <c r="AM92" s="2">
        <v>4</v>
      </c>
      <c r="AO92" t="str">
        <f>TRIM(MID(SUBSTITUTE($F92, ",", REPT(" ", 100)), (COLUMNS($AH$2:AO92)-1)*100+1, 100))</f>
        <v/>
      </c>
      <c r="AP92" t="str">
        <f>TRIM(MID(SUBSTITUTE($F92, ",", REPT(" ", 100)), (COLUMNS($AH$2:AP92)-1)*100+1, 100))</f>
        <v/>
      </c>
      <c r="AQ92" t="str">
        <f>TRIM(MID(SUBSTITUTE($F92, ",", REPT(" ", 100)), (COLUMNS($AH$2:AQ92)-1)*100+1, 100))</f>
        <v/>
      </c>
      <c r="AR92" t="str">
        <f>TRIM(MID(SUBSTITUTE($F92, ",", REPT(" ", 100)), (COLUMNS($AH$2:AR92)-1)*100+1, 100))</f>
        <v/>
      </c>
      <c r="AS92" t="str">
        <f>TRIM(MID(SUBSTITUTE($F92, ",", REPT(" ", 100)), (COLUMNS($AH$2:AS92)-1)*100+1, 100))</f>
        <v/>
      </c>
      <c r="AT92" t="str">
        <f>TRIM(MID(SUBSTITUTE($F92, ",", REPT(" ", 100)), (COLUMNS($AH$2:AT92)-1)*100+1, 100))</f>
        <v/>
      </c>
      <c r="AU92" t="str">
        <f>TRIM(MID(SUBSTITUTE($F92, ",", REPT(" ", 100)), (COLUMNS($AH$2:AU92)-1)*100+1, 100))</f>
        <v/>
      </c>
      <c r="AV92" t="str">
        <f>TRIM(MID(SUBSTITUTE($F92, ",", REPT(" ", 100)), (COLUMNS($AH$2:AV92)-1)*100+1, 100))</f>
        <v/>
      </c>
      <c r="AW92" t="str">
        <f>TRIM(MID(SUBSTITUTE($F92, ",", REPT(" ", 100)), (COLUMNS($AH$2:AW92)-1)*100+1, 100))</f>
        <v/>
      </c>
      <c r="AX92" t="str">
        <f>TRIM(MID(SUBSTITUTE($F92, ",", REPT(" ", 100)), (COLUMNS($AH$2:AX92)-1)*100+1, 100))</f>
        <v/>
      </c>
      <c r="AY92" t="str">
        <f>TRIM(MID(SUBSTITUTE($F92, ",", REPT(" ", 100)), (COLUMNS($AH$2:AY92)-1)*100+1, 100))</f>
        <v/>
      </c>
      <c r="AZ92" t="str">
        <f>TRIM(MID(SUBSTITUTE($F92, ",", REPT(" ", 100)), (COLUMNS($AH$2:AZ92)-1)*100+1, 100))</f>
        <v/>
      </c>
      <c r="BA92" t="str">
        <f>TRIM(MID(SUBSTITUTE($F92, ",", REPT(" ", 100)), (COLUMNS($AH$2:BA92)-1)*100+1, 100))</f>
        <v/>
      </c>
    </row>
    <row r="93" spans="1:53" x14ac:dyDescent="0.5">
      <c r="A93" s="1">
        <v>45749</v>
      </c>
      <c r="B93" s="2">
        <v>4.2</v>
      </c>
      <c r="C93" s="272"/>
      <c r="D93" s="295"/>
      <c r="E93" s="58">
        <v>1</v>
      </c>
      <c r="F93" s="38" t="s">
        <v>176</v>
      </c>
      <c r="AJ93" t="str">
        <f>TRIM(MID(SUBSTITUTE($F93, ",", REPT(" ", 100)), (COLUMNS($AH$2:AJ93)-1)*100+1, 100))</f>
        <v/>
      </c>
      <c r="AK93" s="1">
        <v>45749</v>
      </c>
      <c r="AL93" s="2">
        <v>4.2</v>
      </c>
      <c r="AM93" s="2">
        <v>4</v>
      </c>
      <c r="AO93" t="str">
        <f>TRIM(MID(SUBSTITUTE($F93, ",", REPT(" ", 100)), (COLUMNS($AH$2:AO93)-1)*100+1, 100))</f>
        <v/>
      </c>
      <c r="AP93" t="str">
        <f>TRIM(MID(SUBSTITUTE($F93, ",", REPT(" ", 100)), (COLUMNS($AH$2:AP93)-1)*100+1, 100))</f>
        <v/>
      </c>
      <c r="AQ93" t="str">
        <f>TRIM(MID(SUBSTITUTE($F93, ",", REPT(" ", 100)), (COLUMNS($AH$2:AQ93)-1)*100+1, 100))</f>
        <v/>
      </c>
      <c r="AR93" t="str">
        <f>TRIM(MID(SUBSTITUTE($F93, ",", REPT(" ", 100)), (COLUMNS($AH$2:AR93)-1)*100+1, 100))</f>
        <v/>
      </c>
      <c r="AS93" t="str">
        <f>TRIM(MID(SUBSTITUTE($F93, ",", REPT(" ", 100)), (COLUMNS($AH$2:AS93)-1)*100+1, 100))</f>
        <v/>
      </c>
      <c r="AT93" t="str">
        <f>TRIM(MID(SUBSTITUTE($F93, ",", REPT(" ", 100)), (COLUMNS($AH$2:AT93)-1)*100+1, 100))</f>
        <v/>
      </c>
      <c r="AU93" t="str">
        <f>TRIM(MID(SUBSTITUTE($F93, ",", REPT(" ", 100)), (COLUMNS($AH$2:AU93)-1)*100+1, 100))</f>
        <v/>
      </c>
      <c r="AV93" t="str">
        <f>TRIM(MID(SUBSTITUTE($F93, ",", REPT(" ", 100)), (COLUMNS($AH$2:AV93)-1)*100+1, 100))</f>
        <v/>
      </c>
      <c r="AW93" t="str">
        <f>TRIM(MID(SUBSTITUTE($F93, ",", REPT(" ", 100)), (COLUMNS($AH$2:AW93)-1)*100+1, 100))</f>
        <v/>
      </c>
      <c r="AX93" t="str">
        <f>TRIM(MID(SUBSTITUTE($F93, ",", REPT(" ", 100)), (COLUMNS($AH$2:AX93)-1)*100+1, 100))</f>
        <v/>
      </c>
      <c r="AY93" t="str">
        <f>TRIM(MID(SUBSTITUTE($F93, ",", REPT(" ", 100)), (COLUMNS($AH$2:AY93)-1)*100+1, 100))</f>
        <v/>
      </c>
      <c r="AZ93" t="str">
        <f>TRIM(MID(SUBSTITUTE($F93, ",", REPT(" ", 100)), (COLUMNS($AH$2:AZ93)-1)*100+1, 100))</f>
        <v/>
      </c>
      <c r="BA93" t="str">
        <f>TRIM(MID(SUBSTITUTE($F93, ",", REPT(" ", 100)), (COLUMNS($AH$2:BA93)-1)*100+1, 100))</f>
        <v/>
      </c>
    </row>
    <row r="94" spans="1:53" x14ac:dyDescent="0.5">
      <c r="A94" s="1">
        <v>45750</v>
      </c>
      <c r="B94" s="2">
        <v>4</v>
      </c>
      <c r="C94" s="272"/>
      <c r="D94" s="295"/>
      <c r="E94" s="58">
        <v>1</v>
      </c>
      <c r="F94" s="38" t="s">
        <v>176</v>
      </c>
      <c r="AJ94" t="str">
        <f>TRIM(MID(SUBSTITUTE($F94, ",", REPT(" ", 100)), (COLUMNS($AH$2:AJ94)-1)*100+1, 100))</f>
        <v/>
      </c>
      <c r="AK94" s="1">
        <v>45750</v>
      </c>
      <c r="AL94" s="2">
        <v>4</v>
      </c>
      <c r="AM94" s="2">
        <v>4</v>
      </c>
      <c r="AO94" t="str">
        <f>TRIM(MID(SUBSTITUTE($F94, ",", REPT(" ", 100)), (COLUMNS($AH$2:AO94)-1)*100+1, 100))</f>
        <v/>
      </c>
      <c r="AP94" t="str">
        <f>TRIM(MID(SUBSTITUTE($F94, ",", REPT(" ", 100)), (COLUMNS($AH$2:AP94)-1)*100+1, 100))</f>
        <v/>
      </c>
      <c r="AQ94" t="str">
        <f>TRIM(MID(SUBSTITUTE($F94, ",", REPT(" ", 100)), (COLUMNS($AH$2:AQ94)-1)*100+1, 100))</f>
        <v/>
      </c>
      <c r="AR94" t="str">
        <f>TRIM(MID(SUBSTITUTE($F94, ",", REPT(" ", 100)), (COLUMNS($AH$2:AR94)-1)*100+1, 100))</f>
        <v/>
      </c>
      <c r="AS94" t="str">
        <f>TRIM(MID(SUBSTITUTE($F94, ",", REPT(" ", 100)), (COLUMNS($AH$2:AS94)-1)*100+1, 100))</f>
        <v/>
      </c>
      <c r="AT94" t="str">
        <f>TRIM(MID(SUBSTITUTE($F94, ",", REPT(" ", 100)), (COLUMNS($AH$2:AT94)-1)*100+1, 100))</f>
        <v/>
      </c>
      <c r="AU94" t="str">
        <f>TRIM(MID(SUBSTITUTE($F94, ",", REPT(" ", 100)), (COLUMNS($AH$2:AU94)-1)*100+1, 100))</f>
        <v/>
      </c>
      <c r="AV94" t="str">
        <f>TRIM(MID(SUBSTITUTE($F94, ",", REPT(" ", 100)), (COLUMNS($AH$2:AV94)-1)*100+1, 100))</f>
        <v/>
      </c>
      <c r="AW94" t="str">
        <f>TRIM(MID(SUBSTITUTE($F94, ",", REPT(" ", 100)), (COLUMNS($AH$2:AW94)-1)*100+1, 100))</f>
        <v/>
      </c>
      <c r="AX94" t="str">
        <f>TRIM(MID(SUBSTITUTE($F94, ",", REPT(" ", 100)), (COLUMNS($AH$2:AX94)-1)*100+1, 100))</f>
        <v/>
      </c>
      <c r="AY94" t="str">
        <f>TRIM(MID(SUBSTITUTE($F94, ",", REPT(" ", 100)), (COLUMNS($AH$2:AY94)-1)*100+1, 100))</f>
        <v/>
      </c>
      <c r="AZ94" t="str">
        <f>TRIM(MID(SUBSTITUTE($F94, ",", REPT(" ", 100)), (COLUMNS($AH$2:AZ94)-1)*100+1, 100))</f>
        <v/>
      </c>
      <c r="BA94" t="str">
        <f>TRIM(MID(SUBSTITUTE($F94, ",", REPT(" ", 100)), (COLUMNS($AH$2:BA94)-1)*100+1, 100))</f>
        <v/>
      </c>
    </row>
    <row r="95" spans="1:53" x14ac:dyDescent="0.5">
      <c r="A95" s="1">
        <v>45751</v>
      </c>
      <c r="B95" s="2">
        <v>0</v>
      </c>
      <c r="C95" s="272"/>
      <c r="D95" s="295"/>
      <c r="E95" s="58">
        <v>1</v>
      </c>
      <c r="F95" s="38" t="s">
        <v>176</v>
      </c>
      <c r="G95" s="38" t="s">
        <v>263</v>
      </c>
      <c r="AJ95" t="str">
        <f>TRIM(MID(SUBSTITUTE($F95, ",", REPT(" ", 100)), (COLUMNS($AH$2:AJ95)-1)*100+1, 100))</f>
        <v/>
      </c>
      <c r="AK95" s="1">
        <v>45751</v>
      </c>
      <c r="AL95" s="2">
        <v>0</v>
      </c>
      <c r="AM95" s="2">
        <v>4</v>
      </c>
      <c r="AO95" t="str">
        <f>TRIM(MID(SUBSTITUTE($F95, ",", REPT(" ", 100)), (COLUMNS($AH$2:AO95)-1)*100+1, 100))</f>
        <v/>
      </c>
      <c r="AP95" t="str">
        <f>TRIM(MID(SUBSTITUTE($F95, ",", REPT(" ", 100)), (COLUMNS($AH$2:AP95)-1)*100+1, 100))</f>
        <v/>
      </c>
      <c r="AQ95" t="str">
        <f>TRIM(MID(SUBSTITUTE($F95, ",", REPT(" ", 100)), (COLUMNS($AH$2:AQ95)-1)*100+1, 100))</f>
        <v/>
      </c>
      <c r="AR95" t="str">
        <f>TRIM(MID(SUBSTITUTE($F95, ",", REPT(" ", 100)), (COLUMNS($AH$2:AR95)-1)*100+1, 100))</f>
        <v/>
      </c>
      <c r="AS95" t="str">
        <f>TRIM(MID(SUBSTITUTE($F95, ",", REPT(" ", 100)), (COLUMNS($AH$2:AS95)-1)*100+1, 100))</f>
        <v/>
      </c>
      <c r="AT95" t="str">
        <f>TRIM(MID(SUBSTITUTE($F95, ",", REPT(" ", 100)), (COLUMNS($AH$2:AT95)-1)*100+1, 100))</f>
        <v/>
      </c>
      <c r="AU95" t="str">
        <f>TRIM(MID(SUBSTITUTE($F95, ",", REPT(" ", 100)), (COLUMNS($AH$2:AU95)-1)*100+1, 100))</f>
        <v/>
      </c>
      <c r="AV95" t="str">
        <f>TRIM(MID(SUBSTITUTE($F95, ",", REPT(" ", 100)), (COLUMNS($AH$2:AV95)-1)*100+1, 100))</f>
        <v/>
      </c>
      <c r="AW95" t="str">
        <f>TRIM(MID(SUBSTITUTE($F95, ",", REPT(" ", 100)), (COLUMNS($AH$2:AW95)-1)*100+1, 100))</f>
        <v/>
      </c>
      <c r="AX95" t="str">
        <f>TRIM(MID(SUBSTITUTE($F95, ",", REPT(" ", 100)), (COLUMNS($AH$2:AX95)-1)*100+1, 100))</f>
        <v/>
      </c>
      <c r="AY95" t="str">
        <f>TRIM(MID(SUBSTITUTE($F95, ",", REPT(" ", 100)), (COLUMNS($AH$2:AY95)-1)*100+1, 100))</f>
        <v/>
      </c>
      <c r="AZ95" t="str">
        <f>TRIM(MID(SUBSTITUTE($F95, ",", REPT(" ", 100)), (COLUMNS($AH$2:AZ95)-1)*100+1, 100))</f>
        <v/>
      </c>
      <c r="BA95" t="str">
        <f>TRIM(MID(SUBSTITUTE($F95, ",", REPT(" ", 100)), (COLUMNS($AH$2:BA95)-1)*100+1, 100))</f>
        <v/>
      </c>
    </row>
    <row r="96" spans="1:53" x14ac:dyDescent="0.5">
      <c r="A96" s="1">
        <v>45752</v>
      </c>
      <c r="B96" s="2">
        <v>0.5</v>
      </c>
      <c r="C96" s="272"/>
      <c r="D96" s="295"/>
      <c r="E96" s="58">
        <v>1</v>
      </c>
      <c r="F96" s="38" t="s">
        <v>176</v>
      </c>
      <c r="G96" s="38" t="s">
        <v>263</v>
      </c>
      <c r="AJ96" t="str">
        <f>TRIM(MID(SUBSTITUTE($F96, ",", REPT(" ", 100)), (COLUMNS($AH$2:AJ96)-1)*100+1, 100))</f>
        <v/>
      </c>
      <c r="AK96" s="1">
        <v>45752</v>
      </c>
      <c r="AL96" s="2">
        <v>0.5</v>
      </c>
      <c r="AM96" s="2">
        <v>0</v>
      </c>
      <c r="AO96" t="str">
        <f>TRIM(MID(SUBSTITUTE($F96, ",", REPT(" ", 100)), (COLUMNS($AH$2:AO96)-1)*100+1, 100))</f>
        <v/>
      </c>
      <c r="AP96" t="str">
        <f>TRIM(MID(SUBSTITUTE($F96, ",", REPT(" ", 100)), (COLUMNS($AH$2:AP96)-1)*100+1, 100))</f>
        <v/>
      </c>
      <c r="AQ96" t="str">
        <f>TRIM(MID(SUBSTITUTE($F96, ",", REPT(" ", 100)), (COLUMNS($AH$2:AQ96)-1)*100+1, 100))</f>
        <v/>
      </c>
      <c r="AR96" t="str">
        <f>TRIM(MID(SUBSTITUTE($F96, ",", REPT(" ", 100)), (COLUMNS($AH$2:AR96)-1)*100+1, 100))</f>
        <v/>
      </c>
      <c r="AS96" t="str">
        <f>TRIM(MID(SUBSTITUTE($F96, ",", REPT(" ", 100)), (COLUMNS($AH$2:AS96)-1)*100+1, 100))</f>
        <v/>
      </c>
      <c r="AT96" t="str">
        <f>TRIM(MID(SUBSTITUTE($F96, ",", REPT(" ", 100)), (COLUMNS($AH$2:AT96)-1)*100+1, 100))</f>
        <v/>
      </c>
      <c r="AU96" t="str">
        <f>TRIM(MID(SUBSTITUTE($F96, ",", REPT(" ", 100)), (COLUMNS($AH$2:AU96)-1)*100+1, 100))</f>
        <v/>
      </c>
      <c r="AV96" t="str">
        <f>TRIM(MID(SUBSTITUTE($F96, ",", REPT(" ", 100)), (COLUMNS($AH$2:AV96)-1)*100+1, 100))</f>
        <v/>
      </c>
      <c r="AW96" t="str">
        <f>TRIM(MID(SUBSTITUTE($F96, ",", REPT(" ", 100)), (COLUMNS($AH$2:AW96)-1)*100+1, 100))</f>
        <v/>
      </c>
      <c r="AX96" t="str">
        <f>TRIM(MID(SUBSTITUTE($F96, ",", REPT(" ", 100)), (COLUMNS($AH$2:AX96)-1)*100+1, 100))</f>
        <v/>
      </c>
      <c r="AY96" t="str">
        <f>TRIM(MID(SUBSTITUTE($F96, ",", REPT(" ", 100)), (COLUMNS($AH$2:AY96)-1)*100+1, 100))</f>
        <v/>
      </c>
      <c r="AZ96" t="str">
        <f>TRIM(MID(SUBSTITUTE($F96, ",", REPT(" ", 100)), (COLUMNS($AH$2:AZ96)-1)*100+1, 100))</f>
        <v/>
      </c>
      <c r="BA96" t="str">
        <f>TRIM(MID(SUBSTITUTE($F96, ",", REPT(" ", 100)), (COLUMNS($AH$2:BA96)-1)*100+1, 100))</f>
        <v/>
      </c>
    </row>
    <row r="97" spans="1:53" x14ac:dyDescent="0.5">
      <c r="A97" s="1">
        <v>45753</v>
      </c>
      <c r="B97" s="2">
        <v>5.2</v>
      </c>
      <c r="C97" s="272"/>
      <c r="D97" s="295"/>
      <c r="E97" s="58">
        <v>1</v>
      </c>
      <c r="F97" s="38" t="s">
        <v>176</v>
      </c>
      <c r="AJ97" t="str">
        <f>TRIM(MID(SUBSTITUTE($F97, ",", REPT(" ", 100)), (COLUMNS($AH$2:AJ97)-1)*100+1, 100))</f>
        <v/>
      </c>
      <c r="AK97" s="1">
        <v>45753</v>
      </c>
      <c r="AL97" s="2">
        <v>5.2</v>
      </c>
      <c r="AM97" s="2">
        <v>2</v>
      </c>
      <c r="AO97" t="str">
        <f>TRIM(MID(SUBSTITUTE($F97, ",", REPT(" ", 100)), (COLUMNS($AH$2:AO97)-1)*100+1, 100))</f>
        <v/>
      </c>
      <c r="AP97" t="str">
        <f>TRIM(MID(SUBSTITUTE($F97, ",", REPT(" ", 100)), (COLUMNS($AH$2:AP97)-1)*100+1, 100))</f>
        <v/>
      </c>
      <c r="AQ97" t="str">
        <f>TRIM(MID(SUBSTITUTE($F97, ",", REPT(" ", 100)), (COLUMNS($AH$2:AQ97)-1)*100+1, 100))</f>
        <v/>
      </c>
      <c r="AR97" t="str">
        <f>TRIM(MID(SUBSTITUTE($F97, ",", REPT(" ", 100)), (COLUMNS($AH$2:AR97)-1)*100+1, 100))</f>
        <v/>
      </c>
      <c r="AS97" t="str">
        <f>TRIM(MID(SUBSTITUTE($F97, ",", REPT(" ", 100)), (COLUMNS($AH$2:AS97)-1)*100+1, 100))</f>
        <v/>
      </c>
      <c r="AT97" t="str">
        <f>TRIM(MID(SUBSTITUTE($F97, ",", REPT(" ", 100)), (COLUMNS($AH$2:AT97)-1)*100+1, 100))</f>
        <v/>
      </c>
      <c r="AU97" t="str">
        <f>TRIM(MID(SUBSTITUTE($F97, ",", REPT(" ", 100)), (COLUMNS($AH$2:AU97)-1)*100+1, 100))</f>
        <v/>
      </c>
      <c r="AV97" t="str">
        <f>TRIM(MID(SUBSTITUTE($F97, ",", REPT(" ", 100)), (COLUMNS($AH$2:AV97)-1)*100+1, 100))</f>
        <v/>
      </c>
      <c r="AW97" t="str">
        <f>TRIM(MID(SUBSTITUTE($F97, ",", REPT(" ", 100)), (COLUMNS($AH$2:AW97)-1)*100+1, 100))</f>
        <v/>
      </c>
      <c r="AX97" t="str">
        <f>TRIM(MID(SUBSTITUTE($F97, ",", REPT(" ", 100)), (COLUMNS($AH$2:AX97)-1)*100+1, 100))</f>
        <v/>
      </c>
      <c r="AY97" t="str">
        <f>TRIM(MID(SUBSTITUTE($F97, ",", REPT(" ", 100)), (COLUMNS($AH$2:AY97)-1)*100+1, 100))</f>
        <v/>
      </c>
      <c r="AZ97" t="str">
        <f>TRIM(MID(SUBSTITUTE($F97, ",", REPT(" ", 100)), (COLUMNS($AH$2:AZ97)-1)*100+1, 100))</f>
        <v/>
      </c>
      <c r="BA97" t="str">
        <f>TRIM(MID(SUBSTITUTE($F97, ",", REPT(" ", 100)), (COLUMNS($AH$2:BA97)-1)*100+1, 100))</f>
        <v/>
      </c>
    </row>
    <row r="98" spans="1:53" x14ac:dyDescent="0.5">
      <c r="A98" s="1">
        <v>45754</v>
      </c>
      <c r="B98" s="2">
        <v>6</v>
      </c>
      <c r="C98" s="272"/>
      <c r="D98" s="295"/>
      <c r="E98" s="58">
        <v>0.9</v>
      </c>
      <c r="F98" s="38" t="s">
        <v>176</v>
      </c>
      <c r="AJ98" t="str">
        <f>TRIM(MID(SUBSTITUTE($F98, ",", REPT(" ", 100)), (COLUMNS($AH$2:AJ98)-1)*100+1, 100))</f>
        <v/>
      </c>
      <c r="AK98" s="1">
        <v>45754</v>
      </c>
      <c r="AL98" s="2">
        <v>6</v>
      </c>
      <c r="AM98" s="2">
        <v>4</v>
      </c>
      <c r="AO98" t="str">
        <f>TRIM(MID(SUBSTITUTE($F98, ",", REPT(" ", 100)), (COLUMNS($AH$2:AO98)-1)*100+1, 100))</f>
        <v/>
      </c>
      <c r="AP98" t="str">
        <f>TRIM(MID(SUBSTITUTE($F98, ",", REPT(" ", 100)), (COLUMNS($AH$2:AP98)-1)*100+1, 100))</f>
        <v/>
      </c>
      <c r="AQ98" t="str">
        <f>TRIM(MID(SUBSTITUTE($F98, ",", REPT(" ", 100)), (COLUMNS($AH$2:AQ98)-1)*100+1, 100))</f>
        <v/>
      </c>
      <c r="AR98" t="str">
        <f>TRIM(MID(SUBSTITUTE($F98, ",", REPT(" ", 100)), (COLUMNS($AH$2:AR98)-1)*100+1, 100))</f>
        <v/>
      </c>
      <c r="AS98" t="str">
        <f>TRIM(MID(SUBSTITUTE($F98, ",", REPT(" ", 100)), (COLUMNS($AH$2:AS98)-1)*100+1, 100))</f>
        <v/>
      </c>
      <c r="AT98" t="str">
        <f>TRIM(MID(SUBSTITUTE($F98, ",", REPT(" ", 100)), (COLUMNS($AH$2:AT98)-1)*100+1, 100))</f>
        <v/>
      </c>
      <c r="AU98" t="str">
        <f>TRIM(MID(SUBSTITUTE($F98, ",", REPT(" ", 100)), (COLUMNS($AH$2:AU98)-1)*100+1, 100))</f>
        <v/>
      </c>
      <c r="AV98" t="str">
        <f>TRIM(MID(SUBSTITUTE($F98, ",", REPT(" ", 100)), (COLUMNS($AH$2:AV98)-1)*100+1, 100))</f>
        <v/>
      </c>
      <c r="AW98" t="str">
        <f>TRIM(MID(SUBSTITUTE($F98, ",", REPT(" ", 100)), (COLUMNS($AH$2:AW98)-1)*100+1, 100))</f>
        <v/>
      </c>
      <c r="AX98" t="str">
        <f>TRIM(MID(SUBSTITUTE($F98, ",", REPT(" ", 100)), (COLUMNS($AH$2:AX98)-1)*100+1, 100))</f>
        <v/>
      </c>
      <c r="AY98" t="str">
        <f>TRIM(MID(SUBSTITUTE($F98, ",", REPT(" ", 100)), (COLUMNS($AH$2:AY98)-1)*100+1, 100))</f>
        <v/>
      </c>
      <c r="AZ98" t="str">
        <f>TRIM(MID(SUBSTITUTE($F98, ",", REPT(" ", 100)), (COLUMNS($AH$2:AZ98)-1)*100+1, 100))</f>
        <v/>
      </c>
      <c r="BA98" t="str">
        <f>TRIM(MID(SUBSTITUTE($F98, ",", REPT(" ", 100)), (COLUMNS($AH$2:BA98)-1)*100+1, 100))</f>
        <v/>
      </c>
    </row>
    <row r="99" spans="1:53" x14ac:dyDescent="0.5">
      <c r="A99" s="1">
        <v>45755</v>
      </c>
      <c r="B99" s="2">
        <v>4.8</v>
      </c>
      <c r="C99" s="272"/>
      <c r="D99" s="295"/>
      <c r="E99" s="58">
        <v>1</v>
      </c>
      <c r="F99" s="38" t="s">
        <v>176</v>
      </c>
      <c r="AJ99" t="str">
        <f>TRIM(MID(SUBSTITUTE($F99, ",", REPT(" ", 100)), (COLUMNS($AH$2:AJ99)-1)*100+1, 100))</f>
        <v/>
      </c>
      <c r="AK99" s="1">
        <v>45755</v>
      </c>
      <c r="AL99" s="2">
        <v>4.8</v>
      </c>
      <c r="AM99" s="2">
        <v>4</v>
      </c>
      <c r="AO99" t="str">
        <f>TRIM(MID(SUBSTITUTE($F99, ",", REPT(" ", 100)), (COLUMNS($AH$2:AO99)-1)*100+1, 100))</f>
        <v/>
      </c>
      <c r="AP99" t="str">
        <f>TRIM(MID(SUBSTITUTE($F99, ",", REPT(" ", 100)), (COLUMNS($AH$2:AP99)-1)*100+1, 100))</f>
        <v/>
      </c>
      <c r="AQ99" t="str">
        <f>TRIM(MID(SUBSTITUTE($F99, ",", REPT(" ", 100)), (COLUMNS($AH$2:AQ99)-1)*100+1, 100))</f>
        <v/>
      </c>
      <c r="AR99" t="str">
        <f>TRIM(MID(SUBSTITUTE($F99, ",", REPT(" ", 100)), (COLUMNS($AH$2:AR99)-1)*100+1, 100))</f>
        <v/>
      </c>
      <c r="AS99" t="str">
        <f>TRIM(MID(SUBSTITUTE($F99, ",", REPT(" ", 100)), (COLUMNS($AH$2:AS99)-1)*100+1, 100))</f>
        <v/>
      </c>
      <c r="AT99" t="str">
        <f>TRIM(MID(SUBSTITUTE($F99, ",", REPT(" ", 100)), (COLUMNS($AH$2:AT99)-1)*100+1, 100))</f>
        <v/>
      </c>
      <c r="AU99" t="str">
        <f>TRIM(MID(SUBSTITUTE($F99, ",", REPT(" ", 100)), (COLUMNS($AH$2:AU99)-1)*100+1, 100))</f>
        <v/>
      </c>
      <c r="AV99" t="str">
        <f>TRIM(MID(SUBSTITUTE($F99, ",", REPT(" ", 100)), (COLUMNS($AH$2:AV99)-1)*100+1, 100))</f>
        <v/>
      </c>
      <c r="AW99" t="str">
        <f>TRIM(MID(SUBSTITUTE($F99, ",", REPT(" ", 100)), (COLUMNS($AH$2:AW99)-1)*100+1, 100))</f>
        <v/>
      </c>
      <c r="AX99" t="str">
        <f>TRIM(MID(SUBSTITUTE($F99, ",", REPT(" ", 100)), (COLUMNS($AH$2:AX99)-1)*100+1, 100))</f>
        <v/>
      </c>
      <c r="AY99" t="str">
        <f>TRIM(MID(SUBSTITUTE($F99, ",", REPT(" ", 100)), (COLUMNS($AH$2:AY99)-1)*100+1, 100))</f>
        <v/>
      </c>
      <c r="AZ99" t="str">
        <f>TRIM(MID(SUBSTITUTE($F99, ",", REPT(" ", 100)), (COLUMNS($AH$2:AZ99)-1)*100+1, 100))</f>
        <v/>
      </c>
      <c r="BA99" t="str">
        <f>TRIM(MID(SUBSTITUTE($F99, ",", REPT(" ", 100)), (COLUMNS($AH$2:BA99)-1)*100+1, 100))</f>
        <v/>
      </c>
    </row>
    <row r="100" spans="1:53" x14ac:dyDescent="0.5">
      <c r="A100" s="1">
        <v>45756</v>
      </c>
      <c r="B100" s="2">
        <v>1</v>
      </c>
      <c r="C100" s="272"/>
      <c r="D100" s="295"/>
      <c r="E100" s="58">
        <v>1</v>
      </c>
      <c r="F100" s="38" t="s">
        <v>176</v>
      </c>
      <c r="G100" s="38" t="s">
        <v>263</v>
      </c>
      <c r="AJ100" t="str">
        <f>TRIM(MID(SUBSTITUTE($F100, ",", REPT(" ", 100)), (COLUMNS($AH$2:AJ100)-1)*100+1, 100))</f>
        <v/>
      </c>
      <c r="AK100" s="1">
        <v>45756</v>
      </c>
      <c r="AL100" s="2">
        <v>1</v>
      </c>
      <c r="AM100" s="2">
        <v>6</v>
      </c>
      <c r="AO100" t="str">
        <f>TRIM(MID(SUBSTITUTE($F100, ",", REPT(" ", 100)), (COLUMNS($AH$2:AO100)-1)*100+1, 100))</f>
        <v/>
      </c>
      <c r="AP100" t="str">
        <f>TRIM(MID(SUBSTITUTE($F100, ",", REPT(" ", 100)), (COLUMNS($AH$2:AP100)-1)*100+1, 100))</f>
        <v/>
      </c>
      <c r="AQ100" t="str">
        <f>TRIM(MID(SUBSTITUTE($F100, ",", REPT(" ", 100)), (COLUMNS($AH$2:AQ100)-1)*100+1, 100))</f>
        <v/>
      </c>
      <c r="AR100" t="str">
        <f>TRIM(MID(SUBSTITUTE($F100, ",", REPT(" ", 100)), (COLUMNS($AH$2:AR100)-1)*100+1, 100))</f>
        <v/>
      </c>
      <c r="AS100" t="str">
        <f>TRIM(MID(SUBSTITUTE($F100, ",", REPT(" ", 100)), (COLUMNS($AH$2:AS100)-1)*100+1, 100))</f>
        <v/>
      </c>
      <c r="AT100" t="str">
        <f>TRIM(MID(SUBSTITUTE($F100, ",", REPT(" ", 100)), (COLUMNS($AH$2:AT100)-1)*100+1, 100))</f>
        <v/>
      </c>
      <c r="AU100" t="str">
        <f>TRIM(MID(SUBSTITUTE($F100, ",", REPT(" ", 100)), (COLUMNS($AH$2:AU100)-1)*100+1, 100))</f>
        <v/>
      </c>
      <c r="AV100" t="str">
        <f>TRIM(MID(SUBSTITUTE($F100, ",", REPT(" ", 100)), (COLUMNS($AH$2:AV100)-1)*100+1, 100))</f>
        <v/>
      </c>
      <c r="AW100" t="str">
        <f>TRIM(MID(SUBSTITUTE($F100, ",", REPT(" ", 100)), (COLUMNS($AH$2:AW100)-1)*100+1, 100))</f>
        <v/>
      </c>
      <c r="AX100" t="str">
        <f>TRIM(MID(SUBSTITUTE($F100, ",", REPT(" ", 100)), (COLUMNS($AH$2:AX100)-1)*100+1, 100))</f>
        <v/>
      </c>
      <c r="AY100" t="str">
        <f>TRIM(MID(SUBSTITUTE($F100, ",", REPT(" ", 100)), (COLUMNS($AH$2:AY100)-1)*100+1, 100))</f>
        <v/>
      </c>
      <c r="AZ100" t="str">
        <f>TRIM(MID(SUBSTITUTE($F100, ",", REPT(" ", 100)), (COLUMNS($AH$2:AZ100)-1)*100+1, 100))</f>
        <v/>
      </c>
      <c r="BA100" t="str">
        <f>TRIM(MID(SUBSTITUTE($F100, ",", REPT(" ", 100)), (COLUMNS($AH$2:BA100)-1)*100+1, 100))</f>
        <v/>
      </c>
    </row>
    <row r="101" spans="1:53" x14ac:dyDescent="0.5">
      <c r="A101" s="1">
        <v>45757</v>
      </c>
      <c r="B101" s="2">
        <v>4</v>
      </c>
      <c r="C101" s="272"/>
      <c r="D101" s="295"/>
      <c r="E101" s="58">
        <v>1</v>
      </c>
      <c r="F101" s="38" t="s">
        <v>176</v>
      </c>
      <c r="G101" s="38" t="s">
        <v>263</v>
      </c>
      <c r="AJ101" t="str">
        <f>TRIM(MID(SUBSTITUTE($F101, ",", REPT(" ", 100)), (COLUMNS($AH$2:AJ101)-1)*100+1, 100))</f>
        <v/>
      </c>
      <c r="AK101" s="1">
        <v>45757</v>
      </c>
      <c r="AL101" s="2">
        <v>4</v>
      </c>
      <c r="AM101" s="2">
        <v>2</v>
      </c>
      <c r="AO101" t="str">
        <f>TRIM(MID(SUBSTITUTE($F101, ",", REPT(" ", 100)), (COLUMNS($AH$2:AO101)-1)*100+1, 100))</f>
        <v/>
      </c>
      <c r="AP101" t="str">
        <f>TRIM(MID(SUBSTITUTE($F101, ",", REPT(" ", 100)), (COLUMNS($AH$2:AP101)-1)*100+1, 100))</f>
        <v/>
      </c>
      <c r="AQ101" t="str">
        <f>TRIM(MID(SUBSTITUTE($F101, ",", REPT(" ", 100)), (COLUMNS($AH$2:AQ101)-1)*100+1, 100))</f>
        <v/>
      </c>
      <c r="AR101" t="str">
        <f>TRIM(MID(SUBSTITUTE($F101, ",", REPT(" ", 100)), (COLUMNS($AH$2:AR101)-1)*100+1, 100))</f>
        <v/>
      </c>
      <c r="AS101" t="str">
        <f>TRIM(MID(SUBSTITUTE($F101, ",", REPT(" ", 100)), (COLUMNS($AH$2:AS101)-1)*100+1, 100))</f>
        <v/>
      </c>
      <c r="AT101" t="str">
        <f>TRIM(MID(SUBSTITUTE($F101, ",", REPT(" ", 100)), (COLUMNS($AH$2:AT101)-1)*100+1, 100))</f>
        <v/>
      </c>
      <c r="AU101" t="str">
        <f>TRIM(MID(SUBSTITUTE($F101, ",", REPT(" ", 100)), (COLUMNS($AH$2:AU101)-1)*100+1, 100))</f>
        <v/>
      </c>
      <c r="AV101" t="str">
        <f>TRIM(MID(SUBSTITUTE($F101, ",", REPT(" ", 100)), (COLUMNS($AH$2:AV101)-1)*100+1, 100))</f>
        <v/>
      </c>
      <c r="AW101" t="str">
        <f>TRIM(MID(SUBSTITUTE($F101, ",", REPT(" ", 100)), (COLUMNS($AH$2:AW101)-1)*100+1, 100))</f>
        <v/>
      </c>
      <c r="AX101" t="str">
        <f>TRIM(MID(SUBSTITUTE($F101, ",", REPT(" ", 100)), (COLUMNS($AH$2:AX101)-1)*100+1, 100))</f>
        <v/>
      </c>
      <c r="AY101" t="str">
        <f>TRIM(MID(SUBSTITUTE($F101, ",", REPT(" ", 100)), (COLUMNS($AH$2:AY101)-1)*100+1, 100))</f>
        <v/>
      </c>
      <c r="AZ101" t="str">
        <f>TRIM(MID(SUBSTITUTE($F101, ",", REPT(" ", 100)), (COLUMNS($AH$2:AZ101)-1)*100+1, 100))</f>
        <v/>
      </c>
      <c r="BA101" t="str">
        <f>TRIM(MID(SUBSTITUTE($F101, ",", REPT(" ", 100)), (COLUMNS($AH$2:BA101)-1)*100+1, 100))</f>
        <v/>
      </c>
    </row>
    <row r="102" spans="1:53" x14ac:dyDescent="0.5">
      <c r="A102" s="1">
        <v>45758</v>
      </c>
      <c r="B102" s="2">
        <v>5</v>
      </c>
      <c r="C102" s="272"/>
      <c r="D102" s="295"/>
      <c r="E102" s="58">
        <v>1</v>
      </c>
      <c r="F102" s="38" t="s">
        <v>176</v>
      </c>
      <c r="G102" s="38" t="s">
        <v>263</v>
      </c>
      <c r="AJ102" t="str">
        <f>TRIM(MID(SUBSTITUTE($F102, ",", REPT(" ", 100)), (COLUMNS($AH$2:AJ102)-1)*100+1, 100))</f>
        <v/>
      </c>
      <c r="AK102" s="1">
        <v>45758</v>
      </c>
      <c r="AL102" s="2">
        <v>5</v>
      </c>
      <c r="AM102" s="2">
        <v>0</v>
      </c>
      <c r="AO102" t="str">
        <f>TRIM(MID(SUBSTITUTE($F102, ",", REPT(" ", 100)), (COLUMNS($AH$2:AO102)-1)*100+1, 100))</f>
        <v/>
      </c>
      <c r="AP102" t="str">
        <f>TRIM(MID(SUBSTITUTE($F102, ",", REPT(" ", 100)), (COLUMNS($AH$2:AP102)-1)*100+1, 100))</f>
        <v/>
      </c>
      <c r="AQ102" t="str">
        <f>TRIM(MID(SUBSTITUTE($F102, ",", REPT(" ", 100)), (COLUMNS($AH$2:AQ102)-1)*100+1, 100))</f>
        <v/>
      </c>
      <c r="AR102" t="str">
        <f>TRIM(MID(SUBSTITUTE($F102, ",", REPT(" ", 100)), (COLUMNS($AH$2:AR102)-1)*100+1, 100))</f>
        <v/>
      </c>
      <c r="AS102" t="str">
        <f>TRIM(MID(SUBSTITUTE($F102, ",", REPT(" ", 100)), (COLUMNS($AH$2:AS102)-1)*100+1, 100))</f>
        <v/>
      </c>
      <c r="AT102" t="str">
        <f>TRIM(MID(SUBSTITUTE($F102, ",", REPT(" ", 100)), (COLUMNS($AH$2:AT102)-1)*100+1, 100))</f>
        <v/>
      </c>
      <c r="AU102" t="str">
        <f>TRIM(MID(SUBSTITUTE($F102, ",", REPT(" ", 100)), (COLUMNS($AH$2:AU102)-1)*100+1, 100))</f>
        <v/>
      </c>
      <c r="AV102" t="str">
        <f>TRIM(MID(SUBSTITUTE($F102, ",", REPT(" ", 100)), (COLUMNS($AH$2:AV102)-1)*100+1, 100))</f>
        <v/>
      </c>
      <c r="AW102" t="str">
        <f>TRIM(MID(SUBSTITUTE($F102, ",", REPT(" ", 100)), (COLUMNS($AH$2:AW102)-1)*100+1, 100))</f>
        <v/>
      </c>
      <c r="AX102" t="str">
        <f>TRIM(MID(SUBSTITUTE($F102, ",", REPT(" ", 100)), (COLUMNS($AH$2:AX102)-1)*100+1, 100))</f>
        <v/>
      </c>
      <c r="AY102" t="str">
        <f>TRIM(MID(SUBSTITUTE($F102, ",", REPT(" ", 100)), (COLUMNS($AH$2:AY102)-1)*100+1, 100))</f>
        <v/>
      </c>
      <c r="AZ102" t="str">
        <f>TRIM(MID(SUBSTITUTE($F102, ",", REPT(" ", 100)), (COLUMNS($AH$2:AZ102)-1)*100+1, 100))</f>
        <v/>
      </c>
      <c r="BA102" t="str">
        <f>TRIM(MID(SUBSTITUTE($F102, ",", REPT(" ", 100)), (COLUMNS($AH$2:BA102)-1)*100+1, 100))</f>
        <v/>
      </c>
    </row>
    <row r="103" spans="1:53" x14ac:dyDescent="0.5">
      <c r="A103" s="1">
        <v>45759</v>
      </c>
      <c r="B103" s="2">
        <v>6</v>
      </c>
      <c r="C103" s="272"/>
      <c r="D103" s="295"/>
      <c r="E103" s="58">
        <v>0</v>
      </c>
      <c r="F103" s="38" t="s">
        <v>176</v>
      </c>
      <c r="AJ103" t="str">
        <f>TRIM(MID(SUBSTITUTE($F103, ",", REPT(" ", 100)), (COLUMNS($AH$2:AJ103)-1)*100+1, 100))</f>
        <v/>
      </c>
      <c r="AK103" s="1">
        <v>45759</v>
      </c>
      <c r="AL103" s="2">
        <v>6</v>
      </c>
      <c r="AM103" s="2">
        <v>6</v>
      </c>
      <c r="AO103" t="str">
        <f>TRIM(MID(SUBSTITUTE($F103, ",", REPT(" ", 100)), (COLUMNS($AH$2:AO103)-1)*100+1, 100))</f>
        <v/>
      </c>
      <c r="AP103" t="str">
        <f>TRIM(MID(SUBSTITUTE($F103, ",", REPT(" ", 100)), (COLUMNS($AH$2:AP103)-1)*100+1, 100))</f>
        <v/>
      </c>
      <c r="AQ103" t="str">
        <f>TRIM(MID(SUBSTITUTE($F103, ",", REPT(" ", 100)), (COLUMNS($AH$2:AQ103)-1)*100+1, 100))</f>
        <v/>
      </c>
      <c r="AR103" t="str">
        <f>TRIM(MID(SUBSTITUTE($F103, ",", REPT(" ", 100)), (COLUMNS($AH$2:AR103)-1)*100+1, 100))</f>
        <v/>
      </c>
      <c r="AS103" t="str">
        <f>TRIM(MID(SUBSTITUTE($F103, ",", REPT(" ", 100)), (COLUMNS($AH$2:AS103)-1)*100+1, 100))</f>
        <v/>
      </c>
      <c r="AT103" t="str">
        <f>TRIM(MID(SUBSTITUTE($F103, ",", REPT(" ", 100)), (COLUMNS($AH$2:AT103)-1)*100+1, 100))</f>
        <v/>
      </c>
      <c r="AU103" t="str">
        <f>TRIM(MID(SUBSTITUTE($F103, ",", REPT(" ", 100)), (COLUMNS($AH$2:AU103)-1)*100+1, 100))</f>
        <v/>
      </c>
      <c r="AV103" t="str">
        <f>TRIM(MID(SUBSTITUTE($F103, ",", REPT(" ", 100)), (COLUMNS($AH$2:AV103)-1)*100+1, 100))</f>
        <v/>
      </c>
      <c r="AW103" t="str">
        <f>TRIM(MID(SUBSTITUTE($F103, ",", REPT(" ", 100)), (COLUMNS($AH$2:AW103)-1)*100+1, 100))</f>
        <v/>
      </c>
      <c r="AX103" t="str">
        <f>TRIM(MID(SUBSTITUTE($F103, ",", REPT(" ", 100)), (COLUMNS($AH$2:AX103)-1)*100+1, 100))</f>
        <v/>
      </c>
      <c r="AY103" t="str">
        <f>TRIM(MID(SUBSTITUTE($F103, ",", REPT(" ", 100)), (COLUMNS($AH$2:AY103)-1)*100+1, 100))</f>
        <v/>
      </c>
      <c r="AZ103" t="str">
        <f>TRIM(MID(SUBSTITUTE($F103, ",", REPT(" ", 100)), (COLUMNS($AH$2:AZ103)-1)*100+1, 100))</f>
        <v/>
      </c>
      <c r="BA103" t="str">
        <f>TRIM(MID(SUBSTITUTE($F103, ",", REPT(" ", 100)), (COLUMNS($AH$2:BA103)-1)*100+1, 100))</f>
        <v/>
      </c>
    </row>
    <row r="104" spans="1:53" x14ac:dyDescent="0.5">
      <c r="A104" s="1">
        <v>45760</v>
      </c>
      <c r="B104" s="2">
        <v>6.5</v>
      </c>
      <c r="C104" s="272"/>
      <c r="D104" s="295"/>
      <c r="E104" s="58">
        <v>1</v>
      </c>
      <c r="F104" s="38" t="s">
        <v>176</v>
      </c>
      <c r="AJ104" t="str">
        <f>TRIM(MID(SUBSTITUTE($F104, ",", REPT(" ", 100)), (COLUMNS($AH$2:AJ104)-1)*100+1, 100))</f>
        <v/>
      </c>
      <c r="AK104" s="1">
        <v>45760</v>
      </c>
      <c r="AL104" s="2">
        <v>6.5</v>
      </c>
      <c r="AM104" s="2">
        <v>6</v>
      </c>
      <c r="AO104" t="str">
        <f>TRIM(MID(SUBSTITUTE($F104, ",", REPT(" ", 100)), (COLUMNS($AH$2:AO104)-1)*100+1, 100))</f>
        <v/>
      </c>
      <c r="AP104" t="str">
        <f>TRIM(MID(SUBSTITUTE($F104, ",", REPT(" ", 100)), (COLUMNS($AH$2:AP104)-1)*100+1, 100))</f>
        <v/>
      </c>
      <c r="AQ104" t="str">
        <f>TRIM(MID(SUBSTITUTE($F104, ",", REPT(" ", 100)), (COLUMNS($AH$2:AQ104)-1)*100+1, 100))</f>
        <v/>
      </c>
      <c r="AR104" t="str">
        <f>TRIM(MID(SUBSTITUTE($F104, ",", REPT(" ", 100)), (COLUMNS($AH$2:AR104)-1)*100+1, 100))</f>
        <v/>
      </c>
      <c r="AS104" t="str">
        <f>TRIM(MID(SUBSTITUTE($F104, ",", REPT(" ", 100)), (COLUMNS($AH$2:AS104)-1)*100+1, 100))</f>
        <v/>
      </c>
      <c r="AT104" t="str">
        <f>TRIM(MID(SUBSTITUTE($F104, ",", REPT(" ", 100)), (COLUMNS($AH$2:AT104)-1)*100+1, 100))</f>
        <v/>
      </c>
      <c r="AU104" t="str">
        <f>TRIM(MID(SUBSTITUTE($F104, ",", REPT(" ", 100)), (COLUMNS($AH$2:AU104)-1)*100+1, 100))</f>
        <v/>
      </c>
      <c r="AV104" t="str">
        <f>TRIM(MID(SUBSTITUTE($F104, ",", REPT(" ", 100)), (COLUMNS($AH$2:AV104)-1)*100+1, 100))</f>
        <v/>
      </c>
      <c r="AW104" t="str">
        <f>TRIM(MID(SUBSTITUTE($F104, ",", REPT(" ", 100)), (COLUMNS($AH$2:AW104)-1)*100+1, 100))</f>
        <v/>
      </c>
      <c r="AX104" t="str">
        <f>TRIM(MID(SUBSTITUTE($F104, ",", REPT(" ", 100)), (COLUMNS($AH$2:AX104)-1)*100+1, 100))</f>
        <v/>
      </c>
      <c r="AY104" t="str">
        <f>TRIM(MID(SUBSTITUTE($F104, ",", REPT(" ", 100)), (COLUMNS($AH$2:AY104)-1)*100+1, 100))</f>
        <v/>
      </c>
      <c r="AZ104" t="str">
        <f>TRIM(MID(SUBSTITUTE($F104, ",", REPT(" ", 100)), (COLUMNS($AH$2:AZ104)-1)*100+1, 100))</f>
        <v/>
      </c>
      <c r="BA104" t="str">
        <f>TRIM(MID(SUBSTITUTE($F104, ",", REPT(" ", 100)), (COLUMNS($AH$2:BA104)-1)*100+1, 100))</f>
        <v/>
      </c>
    </row>
    <row r="105" spans="1:53" x14ac:dyDescent="0.5">
      <c r="A105" s="1">
        <v>45761</v>
      </c>
      <c r="B105" s="2">
        <v>7</v>
      </c>
      <c r="C105" s="272"/>
      <c r="D105" s="295"/>
      <c r="E105" s="58">
        <v>1</v>
      </c>
      <c r="F105" s="38" t="s">
        <v>176</v>
      </c>
      <c r="AJ105" t="str">
        <f>TRIM(MID(SUBSTITUTE($F105, ",", REPT(" ", 100)), (COLUMNS($AH$2:AJ105)-1)*100+1, 100))</f>
        <v/>
      </c>
      <c r="AK105" s="1">
        <v>45761</v>
      </c>
      <c r="AL105" s="2">
        <v>7</v>
      </c>
      <c r="AM105" s="2">
        <v>4</v>
      </c>
      <c r="AO105" t="str">
        <f>TRIM(MID(SUBSTITUTE($F105, ",", REPT(" ", 100)), (COLUMNS($AH$2:AO105)-1)*100+1, 100))</f>
        <v/>
      </c>
      <c r="AP105" t="str">
        <f>TRIM(MID(SUBSTITUTE($F105, ",", REPT(" ", 100)), (COLUMNS($AH$2:AP105)-1)*100+1, 100))</f>
        <v/>
      </c>
      <c r="AQ105" t="str">
        <f>TRIM(MID(SUBSTITUTE($F105, ",", REPT(" ", 100)), (COLUMNS($AH$2:AQ105)-1)*100+1, 100))</f>
        <v/>
      </c>
      <c r="AR105" t="str">
        <f>TRIM(MID(SUBSTITUTE($F105, ",", REPT(" ", 100)), (COLUMNS($AH$2:AR105)-1)*100+1, 100))</f>
        <v/>
      </c>
      <c r="AS105" t="str">
        <f>TRIM(MID(SUBSTITUTE($F105, ",", REPT(" ", 100)), (COLUMNS($AH$2:AS105)-1)*100+1, 100))</f>
        <v/>
      </c>
      <c r="AT105" t="str">
        <f>TRIM(MID(SUBSTITUTE($F105, ",", REPT(" ", 100)), (COLUMNS($AH$2:AT105)-1)*100+1, 100))</f>
        <v/>
      </c>
      <c r="AU105" t="str">
        <f>TRIM(MID(SUBSTITUTE($F105, ",", REPT(" ", 100)), (COLUMNS($AH$2:AU105)-1)*100+1, 100))</f>
        <v/>
      </c>
      <c r="AV105" t="str">
        <f>TRIM(MID(SUBSTITUTE($F105, ",", REPT(" ", 100)), (COLUMNS($AH$2:AV105)-1)*100+1, 100))</f>
        <v/>
      </c>
      <c r="AW105" t="str">
        <f>TRIM(MID(SUBSTITUTE($F105, ",", REPT(" ", 100)), (COLUMNS($AH$2:AW105)-1)*100+1, 100))</f>
        <v/>
      </c>
      <c r="AX105" t="str">
        <f>TRIM(MID(SUBSTITUTE($F105, ",", REPT(" ", 100)), (COLUMNS($AH$2:AX105)-1)*100+1, 100))</f>
        <v/>
      </c>
      <c r="AY105" t="str">
        <f>TRIM(MID(SUBSTITUTE($F105, ",", REPT(" ", 100)), (COLUMNS($AH$2:AY105)-1)*100+1, 100))</f>
        <v/>
      </c>
      <c r="AZ105" t="str">
        <f>TRIM(MID(SUBSTITUTE($F105, ",", REPT(" ", 100)), (COLUMNS($AH$2:AZ105)-1)*100+1, 100))</f>
        <v/>
      </c>
      <c r="BA105" t="str">
        <f>TRIM(MID(SUBSTITUTE($F105, ",", REPT(" ", 100)), (COLUMNS($AH$2:BA105)-1)*100+1, 100))</f>
        <v/>
      </c>
    </row>
    <row r="106" spans="1:53" x14ac:dyDescent="0.5">
      <c r="A106" s="1">
        <v>45762</v>
      </c>
      <c r="B106" s="2">
        <v>6</v>
      </c>
      <c r="C106" s="272"/>
      <c r="D106" s="295"/>
      <c r="E106" s="58">
        <v>1</v>
      </c>
      <c r="F106" s="38" t="s">
        <v>176</v>
      </c>
      <c r="AJ106" t="str">
        <f>TRIM(MID(SUBSTITUTE($F106, ",", REPT(" ", 100)), (COLUMNS($AH$2:AJ106)-1)*100+1, 100))</f>
        <v/>
      </c>
      <c r="AK106" s="1">
        <v>45762</v>
      </c>
      <c r="AL106" s="2">
        <v>6</v>
      </c>
      <c r="AM106" s="2">
        <v>6</v>
      </c>
      <c r="AO106" t="str">
        <f>TRIM(MID(SUBSTITUTE($F106, ",", REPT(" ", 100)), (COLUMNS($AH$2:AO106)-1)*100+1, 100))</f>
        <v/>
      </c>
      <c r="AP106" t="str">
        <f>TRIM(MID(SUBSTITUTE($F106, ",", REPT(" ", 100)), (COLUMNS($AH$2:AP106)-1)*100+1, 100))</f>
        <v/>
      </c>
      <c r="AQ106" t="str">
        <f>TRIM(MID(SUBSTITUTE($F106, ",", REPT(" ", 100)), (COLUMNS($AH$2:AQ106)-1)*100+1, 100))</f>
        <v/>
      </c>
      <c r="AR106" t="str">
        <f>TRIM(MID(SUBSTITUTE($F106, ",", REPT(" ", 100)), (COLUMNS($AH$2:AR106)-1)*100+1, 100))</f>
        <v/>
      </c>
      <c r="AS106" t="str">
        <f>TRIM(MID(SUBSTITUTE($F106, ",", REPT(" ", 100)), (COLUMNS($AH$2:AS106)-1)*100+1, 100))</f>
        <v/>
      </c>
      <c r="AT106" t="str">
        <f>TRIM(MID(SUBSTITUTE($F106, ",", REPT(" ", 100)), (COLUMNS($AH$2:AT106)-1)*100+1, 100))</f>
        <v/>
      </c>
      <c r="AU106" t="str">
        <f>TRIM(MID(SUBSTITUTE($F106, ",", REPT(" ", 100)), (COLUMNS($AH$2:AU106)-1)*100+1, 100))</f>
        <v/>
      </c>
      <c r="AV106" t="str">
        <f>TRIM(MID(SUBSTITUTE($F106, ",", REPT(" ", 100)), (COLUMNS($AH$2:AV106)-1)*100+1, 100))</f>
        <v/>
      </c>
      <c r="AW106" t="str">
        <f>TRIM(MID(SUBSTITUTE($F106, ",", REPT(" ", 100)), (COLUMNS($AH$2:AW106)-1)*100+1, 100))</f>
        <v/>
      </c>
      <c r="AX106" t="str">
        <f>TRIM(MID(SUBSTITUTE($F106, ",", REPT(" ", 100)), (COLUMNS($AH$2:AX106)-1)*100+1, 100))</f>
        <v/>
      </c>
      <c r="AY106" t="str">
        <f>TRIM(MID(SUBSTITUTE($F106, ",", REPT(" ", 100)), (COLUMNS($AH$2:AY106)-1)*100+1, 100))</f>
        <v/>
      </c>
      <c r="AZ106" t="str">
        <f>TRIM(MID(SUBSTITUTE($F106, ",", REPT(" ", 100)), (COLUMNS($AH$2:AZ106)-1)*100+1, 100))</f>
        <v/>
      </c>
      <c r="BA106" t="str">
        <f>TRIM(MID(SUBSTITUTE($F106, ",", REPT(" ", 100)), (COLUMNS($AH$2:BA106)-1)*100+1, 100))</f>
        <v/>
      </c>
    </row>
    <row r="107" spans="1:53" x14ac:dyDescent="0.5">
      <c r="A107" s="1">
        <v>45763</v>
      </c>
      <c r="B107" s="2">
        <v>5</v>
      </c>
      <c r="C107" s="272"/>
      <c r="D107" s="295"/>
      <c r="E107" s="58">
        <v>0</v>
      </c>
      <c r="F107" s="38" t="s">
        <v>176</v>
      </c>
      <c r="AJ107" t="str">
        <f>TRIM(MID(SUBSTITUTE($F107, ",", REPT(" ", 100)), (COLUMNS($AH$2:AJ107)-1)*100+1, 100))</f>
        <v/>
      </c>
      <c r="AK107" s="1">
        <v>45763</v>
      </c>
      <c r="AL107" s="2">
        <v>5</v>
      </c>
      <c r="AM107" s="2">
        <v>4</v>
      </c>
      <c r="AO107" t="str">
        <f>TRIM(MID(SUBSTITUTE($F107, ",", REPT(" ", 100)), (COLUMNS($AH$2:AO107)-1)*100+1, 100))</f>
        <v/>
      </c>
      <c r="AP107" t="str">
        <f>TRIM(MID(SUBSTITUTE($F107, ",", REPT(" ", 100)), (COLUMNS($AH$2:AP107)-1)*100+1, 100))</f>
        <v/>
      </c>
      <c r="AQ107" t="str">
        <f>TRIM(MID(SUBSTITUTE($F107, ",", REPT(" ", 100)), (COLUMNS($AH$2:AQ107)-1)*100+1, 100))</f>
        <v/>
      </c>
      <c r="AR107" t="str">
        <f>TRIM(MID(SUBSTITUTE($F107, ",", REPT(" ", 100)), (COLUMNS($AH$2:AR107)-1)*100+1, 100))</f>
        <v/>
      </c>
      <c r="AS107" t="str">
        <f>TRIM(MID(SUBSTITUTE($F107, ",", REPT(" ", 100)), (COLUMNS($AH$2:AS107)-1)*100+1, 100))</f>
        <v/>
      </c>
      <c r="AT107" t="str">
        <f>TRIM(MID(SUBSTITUTE($F107, ",", REPT(" ", 100)), (COLUMNS($AH$2:AT107)-1)*100+1, 100))</f>
        <v/>
      </c>
      <c r="AU107" t="str">
        <f>TRIM(MID(SUBSTITUTE($F107, ",", REPT(" ", 100)), (COLUMNS($AH$2:AU107)-1)*100+1, 100))</f>
        <v/>
      </c>
      <c r="AV107" t="str">
        <f>TRIM(MID(SUBSTITUTE($F107, ",", REPT(" ", 100)), (COLUMNS($AH$2:AV107)-1)*100+1, 100))</f>
        <v/>
      </c>
      <c r="AW107" t="str">
        <f>TRIM(MID(SUBSTITUTE($F107, ",", REPT(" ", 100)), (COLUMNS($AH$2:AW107)-1)*100+1, 100))</f>
        <v/>
      </c>
      <c r="AX107" t="str">
        <f>TRIM(MID(SUBSTITUTE($F107, ",", REPT(" ", 100)), (COLUMNS($AH$2:AX107)-1)*100+1, 100))</f>
        <v/>
      </c>
      <c r="AY107" t="str">
        <f>TRIM(MID(SUBSTITUTE($F107, ",", REPT(" ", 100)), (COLUMNS($AH$2:AY107)-1)*100+1, 100))</f>
        <v/>
      </c>
      <c r="AZ107" t="str">
        <f>TRIM(MID(SUBSTITUTE($F107, ",", REPT(" ", 100)), (COLUMNS($AH$2:AZ107)-1)*100+1, 100))</f>
        <v/>
      </c>
      <c r="BA107" t="str">
        <f>TRIM(MID(SUBSTITUTE($F107, ",", REPT(" ", 100)), (COLUMNS($AH$2:BA107)-1)*100+1, 100))</f>
        <v/>
      </c>
    </row>
    <row r="108" spans="1:53" x14ac:dyDescent="0.5">
      <c r="A108" s="1">
        <v>45764</v>
      </c>
      <c r="B108" s="2">
        <v>7</v>
      </c>
      <c r="C108" s="272"/>
      <c r="D108" s="295"/>
      <c r="E108" s="58">
        <v>1</v>
      </c>
      <c r="F108" s="38" t="s">
        <v>176</v>
      </c>
      <c r="AJ108" t="str">
        <f>TRIM(MID(SUBSTITUTE($F108, ",", REPT(" ", 100)), (COLUMNS($AH$2:AJ108)-1)*100+1, 100))</f>
        <v/>
      </c>
      <c r="AK108" s="1">
        <v>45764</v>
      </c>
      <c r="AL108" s="2">
        <v>7</v>
      </c>
      <c r="AM108" s="2">
        <v>8</v>
      </c>
      <c r="AO108" t="str">
        <f>TRIM(MID(SUBSTITUTE($F108, ",", REPT(" ", 100)), (COLUMNS($AH$2:AO108)-1)*100+1, 100))</f>
        <v/>
      </c>
      <c r="AP108" t="str">
        <f>TRIM(MID(SUBSTITUTE($F108, ",", REPT(" ", 100)), (COLUMNS($AH$2:AP108)-1)*100+1, 100))</f>
        <v/>
      </c>
      <c r="AQ108" t="str">
        <f>TRIM(MID(SUBSTITUTE($F108, ",", REPT(" ", 100)), (COLUMNS($AH$2:AQ108)-1)*100+1, 100))</f>
        <v/>
      </c>
      <c r="AR108" t="str">
        <f>TRIM(MID(SUBSTITUTE($F108, ",", REPT(" ", 100)), (COLUMNS($AH$2:AR108)-1)*100+1, 100))</f>
        <v/>
      </c>
      <c r="AS108" t="str">
        <f>TRIM(MID(SUBSTITUTE($F108, ",", REPT(" ", 100)), (COLUMNS($AH$2:AS108)-1)*100+1, 100))</f>
        <v/>
      </c>
      <c r="AT108" t="str">
        <f>TRIM(MID(SUBSTITUTE($F108, ",", REPT(" ", 100)), (COLUMNS($AH$2:AT108)-1)*100+1, 100))</f>
        <v/>
      </c>
      <c r="AU108" t="str">
        <f>TRIM(MID(SUBSTITUTE($F108, ",", REPT(" ", 100)), (COLUMNS($AH$2:AU108)-1)*100+1, 100))</f>
        <v/>
      </c>
      <c r="AV108" t="str">
        <f>TRIM(MID(SUBSTITUTE($F108, ",", REPT(" ", 100)), (COLUMNS($AH$2:AV108)-1)*100+1, 100))</f>
        <v/>
      </c>
      <c r="AW108" t="str">
        <f>TRIM(MID(SUBSTITUTE($F108, ",", REPT(" ", 100)), (COLUMNS($AH$2:AW108)-1)*100+1, 100))</f>
        <v/>
      </c>
      <c r="AX108" t="str">
        <f>TRIM(MID(SUBSTITUTE($F108, ",", REPT(" ", 100)), (COLUMNS($AH$2:AX108)-1)*100+1, 100))</f>
        <v/>
      </c>
      <c r="AY108" t="str">
        <f>TRIM(MID(SUBSTITUTE($F108, ",", REPT(" ", 100)), (COLUMNS($AH$2:AY108)-1)*100+1, 100))</f>
        <v/>
      </c>
      <c r="AZ108" t="str">
        <f>TRIM(MID(SUBSTITUTE($F108, ",", REPT(" ", 100)), (COLUMNS($AH$2:AZ108)-1)*100+1, 100))</f>
        <v/>
      </c>
      <c r="BA108" t="str">
        <f>TRIM(MID(SUBSTITUTE($F108, ",", REPT(" ", 100)), (COLUMNS($AH$2:BA108)-1)*100+1, 100))</f>
        <v/>
      </c>
    </row>
    <row r="109" spans="1:53" x14ac:dyDescent="0.5">
      <c r="A109" s="1">
        <v>45765</v>
      </c>
      <c r="B109" s="2">
        <v>5</v>
      </c>
      <c r="C109" s="272"/>
      <c r="D109" s="295"/>
      <c r="E109" s="58">
        <v>0</v>
      </c>
      <c r="F109" s="38" t="s">
        <v>176</v>
      </c>
      <c r="AJ109" t="str">
        <f>TRIM(MID(SUBSTITUTE($F109, ",", REPT(" ", 100)), (COLUMNS($AH$2:AJ109)-1)*100+1, 100))</f>
        <v/>
      </c>
      <c r="AK109" s="1">
        <v>45765</v>
      </c>
      <c r="AL109" s="2">
        <v>5</v>
      </c>
      <c r="AM109" s="2">
        <v>6</v>
      </c>
      <c r="AO109" t="str">
        <f>TRIM(MID(SUBSTITUTE($F109, ",", REPT(" ", 100)), (COLUMNS($AH$2:AO109)-1)*100+1, 100))</f>
        <v/>
      </c>
      <c r="AP109" t="str">
        <f>TRIM(MID(SUBSTITUTE($F109, ",", REPT(" ", 100)), (COLUMNS($AH$2:AP109)-1)*100+1, 100))</f>
        <v/>
      </c>
      <c r="AQ109" t="str">
        <f>TRIM(MID(SUBSTITUTE($F109, ",", REPT(" ", 100)), (COLUMNS($AH$2:AQ109)-1)*100+1, 100))</f>
        <v/>
      </c>
      <c r="AR109" t="str">
        <f>TRIM(MID(SUBSTITUTE($F109, ",", REPT(" ", 100)), (COLUMNS($AH$2:AR109)-1)*100+1, 100))</f>
        <v/>
      </c>
      <c r="AS109" t="str">
        <f>TRIM(MID(SUBSTITUTE($F109, ",", REPT(" ", 100)), (COLUMNS($AH$2:AS109)-1)*100+1, 100))</f>
        <v/>
      </c>
      <c r="AT109" t="str">
        <f>TRIM(MID(SUBSTITUTE($F109, ",", REPT(" ", 100)), (COLUMNS($AH$2:AT109)-1)*100+1, 100))</f>
        <v/>
      </c>
      <c r="AU109" t="str">
        <f>TRIM(MID(SUBSTITUTE($F109, ",", REPT(" ", 100)), (COLUMNS($AH$2:AU109)-1)*100+1, 100))</f>
        <v/>
      </c>
      <c r="AV109" t="str">
        <f>TRIM(MID(SUBSTITUTE($F109, ",", REPT(" ", 100)), (COLUMNS($AH$2:AV109)-1)*100+1, 100))</f>
        <v/>
      </c>
      <c r="AW109" t="str">
        <f>TRIM(MID(SUBSTITUTE($F109, ",", REPT(" ", 100)), (COLUMNS($AH$2:AW109)-1)*100+1, 100))</f>
        <v/>
      </c>
      <c r="AX109" t="str">
        <f>TRIM(MID(SUBSTITUTE($F109, ",", REPT(" ", 100)), (COLUMNS($AH$2:AX109)-1)*100+1, 100))</f>
        <v/>
      </c>
      <c r="AY109" t="str">
        <f>TRIM(MID(SUBSTITUTE($F109, ",", REPT(" ", 100)), (COLUMNS($AH$2:AY109)-1)*100+1, 100))</f>
        <v/>
      </c>
      <c r="AZ109" t="str">
        <f>TRIM(MID(SUBSTITUTE($F109, ",", REPT(" ", 100)), (COLUMNS($AH$2:AZ109)-1)*100+1, 100))</f>
        <v/>
      </c>
      <c r="BA109" t="str">
        <f>TRIM(MID(SUBSTITUTE($F109, ",", REPT(" ", 100)), (COLUMNS($AH$2:BA109)-1)*100+1, 100))</f>
        <v/>
      </c>
    </row>
    <row r="110" spans="1:53" x14ac:dyDescent="0.5">
      <c r="A110" s="1">
        <v>45766</v>
      </c>
      <c r="B110" s="2">
        <v>5</v>
      </c>
      <c r="C110" s="272"/>
      <c r="D110" s="295"/>
      <c r="E110" s="58">
        <v>1</v>
      </c>
      <c r="F110" s="38" t="s">
        <v>176</v>
      </c>
      <c r="AJ110" t="str">
        <f>TRIM(MID(SUBSTITUTE($F110, ",", REPT(" ", 100)), (COLUMNS($AH$2:AJ110)-1)*100+1, 100))</f>
        <v/>
      </c>
      <c r="AK110" s="1">
        <v>45766</v>
      </c>
      <c r="AL110" s="2">
        <v>5</v>
      </c>
      <c r="AM110" s="2">
        <v>6</v>
      </c>
      <c r="AO110" t="str">
        <f>TRIM(MID(SUBSTITUTE($F110, ",", REPT(" ", 100)), (COLUMNS($AH$2:AO110)-1)*100+1, 100))</f>
        <v/>
      </c>
      <c r="AP110" t="str">
        <f>TRIM(MID(SUBSTITUTE($F110, ",", REPT(" ", 100)), (COLUMNS($AH$2:AP110)-1)*100+1, 100))</f>
        <v/>
      </c>
      <c r="AQ110" t="str">
        <f>TRIM(MID(SUBSTITUTE($F110, ",", REPT(" ", 100)), (COLUMNS($AH$2:AQ110)-1)*100+1, 100))</f>
        <v/>
      </c>
      <c r="AR110" t="str">
        <f>TRIM(MID(SUBSTITUTE($F110, ",", REPT(" ", 100)), (COLUMNS($AH$2:AR110)-1)*100+1, 100))</f>
        <v/>
      </c>
      <c r="AS110" t="str">
        <f>TRIM(MID(SUBSTITUTE($F110, ",", REPT(" ", 100)), (COLUMNS($AH$2:AS110)-1)*100+1, 100))</f>
        <v/>
      </c>
      <c r="AT110" t="str">
        <f>TRIM(MID(SUBSTITUTE($F110, ",", REPT(" ", 100)), (COLUMNS($AH$2:AT110)-1)*100+1, 100))</f>
        <v/>
      </c>
      <c r="AU110" t="str">
        <f>TRIM(MID(SUBSTITUTE($F110, ",", REPT(" ", 100)), (COLUMNS($AH$2:AU110)-1)*100+1, 100))</f>
        <v/>
      </c>
      <c r="AV110" t="str">
        <f>TRIM(MID(SUBSTITUTE($F110, ",", REPT(" ", 100)), (COLUMNS($AH$2:AV110)-1)*100+1, 100))</f>
        <v/>
      </c>
      <c r="AW110" t="str">
        <f>TRIM(MID(SUBSTITUTE($F110, ",", REPT(" ", 100)), (COLUMNS($AH$2:AW110)-1)*100+1, 100))</f>
        <v/>
      </c>
      <c r="AX110" t="str">
        <f>TRIM(MID(SUBSTITUTE($F110, ",", REPT(" ", 100)), (COLUMNS($AH$2:AX110)-1)*100+1, 100))</f>
        <v/>
      </c>
      <c r="AY110" t="str">
        <f>TRIM(MID(SUBSTITUTE($F110, ",", REPT(" ", 100)), (COLUMNS($AH$2:AY110)-1)*100+1, 100))</f>
        <v/>
      </c>
      <c r="AZ110" t="str">
        <f>TRIM(MID(SUBSTITUTE($F110, ",", REPT(" ", 100)), (COLUMNS($AH$2:AZ110)-1)*100+1, 100))</f>
        <v/>
      </c>
      <c r="BA110" t="str">
        <f>TRIM(MID(SUBSTITUTE($F110, ",", REPT(" ", 100)), (COLUMNS($AH$2:BA110)-1)*100+1, 100))</f>
        <v/>
      </c>
    </row>
    <row r="111" spans="1:53" x14ac:dyDescent="0.5">
      <c r="A111" s="1">
        <v>45767</v>
      </c>
      <c r="B111" s="2">
        <v>3</v>
      </c>
      <c r="C111" s="272"/>
      <c r="D111" s="295"/>
      <c r="E111" s="58">
        <v>0</v>
      </c>
      <c r="F111" s="38" t="s">
        <v>176</v>
      </c>
      <c r="AJ111" t="str">
        <f>TRIM(MID(SUBSTITUTE($F111, ",", REPT(" ", 100)), (COLUMNS($AH$2:AJ111)-1)*100+1, 100))</f>
        <v/>
      </c>
      <c r="AK111" s="1">
        <v>45767</v>
      </c>
      <c r="AL111" s="2">
        <v>3</v>
      </c>
      <c r="AM111" s="2">
        <v>4</v>
      </c>
      <c r="AO111" t="str">
        <f>TRIM(MID(SUBSTITUTE($F111, ",", REPT(" ", 100)), (COLUMNS($AH$2:AO111)-1)*100+1, 100))</f>
        <v/>
      </c>
      <c r="AP111" t="str">
        <f>TRIM(MID(SUBSTITUTE($F111, ",", REPT(" ", 100)), (COLUMNS($AH$2:AP111)-1)*100+1, 100))</f>
        <v/>
      </c>
      <c r="AQ111" t="str">
        <f>TRIM(MID(SUBSTITUTE($F111, ",", REPT(" ", 100)), (COLUMNS($AH$2:AQ111)-1)*100+1, 100))</f>
        <v/>
      </c>
      <c r="AR111" t="str">
        <f>TRIM(MID(SUBSTITUTE($F111, ",", REPT(" ", 100)), (COLUMNS($AH$2:AR111)-1)*100+1, 100))</f>
        <v/>
      </c>
      <c r="AS111" t="str">
        <f>TRIM(MID(SUBSTITUTE($F111, ",", REPT(" ", 100)), (COLUMNS($AH$2:AS111)-1)*100+1, 100))</f>
        <v/>
      </c>
      <c r="AT111" t="str">
        <f>TRIM(MID(SUBSTITUTE($F111, ",", REPT(" ", 100)), (COLUMNS($AH$2:AT111)-1)*100+1, 100))</f>
        <v/>
      </c>
      <c r="AU111" t="str">
        <f>TRIM(MID(SUBSTITUTE($F111, ",", REPT(" ", 100)), (COLUMNS($AH$2:AU111)-1)*100+1, 100))</f>
        <v/>
      </c>
      <c r="AV111" t="str">
        <f>TRIM(MID(SUBSTITUTE($F111, ",", REPT(" ", 100)), (COLUMNS($AH$2:AV111)-1)*100+1, 100))</f>
        <v/>
      </c>
      <c r="AW111" t="str">
        <f>TRIM(MID(SUBSTITUTE($F111, ",", REPT(" ", 100)), (COLUMNS($AH$2:AW111)-1)*100+1, 100))</f>
        <v/>
      </c>
      <c r="AX111" t="str">
        <f>TRIM(MID(SUBSTITUTE($F111, ",", REPT(" ", 100)), (COLUMNS($AH$2:AX111)-1)*100+1, 100))</f>
        <v/>
      </c>
      <c r="AY111" t="str">
        <f>TRIM(MID(SUBSTITUTE($F111, ",", REPT(" ", 100)), (COLUMNS($AH$2:AY111)-1)*100+1, 100))</f>
        <v/>
      </c>
      <c r="AZ111" t="str">
        <f>TRIM(MID(SUBSTITUTE($F111, ",", REPT(" ", 100)), (COLUMNS($AH$2:AZ111)-1)*100+1, 100))</f>
        <v/>
      </c>
      <c r="BA111" t="str">
        <f>TRIM(MID(SUBSTITUTE($F111, ",", REPT(" ", 100)), (COLUMNS($AH$2:BA111)-1)*100+1, 100))</f>
        <v/>
      </c>
    </row>
    <row r="112" spans="1:53" x14ac:dyDescent="0.5">
      <c r="A112" s="1">
        <v>45768</v>
      </c>
      <c r="B112" s="2">
        <v>5</v>
      </c>
      <c r="C112" s="272"/>
      <c r="D112" s="295"/>
      <c r="E112" s="58">
        <v>1</v>
      </c>
      <c r="F112" s="38" t="s">
        <v>176</v>
      </c>
      <c r="AJ112" t="str">
        <f>TRIM(MID(SUBSTITUTE($F112, ",", REPT(" ", 100)), (COLUMNS($AH$2:AJ112)-1)*100+1, 100))</f>
        <v/>
      </c>
      <c r="AK112" s="1">
        <v>45768</v>
      </c>
      <c r="AL112" s="2">
        <v>5</v>
      </c>
      <c r="AM112" s="2">
        <v>6</v>
      </c>
      <c r="AO112" t="str">
        <f>TRIM(MID(SUBSTITUTE($F112, ",", REPT(" ", 100)), (COLUMNS($AH$2:AO112)-1)*100+1, 100))</f>
        <v/>
      </c>
      <c r="AP112" t="str">
        <f>TRIM(MID(SUBSTITUTE($F112, ",", REPT(" ", 100)), (COLUMNS($AH$2:AP112)-1)*100+1, 100))</f>
        <v/>
      </c>
      <c r="AQ112" t="str">
        <f>TRIM(MID(SUBSTITUTE($F112, ",", REPT(" ", 100)), (COLUMNS($AH$2:AQ112)-1)*100+1, 100))</f>
        <v/>
      </c>
      <c r="AR112" t="str">
        <f>TRIM(MID(SUBSTITUTE($F112, ",", REPT(" ", 100)), (COLUMNS($AH$2:AR112)-1)*100+1, 100))</f>
        <v/>
      </c>
      <c r="AS112" t="str">
        <f>TRIM(MID(SUBSTITUTE($F112, ",", REPT(" ", 100)), (COLUMNS($AH$2:AS112)-1)*100+1, 100))</f>
        <v/>
      </c>
      <c r="AT112" t="str">
        <f>TRIM(MID(SUBSTITUTE($F112, ",", REPT(" ", 100)), (COLUMNS($AH$2:AT112)-1)*100+1, 100))</f>
        <v/>
      </c>
      <c r="AU112" t="str">
        <f>TRIM(MID(SUBSTITUTE($F112, ",", REPT(" ", 100)), (COLUMNS($AH$2:AU112)-1)*100+1, 100))</f>
        <v/>
      </c>
      <c r="AV112" t="str">
        <f>TRIM(MID(SUBSTITUTE($F112, ",", REPT(" ", 100)), (COLUMNS($AH$2:AV112)-1)*100+1, 100))</f>
        <v/>
      </c>
      <c r="AW112" t="str">
        <f>TRIM(MID(SUBSTITUTE($F112, ",", REPT(" ", 100)), (COLUMNS($AH$2:AW112)-1)*100+1, 100))</f>
        <v/>
      </c>
      <c r="AX112" t="str">
        <f>TRIM(MID(SUBSTITUTE($F112, ",", REPT(" ", 100)), (COLUMNS($AH$2:AX112)-1)*100+1, 100))</f>
        <v/>
      </c>
      <c r="AY112" t="str">
        <f>TRIM(MID(SUBSTITUTE($F112, ",", REPT(" ", 100)), (COLUMNS($AH$2:AY112)-1)*100+1, 100))</f>
        <v/>
      </c>
      <c r="AZ112" t="str">
        <f>TRIM(MID(SUBSTITUTE($F112, ",", REPT(" ", 100)), (COLUMNS($AH$2:AZ112)-1)*100+1, 100))</f>
        <v/>
      </c>
      <c r="BA112" t="str">
        <f>TRIM(MID(SUBSTITUTE($F112, ",", REPT(" ", 100)), (COLUMNS($AH$2:BA112)-1)*100+1, 100))</f>
        <v/>
      </c>
    </row>
    <row r="113" spans="1:53" x14ac:dyDescent="0.5">
      <c r="A113" s="1">
        <v>45769</v>
      </c>
      <c r="B113" s="2">
        <v>3.5</v>
      </c>
      <c r="C113" s="272"/>
      <c r="D113" s="295"/>
      <c r="E113" s="58">
        <v>1</v>
      </c>
      <c r="F113" s="38" t="s">
        <v>176</v>
      </c>
      <c r="AJ113" t="str">
        <f>TRIM(MID(SUBSTITUTE($F113, ",", REPT(" ", 100)), (COLUMNS($AH$2:AJ113)-1)*100+1, 100))</f>
        <v/>
      </c>
      <c r="AK113" s="1">
        <v>45769</v>
      </c>
      <c r="AL113" s="2">
        <v>3.5</v>
      </c>
      <c r="AM113" s="2">
        <v>6</v>
      </c>
      <c r="AO113" t="str">
        <f>TRIM(MID(SUBSTITUTE($F113, ",", REPT(" ", 100)), (COLUMNS($AH$2:AO113)-1)*100+1, 100))</f>
        <v/>
      </c>
      <c r="AP113" t="str">
        <f>TRIM(MID(SUBSTITUTE($F113, ",", REPT(" ", 100)), (COLUMNS($AH$2:AP113)-1)*100+1, 100))</f>
        <v/>
      </c>
      <c r="AQ113" t="str">
        <f>TRIM(MID(SUBSTITUTE($F113, ",", REPT(" ", 100)), (COLUMNS($AH$2:AQ113)-1)*100+1, 100))</f>
        <v/>
      </c>
      <c r="AR113" t="str">
        <f>TRIM(MID(SUBSTITUTE($F113, ",", REPT(" ", 100)), (COLUMNS($AH$2:AR113)-1)*100+1, 100))</f>
        <v/>
      </c>
      <c r="AS113" t="str">
        <f>TRIM(MID(SUBSTITUTE($F113, ",", REPT(" ", 100)), (COLUMNS($AH$2:AS113)-1)*100+1, 100))</f>
        <v/>
      </c>
      <c r="AT113" t="str">
        <f>TRIM(MID(SUBSTITUTE($F113, ",", REPT(" ", 100)), (COLUMNS($AH$2:AT113)-1)*100+1, 100))</f>
        <v/>
      </c>
      <c r="AU113" t="str">
        <f>TRIM(MID(SUBSTITUTE($F113, ",", REPT(" ", 100)), (COLUMNS($AH$2:AU113)-1)*100+1, 100))</f>
        <v/>
      </c>
      <c r="AV113" t="str">
        <f>TRIM(MID(SUBSTITUTE($F113, ",", REPT(" ", 100)), (COLUMNS($AH$2:AV113)-1)*100+1, 100))</f>
        <v/>
      </c>
      <c r="AW113" t="str">
        <f>TRIM(MID(SUBSTITUTE($F113, ",", REPT(" ", 100)), (COLUMNS($AH$2:AW113)-1)*100+1, 100))</f>
        <v/>
      </c>
      <c r="AX113" t="str">
        <f>TRIM(MID(SUBSTITUTE($F113, ",", REPT(" ", 100)), (COLUMNS($AH$2:AX113)-1)*100+1, 100))</f>
        <v/>
      </c>
      <c r="AY113" t="str">
        <f>TRIM(MID(SUBSTITUTE($F113, ",", REPT(" ", 100)), (COLUMNS($AH$2:AY113)-1)*100+1, 100))</f>
        <v/>
      </c>
      <c r="AZ113" t="str">
        <f>TRIM(MID(SUBSTITUTE($F113, ",", REPT(" ", 100)), (COLUMNS($AH$2:AZ113)-1)*100+1, 100))</f>
        <v/>
      </c>
      <c r="BA113" t="str">
        <f>TRIM(MID(SUBSTITUTE($F113, ",", REPT(" ", 100)), (COLUMNS($AH$2:BA113)-1)*100+1, 100))</f>
        <v/>
      </c>
    </row>
    <row r="114" spans="1:53" x14ac:dyDescent="0.5">
      <c r="A114" s="1">
        <v>45770</v>
      </c>
      <c r="B114" s="2">
        <v>2</v>
      </c>
      <c r="C114" s="272"/>
      <c r="D114" s="295"/>
      <c r="E114" s="58">
        <v>0</v>
      </c>
      <c r="F114" s="38" t="s">
        <v>176</v>
      </c>
      <c r="G114" s="38" t="s">
        <v>34</v>
      </c>
      <c r="AJ114" t="str">
        <f>TRIM(MID(SUBSTITUTE($F114, ",", REPT(" ", 100)), (COLUMNS($AH$2:AJ114)-1)*100+1, 100))</f>
        <v/>
      </c>
      <c r="AK114" s="1">
        <v>45770</v>
      </c>
      <c r="AL114" s="2">
        <v>2</v>
      </c>
      <c r="AM114" s="2">
        <v>4</v>
      </c>
      <c r="AO114" t="str">
        <f>TRIM(MID(SUBSTITUTE($F114, ",", REPT(" ", 100)), (COLUMNS($AH$2:AO114)-1)*100+1, 100))</f>
        <v/>
      </c>
      <c r="AP114" t="str">
        <f>TRIM(MID(SUBSTITUTE($F114, ",", REPT(" ", 100)), (COLUMNS($AH$2:AP114)-1)*100+1, 100))</f>
        <v/>
      </c>
      <c r="AQ114" t="str">
        <f>TRIM(MID(SUBSTITUTE($F114, ",", REPT(" ", 100)), (COLUMNS($AH$2:AQ114)-1)*100+1, 100))</f>
        <v/>
      </c>
      <c r="AR114" t="str">
        <f>TRIM(MID(SUBSTITUTE($F114, ",", REPT(" ", 100)), (COLUMNS($AH$2:AR114)-1)*100+1, 100))</f>
        <v/>
      </c>
      <c r="AS114" t="str">
        <f>TRIM(MID(SUBSTITUTE($F114, ",", REPT(" ", 100)), (COLUMNS($AH$2:AS114)-1)*100+1, 100))</f>
        <v/>
      </c>
      <c r="AT114" t="str">
        <f>TRIM(MID(SUBSTITUTE($F114, ",", REPT(" ", 100)), (COLUMNS($AH$2:AT114)-1)*100+1, 100))</f>
        <v/>
      </c>
      <c r="AU114" t="str">
        <f>TRIM(MID(SUBSTITUTE($F114, ",", REPT(" ", 100)), (COLUMNS($AH$2:AU114)-1)*100+1, 100))</f>
        <v/>
      </c>
      <c r="AV114" t="str">
        <f>TRIM(MID(SUBSTITUTE($F114, ",", REPT(" ", 100)), (COLUMNS($AH$2:AV114)-1)*100+1, 100))</f>
        <v/>
      </c>
      <c r="AW114" t="str">
        <f>TRIM(MID(SUBSTITUTE($F114, ",", REPT(" ", 100)), (COLUMNS($AH$2:AW114)-1)*100+1, 100))</f>
        <v/>
      </c>
      <c r="AX114" t="str">
        <f>TRIM(MID(SUBSTITUTE($F114, ",", REPT(" ", 100)), (COLUMNS($AH$2:AX114)-1)*100+1, 100))</f>
        <v/>
      </c>
      <c r="AY114" t="str">
        <f>TRIM(MID(SUBSTITUTE($F114, ",", REPT(" ", 100)), (COLUMNS($AH$2:AY114)-1)*100+1, 100))</f>
        <v/>
      </c>
      <c r="AZ114" t="str">
        <f>TRIM(MID(SUBSTITUTE($F114, ",", REPT(" ", 100)), (COLUMNS($AH$2:AZ114)-1)*100+1, 100))</f>
        <v/>
      </c>
      <c r="BA114" t="str">
        <f>TRIM(MID(SUBSTITUTE($F114, ",", REPT(" ", 100)), (COLUMNS($AH$2:BA114)-1)*100+1, 100))</f>
        <v/>
      </c>
    </row>
    <row r="115" spans="1:53" x14ac:dyDescent="0.5">
      <c r="A115" s="1">
        <v>45771</v>
      </c>
      <c r="B115" s="2">
        <v>5</v>
      </c>
      <c r="C115" s="272"/>
      <c r="D115" s="295"/>
      <c r="E115" s="58">
        <v>0</v>
      </c>
      <c r="F115" s="38" t="s">
        <v>176</v>
      </c>
      <c r="AJ115" t="str">
        <f>TRIM(MID(SUBSTITUTE($F115, ",", REPT(" ", 100)), (COLUMNS($AH$2:AJ115)-1)*100+1, 100))</f>
        <v/>
      </c>
      <c r="AK115" s="1">
        <v>45771</v>
      </c>
      <c r="AL115" s="2">
        <v>5</v>
      </c>
      <c r="AM115" s="2">
        <v>6</v>
      </c>
      <c r="AO115" t="str">
        <f>TRIM(MID(SUBSTITUTE($F115, ",", REPT(" ", 100)), (COLUMNS($AH$2:AO115)-1)*100+1, 100))</f>
        <v/>
      </c>
      <c r="AP115" t="str">
        <f>TRIM(MID(SUBSTITUTE($F115, ",", REPT(" ", 100)), (COLUMNS($AH$2:AP115)-1)*100+1, 100))</f>
        <v/>
      </c>
      <c r="AQ115" t="str">
        <f>TRIM(MID(SUBSTITUTE($F115, ",", REPT(" ", 100)), (COLUMNS($AH$2:AQ115)-1)*100+1, 100))</f>
        <v/>
      </c>
      <c r="AR115" t="str">
        <f>TRIM(MID(SUBSTITUTE($F115, ",", REPT(" ", 100)), (COLUMNS($AH$2:AR115)-1)*100+1, 100))</f>
        <v/>
      </c>
      <c r="AS115" t="str">
        <f>TRIM(MID(SUBSTITUTE($F115, ",", REPT(" ", 100)), (COLUMNS($AH$2:AS115)-1)*100+1, 100))</f>
        <v/>
      </c>
      <c r="AT115" t="str">
        <f>TRIM(MID(SUBSTITUTE($F115, ",", REPT(" ", 100)), (COLUMNS($AH$2:AT115)-1)*100+1, 100))</f>
        <v/>
      </c>
      <c r="AU115" t="str">
        <f>TRIM(MID(SUBSTITUTE($F115, ",", REPT(" ", 100)), (COLUMNS($AH$2:AU115)-1)*100+1, 100))</f>
        <v/>
      </c>
      <c r="AV115" t="str">
        <f>TRIM(MID(SUBSTITUTE($F115, ",", REPT(" ", 100)), (COLUMNS($AH$2:AV115)-1)*100+1, 100))</f>
        <v/>
      </c>
      <c r="AW115" t="str">
        <f>TRIM(MID(SUBSTITUTE($F115, ",", REPT(" ", 100)), (COLUMNS($AH$2:AW115)-1)*100+1, 100))</f>
        <v/>
      </c>
      <c r="AX115" t="str">
        <f>TRIM(MID(SUBSTITUTE($F115, ",", REPT(" ", 100)), (COLUMNS($AH$2:AX115)-1)*100+1, 100))</f>
        <v/>
      </c>
      <c r="AY115" t="str">
        <f>TRIM(MID(SUBSTITUTE($F115, ",", REPT(" ", 100)), (COLUMNS($AH$2:AY115)-1)*100+1, 100))</f>
        <v/>
      </c>
      <c r="AZ115" t="str">
        <f>TRIM(MID(SUBSTITUTE($F115, ",", REPT(" ", 100)), (COLUMNS($AH$2:AZ115)-1)*100+1, 100))</f>
        <v/>
      </c>
      <c r="BA115" t="str">
        <f>TRIM(MID(SUBSTITUTE($F115, ",", REPT(" ", 100)), (COLUMNS($AH$2:BA115)-1)*100+1, 100))</f>
        <v/>
      </c>
    </row>
    <row r="116" spans="1:53" x14ac:dyDescent="0.5">
      <c r="A116" s="1">
        <v>45772</v>
      </c>
      <c r="B116" s="2">
        <v>7</v>
      </c>
      <c r="C116" s="272"/>
      <c r="D116" s="295"/>
      <c r="E116" s="58">
        <v>1</v>
      </c>
      <c r="F116" s="38" t="s">
        <v>176</v>
      </c>
      <c r="AJ116" t="str">
        <f>TRIM(MID(SUBSTITUTE($F116, ",", REPT(" ", 100)), (COLUMNS($AH$2:AJ116)-1)*100+1, 100))</f>
        <v/>
      </c>
      <c r="AK116" s="1">
        <v>45772</v>
      </c>
      <c r="AL116" s="2">
        <v>7</v>
      </c>
      <c r="AM116" s="2">
        <v>4</v>
      </c>
      <c r="AO116" t="str">
        <f>TRIM(MID(SUBSTITUTE($F116, ",", REPT(" ", 100)), (COLUMNS($AH$2:AO116)-1)*100+1, 100))</f>
        <v/>
      </c>
      <c r="AP116" t="str">
        <f>TRIM(MID(SUBSTITUTE($F116, ",", REPT(" ", 100)), (COLUMNS($AH$2:AP116)-1)*100+1, 100))</f>
        <v/>
      </c>
      <c r="AQ116" t="str">
        <f>TRIM(MID(SUBSTITUTE($F116, ",", REPT(" ", 100)), (COLUMNS($AH$2:AQ116)-1)*100+1, 100))</f>
        <v/>
      </c>
      <c r="AR116" t="str">
        <f>TRIM(MID(SUBSTITUTE($F116, ",", REPT(" ", 100)), (COLUMNS($AH$2:AR116)-1)*100+1, 100))</f>
        <v/>
      </c>
      <c r="AS116" t="str">
        <f>TRIM(MID(SUBSTITUTE($F116, ",", REPT(" ", 100)), (COLUMNS($AH$2:AS116)-1)*100+1, 100))</f>
        <v/>
      </c>
      <c r="AT116" t="str">
        <f>TRIM(MID(SUBSTITUTE($F116, ",", REPT(" ", 100)), (COLUMNS($AH$2:AT116)-1)*100+1, 100))</f>
        <v/>
      </c>
      <c r="AU116" t="str">
        <f>TRIM(MID(SUBSTITUTE($F116, ",", REPT(" ", 100)), (COLUMNS($AH$2:AU116)-1)*100+1, 100))</f>
        <v/>
      </c>
      <c r="AV116" t="str">
        <f>TRIM(MID(SUBSTITUTE($F116, ",", REPT(" ", 100)), (COLUMNS($AH$2:AV116)-1)*100+1, 100))</f>
        <v/>
      </c>
      <c r="AW116" t="str">
        <f>TRIM(MID(SUBSTITUTE($F116, ",", REPT(" ", 100)), (COLUMNS($AH$2:AW116)-1)*100+1, 100))</f>
        <v/>
      </c>
      <c r="AX116" t="str">
        <f>TRIM(MID(SUBSTITUTE($F116, ",", REPT(" ", 100)), (COLUMNS($AH$2:AX116)-1)*100+1, 100))</f>
        <v/>
      </c>
      <c r="AY116" t="str">
        <f>TRIM(MID(SUBSTITUTE($F116, ",", REPT(" ", 100)), (COLUMNS($AH$2:AY116)-1)*100+1, 100))</f>
        <v/>
      </c>
      <c r="AZ116" t="str">
        <f>TRIM(MID(SUBSTITUTE($F116, ",", REPT(" ", 100)), (COLUMNS($AH$2:AZ116)-1)*100+1, 100))</f>
        <v/>
      </c>
      <c r="BA116" t="str">
        <f>TRIM(MID(SUBSTITUTE($F116, ",", REPT(" ", 100)), (COLUMNS($AH$2:BA116)-1)*100+1, 100))</f>
        <v/>
      </c>
    </row>
    <row r="117" spans="1:53" x14ac:dyDescent="0.5">
      <c r="A117" s="1">
        <v>45773</v>
      </c>
      <c r="B117" s="2">
        <v>4.8</v>
      </c>
      <c r="C117" s="272"/>
      <c r="D117" s="295"/>
      <c r="E117" s="58">
        <v>1</v>
      </c>
      <c r="F117" s="38" t="s">
        <v>176</v>
      </c>
      <c r="AJ117" t="str">
        <f>TRIM(MID(SUBSTITUTE($F117, ",", REPT(" ", 100)), (COLUMNS($AH$2:AJ117)-1)*100+1, 100))</f>
        <v/>
      </c>
      <c r="AK117" s="1">
        <v>45773</v>
      </c>
      <c r="AL117" s="2">
        <v>4.8</v>
      </c>
      <c r="AM117" s="2">
        <v>4</v>
      </c>
      <c r="AO117" t="str">
        <f>TRIM(MID(SUBSTITUTE($F117, ",", REPT(" ", 100)), (COLUMNS($AH$2:AO117)-1)*100+1, 100))</f>
        <v/>
      </c>
      <c r="AP117" t="str">
        <f>TRIM(MID(SUBSTITUTE($F117, ",", REPT(" ", 100)), (COLUMNS($AH$2:AP117)-1)*100+1, 100))</f>
        <v/>
      </c>
      <c r="AQ117" t="str">
        <f>TRIM(MID(SUBSTITUTE($F117, ",", REPT(" ", 100)), (COLUMNS($AH$2:AQ117)-1)*100+1, 100))</f>
        <v/>
      </c>
      <c r="AR117" t="str">
        <f>TRIM(MID(SUBSTITUTE($F117, ",", REPT(" ", 100)), (COLUMNS($AH$2:AR117)-1)*100+1, 100))</f>
        <v/>
      </c>
      <c r="AS117" t="str">
        <f>TRIM(MID(SUBSTITUTE($F117, ",", REPT(" ", 100)), (COLUMNS($AH$2:AS117)-1)*100+1, 100))</f>
        <v/>
      </c>
      <c r="AT117" t="str">
        <f>TRIM(MID(SUBSTITUTE($F117, ",", REPT(" ", 100)), (COLUMNS($AH$2:AT117)-1)*100+1, 100))</f>
        <v/>
      </c>
      <c r="AU117" t="str">
        <f>TRIM(MID(SUBSTITUTE($F117, ",", REPT(" ", 100)), (COLUMNS($AH$2:AU117)-1)*100+1, 100))</f>
        <v/>
      </c>
      <c r="AV117" t="str">
        <f>TRIM(MID(SUBSTITUTE($F117, ",", REPT(" ", 100)), (COLUMNS($AH$2:AV117)-1)*100+1, 100))</f>
        <v/>
      </c>
      <c r="AW117" t="str">
        <f>TRIM(MID(SUBSTITUTE($F117, ",", REPT(" ", 100)), (COLUMNS($AH$2:AW117)-1)*100+1, 100))</f>
        <v/>
      </c>
      <c r="AX117" t="str">
        <f>TRIM(MID(SUBSTITUTE($F117, ",", REPT(" ", 100)), (COLUMNS($AH$2:AX117)-1)*100+1, 100))</f>
        <v/>
      </c>
      <c r="AY117" t="str">
        <f>TRIM(MID(SUBSTITUTE($F117, ",", REPT(" ", 100)), (COLUMNS($AH$2:AY117)-1)*100+1, 100))</f>
        <v/>
      </c>
      <c r="AZ117" t="str">
        <f>TRIM(MID(SUBSTITUTE($F117, ",", REPT(" ", 100)), (COLUMNS($AH$2:AZ117)-1)*100+1, 100))</f>
        <v/>
      </c>
      <c r="BA117" t="str">
        <f>TRIM(MID(SUBSTITUTE($F117, ",", REPT(" ", 100)), (COLUMNS($AH$2:BA117)-1)*100+1, 100))</f>
        <v/>
      </c>
    </row>
    <row r="118" spans="1:53" x14ac:dyDescent="0.5">
      <c r="A118" s="1">
        <v>45774</v>
      </c>
      <c r="B118" s="2">
        <v>5</v>
      </c>
      <c r="C118" s="272"/>
      <c r="D118" s="295"/>
      <c r="E118" s="58">
        <v>0</v>
      </c>
      <c r="F118" s="38" t="s">
        <v>176</v>
      </c>
      <c r="AJ118" t="str">
        <f>TRIM(MID(SUBSTITUTE($F118, ",", REPT(" ", 100)), (COLUMNS($AH$2:AJ118)-1)*100+1, 100))</f>
        <v/>
      </c>
      <c r="AK118" s="1">
        <v>45774</v>
      </c>
      <c r="AL118" s="2">
        <v>5</v>
      </c>
      <c r="AM118" s="2">
        <v>4</v>
      </c>
      <c r="AO118" t="str">
        <f>TRIM(MID(SUBSTITUTE($F118, ",", REPT(" ", 100)), (COLUMNS($AH$2:AO118)-1)*100+1, 100))</f>
        <v/>
      </c>
      <c r="AP118" t="str">
        <f>TRIM(MID(SUBSTITUTE($F118, ",", REPT(" ", 100)), (COLUMNS($AH$2:AP118)-1)*100+1, 100))</f>
        <v/>
      </c>
      <c r="AQ118" t="str">
        <f>TRIM(MID(SUBSTITUTE($F118, ",", REPT(" ", 100)), (COLUMNS($AH$2:AQ118)-1)*100+1, 100))</f>
        <v/>
      </c>
      <c r="AR118" t="str">
        <f>TRIM(MID(SUBSTITUTE($F118, ",", REPT(" ", 100)), (COLUMNS($AH$2:AR118)-1)*100+1, 100))</f>
        <v/>
      </c>
      <c r="AS118" t="str">
        <f>TRIM(MID(SUBSTITUTE($F118, ",", REPT(" ", 100)), (COLUMNS($AH$2:AS118)-1)*100+1, 100))</f>
        <v/>
      </c>
      <c r="AT118" t="str">
        <f>TRIM(MID(SUBSTITUTE($F118, ",", REPT(" ", 100)), (COLUMNS($AH$2:AT118)-1)*100+1, 100))</f>
        <v/>
      </c>
      <c r="AU118" t="str">
        <f>TRIM(MID(SUBSTITUTE($F118, ",", REPT(" ", 100)), (COLUMNS($AH$2:AU118)-1)*100+1, 100))</f>
        <v/>
      </c>
      <c r="AV118" t="str">
        <f>TRIM(MID(SUBSTITUTE($F118, ",", REPT(" ", 100)), (COLUMNS($AH$2:AV118)-1)*100+1, 100))</f>
        <v/>
      </c>
      <c r="AW118" t="str">
        <f>TRIM(MID(SUBSTITUTE($F118, ",", REPT(" ", 100)), (COLUMNS($AH$2:AW118)-1)*100+1, 100))</f>
        <v/>
      </c>
      <c r="AX118" t="str">
        <f>TRIM(MID(SUBSTITUTE($F118, ",", REPT(" ", 100)), (COLUMNS($AH$2:AX118)-1)*100+1, 100))</f>
        <v/>
      </c>
      <c r="AY118" t="str">
        <f>TRIM(MID(SUBSTITUTE($F118, ",", REPT(" ", 100)), (COLUMNS($AH$2:AY118)-1)*100+1, 100))</f>
        <v/>
      </c>
      <c r="AZ118" t="str">
        <f>TRIM(MID(SUBSTITUTE($F118, ",", REPT(" ", 100)), (COLUMNS($AH$2:AZ118)-1)*100+1, 100))</f>
        <v/>
      </c>
      <c r="BA118" t="str">
        <f>TRIM(MID(SUBSTITUTE($F118, ",", REPT(" ", 100)), (COLUMNS($AH$2:BA118)-1)*100+1, 100))</f>
        <v/>
      </c>
    </row>
    <row r="119" spans="1:53" x14ac:dyDescent="0.5">
      <c r="A119" s="1">
        <v>45775</v>
      </c>
      <c r="B119" s="2">
        <v>7</v>
      </c>
      <c r="C119" s="272"/>
      <c r="D119" s="295"/>
      <c r="E119" s="58">
        <v>1</v>
      </c>
      <c r="F119" s="38" t="s">
        <v>176</v>
      </c>
      <c r="AJ119" t="str">
        <f>TRIM(MID(SUBSTITUTE($F119, ",", REPT(" ", 100)), (COLUMNS($AH$2:AJ119)-1)*100+1, 100))</f>
        <v/>
      </c>
      <c r="AK119" s="1">
        <v>45775</v>
      </c>
      <c r="AL119" s="2">
        <v>7</v>
      </c>
      <c r="AM119" s="2">
        <v>4</v>
      </c>
      <c r="AO119" t="str">
        <f>TRIM(MID(SUBSTITUTE($F119, ",", REPT(" ", 100)), (COLUMNS($AH$2:AO119)-1)*100+1, 100))</f>
        <v/>
      </c>
      <c r="AP119" t="str">
        <f>TRIM(MID(SUBSTITUTE($F119, ",", REPT(" ", 100)), (COLUMNS($AH$2:AP119)-1)*100+1, 100))</f>
        <v/>
      </c>
      <c r="AQ119" t="str">
        <f>TRIM(MID(SUBSTITUTE($F119, ",", REPT(" ", 100)), (COLUMNS($AH$2:AQ119)-1)*100+1, 100))</f>
        <v/>
      </c>
      <c r="AR119" t="str">
        <f>TRIM(MID(SUBSTITUTE($F119, ",", REPT(" ", 100)), (COLUMNS($AH$2:AR119)-1)*100+1, 100))</f>
        <v/>
      </c>
      <c r="AS119" t="str">
        <f>TRIM(MID(SUBSTITUTE($F119, ",", REPT(" ", 100)), (COLUMNS($AH$2:AS119)-1)*100+1, 100))</f>
        <v/>
      </c>
      <c r="AT119" t="str">
        <f>TRIM(MID(SUBSTITUTE($F119, ",", REPT(" ", 100)), (COLUMNS($AH$2:AT119)-1)*100+1, 100))</f>
        <v/>
      </c>
      <c r="AU119" t="str">
        <f>TRIM(MID(SUBSTITUTE($F119, ",", REPT(" ", 100)), (COLUMNS($AH$2:AU119)-1)*100+1, 100))</f>
        <v/>
      </c>
      <c r="AV119" t="str">
        <f>TRIM(MID(SUBSTITUTE($F119, ",", REPT(" ", 100)), (COLUMNS($AH$2:AV119)-1)*100+1, 100))</f>
        <v/>
      </c>
      <c r="AW119" t="str">
        <f>TRIM(MID(SUBSTITUTE($F119, ",", REPT(" ", 100)), (COLUMNS($AH$2:AW119)-1)*100+1, 100))</f>
        <v/>
      </c>
      <c r="AX119" t="str">
        <f>TRIM(MID(SUBSTITUTE($F119, ",", REPT(" ", 100)), (COLUMNS($AH$2:AX119)-1)*100+1, 100))</f>
        <v/>
      </c>
      <c r="AY119" t="str">
        <f>TRIM(MID(SUBSTITUTE($F119, ",", REPT(" ", 100)), (COLUMNS($AH$2:AY119)-1)*100+1, 100))</f>
        <v/>
      </c>
      <c r="AZ119" t="str">
        <f>TRIM(MID(SUBSTITUTE($F119, ",", REPT(" ", 100)), (COLUMNS($AH$2:AZ119)-1)*100+1, 100))</f>
        <v/>
      </c>
      <c r="BA119" t="str">
        <f>TRIM(MID(SUBSTITUTE($F119, ",", REPT(" ", 100)), (COLUMNS($AH$2:BA119)-1)*100+1, 100))</f>
        <v/>
      </c>
    </row>
    <row r="120" spans="1:53" x14ac:dyDescent="0.5">
      <c r="A120" s="1">
        <v>45776</v>
      </c>
      <c r="B120" s="2">
        <v>9</v>
      </c>
      <c r="C120" s="272"/>
      <c r="D120" s="295"/>
      <c r="E120" s="58">
        <v>0</v>
      </c>
      <c r="F120" s="38" t="s">
        <v>261</v>
      </c>
      <c r="G120" s="38" t="s">
        <v>273</v>
      </c>
      <c r="AJ120" t="str">
        <f>TRIM(MID(SUBSTITUTE($F120, ",", REPT(" ", 100)), (COLUMNS($AH$2:AJ120)-1)*100+1, 100))</f>
        <v>Delhi</v>
      </c>
      <c r="AK120" s="1">
        <v>45776</v>
      </c>
      <c r="AL120" s="2">
        <v>9</v>
      </c>
      <c r="AM120" s="2">
        <v>6</v>
      </c>
      <c r="AO120" t="str">
        <f>TRIM(MID(SUBSTITUTE($F120, ",", REPT(" ", 100)), (COLUMNS($AH$2:AO120)-1)*100+1, 100))</f>
        <v/>
      </c>
      <c r="AP120" t="str">
        <f>TRIM(MID(SUBSTITUTE($F120, ",", REPT(" ", 100)), (COLUMNS($AH$2:AP120)-1)*100+1, 100))</f>
        <v/>
      </c>
      <c r="AQ120" t="str">
        <f>TRIM(MID(SUBSTITUTE($F120, ",", REPT(" ", 100)), (COLUMNS($AH$2:AQ120)-1)*100+1, 100))</f>
        <v/>
      </c>
      <c r="AR120" t="str">
        <f>TRIM(MID(SUBSTITUTE($F120, ",", REPT(" ", 100)), (COLUMNS($AH$2:AR120)-1)*100+1, 100))</f>
        <v/>
      </c>
      <c r="AS120" t="str">
        <f>TRIM(MID(SUBSTITUTE($F120, ",", REPT(" ", 100)), (COLUMNS($AH$2:AS120)-1)*100+1, 100))</f>
        <v/>
      </c>
      <c r="AT120" t="str">
        <f>TRIM(MID(SUBSTITUTE($F120, ",", REPT(" ", 100)), (COLUMNS($AH$2:AT120)-1)*100+1, 100))</f>
        <v/>
      </c>
      <c r="AU120" t="str">
        <f>TRIM(MID(SUBSTITUTE($F120, ",", REPT(" ", 100)), (COLUMNS($AH$2:AU120)-1)*100+1, 100))</f>
        <v/>
      </c>
      <c r="AV120" t="str">
        <f>TRIM(MID(SUBSTITUTE($F120, ",", REPT(" ", 100)), (COLUMNS($AH$2:AV120)-1)*100+1, 100))</f>
        <v/>
      </c>
      <c r="AW120" t="str">
        <f>TRIM(MID(SUBSTITUTE($F120, ",", REPT(" ", 100)), (COLUMNS($AH$2:AW120)-1)*100+1, 100))</f>
        <v/>
      </c>
      <c r="AX120" t="str">
        <f>TRIM(MID(SUBSTITUTE($F120, ",", REPT(" ", 100)), (COLUMNS($AH$2:AX120)-1)*100+1, 100))</f>
        <v/>
      </c>
      <c r="AY120" t="str">
        <f>TRIM(MID(SUBSTITUTE($F120, ",", REPT(" ", 100)), (COLUMNS($AH$2:AY120)-1)*100+1, 100))</f>
        <v/>
      </c>
      <c r="AZ120" t="str">
        <f>TRIM(MID(SUBSTITUTE($F120, ",", REPT(" ", 100)), (COLUMNS($AH$2:AZ120)-1)*100+1, 100))</f>
        <v/>
      </c>
      <c r="BA120" t="str">
        <f>TRIM(MID(SUBSTITUTE($F120, ",", REPT(" ", 100)), (COLUMNS($AH$2:BA120)-1)*100+1, 100))</f>
        <v/>
      </c>
    </row>
    <row r="121" spans="1:53" x14ac:dyDescent="0.5">
      <c r="A121" s="1">
        <v>45777</v>
      </c>
      <c r="B121" s="2">
        <v>8.3000000000000007</v>
      </c>
      <c r="C121" s="272"/>
      <c r="D121" s="295"/>
      <c r="E121" s="58">
        <v>1</v>
      </c>
      <c r="F121" s="38" t="s">
        <v>272</v>
      </c>
      <c r="G121" s="38" t="s">
        <v>274</v>
      </c>
      <c r="AJ121" t="str">
        <f>TRIM(MID(SUBSTITUTE($F121, ",", REPT(" ", 100)), (COLUMNS($AH$2:AJ121)-1)*100+1, 100))</f>
        <v>Noida</v>
      </c>
      <c r="AK121" s="1">
        <v>45777</v>
      </c>
      <c r="AL121" s="2">
        <v>8.3000000000000007</v>
      </c>
      <c r="AM121" s="2">
        <v>6</v>
      </c>
      <c r="AO121" t="str">
        <f>TRIM(MID(SUBSTITUTE($F121, ",", REPT(" ", 100)), (COLUMNS($AH$2:AO121)-1)*100+1, 100))</f>
        <v/>
      </c>
      <c r="AP121" t="str">
        <f>TRIM(MID(SUBSTITUTE($F121, ",", REPT(" ", 100)), (COLUMNS($AH$2:AP121)-1)*100+1, 100))</f>
        <v/>
      </c>
      <c r="AQ121" t="str">
        <f>TRIM(MID(SUBSTITUTE($F121, ",", REPT(" ", 100)), (COLUMNS($AH$2:AQ121)-1)*100+1, 100))</f>
        <v/>
      </c>
      <c r="AR121" t="str">
        <f>TRIM(MID(SUBSTITUTE($F121, ",", REPT(" ", 100)), (COLUMNS($AH$2:AR121)-1)*100+1, 100))</f>
        <v/>
      </c>
      <c r="AS121" t="str">
        <f>TRIM(MID(SUBSTITUTE($F121, ",", REPT(" ", 100)), (COLUMNS($AH$2:AS121)-1)*100+1, 100))</f>
        <v/>
      </c>
      <c r="AT121" t="str">
        <f>TRIM(MID(SUBSTITUTE($F121, ",", REPT(" ", 100)), (COLUMNS($AH$2:AT121)-1)*100+1, 100))</f>
        <v/>
      </c>
      <c r="AU121" t="str">
        <f>TRIM(MID(SUBSTITUTE($F121, ",", REPT(" ", 100)), (COLUMNS($AH$2:AU121)-1)*100+1, 100))</f>
        <v/>
      </c>
      <c r="AV121" t="str">
        <f>TRIM(MID(SUBSTITUTE($F121, ",", REPT(" ", 100)), (COLUMNS($AH$2:AV121)-1)*100+1, 100))</f>
        <v/>
      </c>
      <c r="AW121" t="str">
        <f>TRIM(MID(SUBSTITUTE($F121, ",", REPT(" ", 100)), (COLUMNS($AH$2:AW121)-1)*100+1, 100))</f>
        <v/>
      </c>
      <c r="AX121" t="str">
        <f>TRIM(MID(SUBSTITUTE($F121, ",", REPT(" ", 100)), (COLUMNS($AH$2:AX121)-1)*100+1, 100))</f>
        <v/>
      </c>
      <c r="AY121" t="str">
        <f>TRIM(MID(SUBSTITUTE($F121, ",", REPT(" ", 100)), (COLUMNS($AH$2:AY121)-1)*100+1, 100))</f>
        <v/>
      </c>
      <c r="AZ121" t="str">
        <f>TRIM(MID(SUBSTITUTE($F121, ",", REPT(" ", 100)), (COLUMNS($AH$2:AZ121)-1)*100+1, 100))</f>
        <v/>
      </c>
      <c r="BA121" t="str">
        <f>TRIM(MID(SUBSTITUTE($F121, ",", REPT(" ", 100)), (COLUMNS($AH$2:BA121)-1)*100+1, 100))</f>
        <v/>
      </c>
    </row>
    <row r="122" spans="1:53" x14ac:dyDescent="0.5">
      <c r="A122" s="1">
        <v>45778</v>
      </c>
      <c r="B122" s="2">
        <v>6.2</v>
      </c>
      <c r="C122" s="272">
        <f>AVERAGE(B122:B152)</f>
        <v>5.8967741935483877</v>
      </c>
      <c r="D122" s="295"/>
      <c r="E122" s="58">
        <v>1</v>
      </c>
      <c r="F122" s="38" t="s">
        <v>194</v>
      </c>
      <c r="AJ122" t="str">
        <f>TRIM(MID(SUBSTITUTE($F122, ",", REPT(" ", 100)), (COLUMNS($AH$2:AJ122)-1)*100+1, 100))</f>
        <v/>
      </c>
      <c r="AK122" s="1">
        <v>45778</v>
      </c>
      <c r="AL122" s="2">
        <v>6.2</v>
      </c>
      <c r="AM122" s="2">
        <v>8</v>
      </c>
      <c r="AO122" t="str">
        <f>TRIM(MID(SUBSTITUTE($F122, ",", REPT(" ", 100)), (COLUMNS($AH$2:AO122)-1)*100+1, 100))</f>
        <v/>
      </c>
      <c r="AP122" t="str">
        <f>TRIM(MID(SUBSTITUTE($F122, ",", REPT(" ", 100)), (COLUMNS($AH$2:AP122)-1)*100+1, 100))</f>
        <v/>
      </c>
      <c r="AQ122" t="str">
        <f>TRIM(MID(SUBSTITUTE($F122, ",", REPT(" ", 100)), (COLUMNS($AH$2:AQ122)-1)*100+1, 100))</f>
        <v/>
      </c>
      <c r="AR122" t="str">
        <f>TRIM(MID(SUBSTITUTE($F122, ",", REPT(" ", 100)), (COLUMNS($AH$2:AR122)-1)*100+1, 100))</f>
        <v/>
      </c>
      <c r="AS122" t="str">
        <f>TRIM(MID(SUBSTITUTE($F122, ",", REPT(" ", 100)), (COLUMNS($AH$2:AS122)-1)*100+1, 100))</f>
        <v/>
      </c>
      <c r="AT122" t="str">
        <f>TRIM(MID(SUBSTITUTE($F122, ",", REPT(" ", 100)), (COLUMNS($AH$2:AT122)-1)*100+1, 100))</f>
        <v/>
      </c>
      <c r="AU122" t="str">
        <f>TRIM(MID(SUBSTITUTE($F122, ",", REPT(" ", 100)), (COLUMNS($AH$2:AU122)-1)*100+1, 100))</f>
        <v/>
      </c>
      <c r="AV122" t="str">
        <f>TRIM(MID(SUBSTITUTE($F122, ",", REPT(" ", 100)), (COLUMNS($AH$2:AV122)-1)*100+1, 100))</f>
        <v/>
      </c>
      <c r="AW122" t="str">
        <f>TRIM(MID(SUBSTITUTE($F122, ",", REPT(" ", 100)), (COLUMNS($AH$2:AW122)-1)*100+1, 100))</f>
        <v/>
      </c>
      <c r="AX122" t="str">
        <f>TRIM(MID(SUBSTITUTE($F122, ",", REPT(" ", 100)), (COLUMNS($AH$2:AX122)-1)*100+1, 100))</f>
        <v/>
      </c>
      <c r="AY122" t="str">
        <f>TRIM(MID(SUBSTITUTE($F122, ",", REPT(" ", 100)), (COLUMNS($AH$2:AY122)-1)*100+1, 100))</f>
        <v/>
      </c>
      <c r="AZ122" t="str">
        <f>TRIM(MID(SUBSTITUTE($F122, ",", REPT(" ", 100)), (COLUMNS($AH$2:AZ122)-1)*100+1, 100))</f>
        <v/>
      </c>
      <c r="BA122" t="str">
        <f>TRIM(MID(SUBSTITUTE($F122, ",", REPT(" ", 100)), (COLUMNS($AH$2:BA122)-1)*100+1, 100))</f>
        <v/>
      </c>
    </row>
    <row r="123" spans="1:53" x14ac:dyDescent="0.5">
      <c r="A123" s="1">
        <v>45779</v>
      </c>
      <c r="B123" s="2">
        <v>7.3</v>
      </c>
      <c r="C123" s="272"/>
      <c r="D123" s="295"/>
      <c r="E123" s="58">
        <v>0.9</v>
      </c>
      <c r="F123" s="38" t="s">
        <v>194</v>
      </c>
      <c r="AJ123" t="str">
        <f>TRIM(MID(SUBSTITUTE($F123, ",", REPT(" ", 100)), (COLUMNS($AH$2:AJ123)-1)*100+1, 100))</f>
        <v/>
      </c>
      <c r="AK123" s="1">
        <v>45779</v>
      </c>
      <c r="AL123" s="2">
        <v>7.3</v>
      </c>
      <c r="AM123" s="2">
        <v>6</v>
      </c>
      <c r="AO123" t="str">
        <f>TRIM(MID(SUBSTITUTE($F123, ",", REPT(" ", 100)), (COLUMNS($AH$2:AO123)-1)*100+1, 100))</f>
        <v/>
      </c>
      <c r="AP123" t="str">
        <f>TRIM(MID(SUBSTITUTE($F123, ",", REPT(" ", 100)), (COLUMNS($AH$2:AP123)-1)*100+1, 100))</f>
        <v/>
      </c>
      <c r="AQ123" t="str">
        <f>TRIM(MID(SUBSTITUTE($F123, ",", REPT(" ", 100)), (COLUMNS($AH$2:AQ123)-1)*100+1, 100))</f>
        <v/>
      </c>
      <c r="AR123" t="str">
        <f>TRIM(MID(SUBSTITUTE($F123, ",", REPT(" ", 100)), (COLUMNS($AH$2:AR123)-1)*100+1, 100))</f>
        <v/>
      </c>
      <c r="AS123" t="str">
        <f>TRIM(MID(SUBSTITUTE($F123, ",", REPT(" ", 100)), (COLUMNS($AH$2:AS123)-1)*100+1, 100))</f>
        <v/>
      </c>
      <c r="AT123" t="str">
        <f>TRIM(MID(SUBSTITUTE($F123, ",", REPT(" ", 100)), (COLUMNS($AH$2:AT123)-1)*100+1, 100))</f>
        <v/>
      </c>
      <c r="AU123" t="str">
        <f>TRIM(MID(SUBSTITUTE($F123, ",", REPT(" ", 100)), (COLUMNS($AH$2:AU123)-1)*100+1, 100))</f>
        <v/>
      </c>
      <c r="AV123" t="str">
        <f>TRIM(MID(SUBSTITUTE($F123, ",", REPT(" ", 100)), (COLUMNS($AH$2:AV123)-1)*100+1, 100))</f>
        <v/>
      </c>
      <c r="AW123" t="str">
        <f>TRIM(MID(SUBSTITUTE($F123, ",", REPT(" ", 100)), (COLUMNS($AH$2:AW123)-1)*100+1, 100))</f>
        <v/>
      </c>
      <c r="AX123" t="str">
        <f>TRIM(MID(SUBSTITUTE($F123, ",", REPT(" ", 100)), (COLUMNS($AH$2:AX123)-1)*100+1, 100))</f>
        <v/>
      </c>
      <c r="AY123" t="str">
        <f>TRIM(MID(SUBSTITUTE($F123, ",", REPT(" ", 100)), (COLUMNS($AH$2:AY123)-1)*100+1, 100))</f>
        <v/>
      </c>
      <c r="AZ123" t="str">
        <f>TRIM(MID(SUBSTITUTE($F123, ",", REPT(" ", 100)), (COLUMNS($AH$2:AZ123)-1)*100+1, 100))</f>
        <v/>
      </c>
      <c r="BA123" t="str">
        <f>TRIM(MID(SUBSTITUTE($F123, ",", REPT(" ", 100)), (COLUMNS($AH$2:BA123)-1)*100+1, 100))</f>
        <v/>
      </c>
    </row>
    <row r="124" spans="1:53" x14ac:dyDescent="0.5">
      <c r="A124" s="1">
        <v>45780</v>
      </c>
      <c r="B124" s="2">
        <v>8</v>
      </c>
      <c r="C124" s="272"/>
      <c r="D124" s="295"/>
      <c r="E124" s="58">
        <v>0</v>
      </c>
      <c r="F124" s="38" t="s">
        <v>194</v>
      </c>
      <c r="AJ124" t="str">
        <f>TRIM(MID(SUBSTITUTE($F124, ",", REPT(" ", 100)), (COLUMNS($AH$2:AJ124)-1)*100+1, 100))</f>
        <v/>
      </c>
      <c r="AK124" s="1">
        <v>45780</v>
      </c>
      <c r="AL124" s="2">
        <v>8</v>
      </c>
      <c r="AM124" s="2">
        <v>6</v>
      </c>
      <c r="AO124" t="str">
        <f>TRIM(MID(SUBSTITUTE($F124, ",", REPT(" ", 100)), (COLUMNS($AH$2:AO124)-1)*100+1, 100))</f>
        <v/>
      </c>
      <c r="AP124" t="str">
        <f>TRIM(MID(SUBSTITUTE($F124, ",", REPT(" ", 100)), (COLUMNS($AH$2:AP124)-1)*100+1, 100))</f>
        <v/>
      </c>
      <c r="AQ124" t="str">
        <f>TRIM(MID(SUBSTITUTE($F124, ",", REPT(" ", 100)), (COLUMNS($AH$2:AQ124)-1)*100+1, 100))</f>
        <v/>
      </c>
      <c r="AR124" t="str">
        <f>TRIM(MID(SUBSTITUTE($F124, ",", REPT(" ", 100)), (COLUMNS($AH$2:AR124)-1)*100+1, 100))</f>
        <v/>
      </c>
      <c r="AS124" t="str">
        <f>TRIM(MID(SUBSTITUTE($F124, ",", REPT(" ", 100)), (COLUMNS($AH$2:AS124)-1)*100+1, 100))</f>
        <v/>
      </c>
      <c r="AT124" t="str">
        <f>TRIM(MID(SUBSTITUTE($F124, ",", REPT(" ", 100)), (COLUMNS($AH$2:AT124)-1)*100+1, 100))</f>
        <v/>
      </c>
      <c r="AU124" t="str">
        <f>TRIM(MID(SUBSTITUTE($F124, ",", REPT(" ", 100)), (COLUMNS($AH$2:AU124)-1)*100+1, 100))</f>
        <v/>
      </c>
      <c r="AV124" t="str">
        <f>TRIM(MID(SUBSTITUTE($F124, ",", REPT(" ", 100)), (COLUMNS($AH$2:AV124)-1)*100+1, 100))</f>
        <v/>
      </c>
      <c r="AW124" t="str">
        <f>TRIM(MID(SUBSTITUTE($F124, ",", REPT(" ", 100)), (COLUMNS($AH$2:AW124)-1)*100+1, 100))</f>
        <v/>
      </c>
      <c r="AX124" t="str">
        <f>TRIM(MID(SUBSTITUTE($F124, ",", REPT(" ", 100)), (COLUMNS($AH$2:AX124)-1)*100+1, 100))</f>
        <v/>
      </c>
      <c r="AY124" t="str">
        <f>TRIM(MID(SUBSTITUTE($F124, ",", REPT(" ", 100)), (COLUMNS($AH$2:AY124)-1)*100+1, 100))</f>
        <v/>
      </c>
      <c r="AZ124" t="str">
        <f>TRIM(MID(SUBSTITUTE($F124, ",", REPT(" ", 100)), (COLUMNS($AH$2:AZ124)-1)*100+1, 100))</f>
        <v/>
      </c>
      <c r="BA124" t="str">
        <f>TRIM(MID(SUBSTITUTE($F124, ",", REPT(" ", 100)), (COLUMNS($AH$2:BA124)-1)*100+1, 100))</f>
        <v/>
      </c>
    </row>
    <row r="125" spans="1:53" x14ac:dyDescent="0.5">
      <c r="A125" s="1">
        <v>45781</v>
      </c>
      <c r="B125" s="2">
        <v>5.5</v>
      </c>
      <c r="C125" s="272"/>
      <c r="D125" s="295"/>
      <c r="E125" s="58">
        <v>0</v>
      </c>
      <c r="F125" s="38" t="s">
        <v>194</v>
      </c>
      <c r="AJ125" t="str">
        <f>TRIM(MID(SUBSTITUTE($F125, ",", REPT(" ", 100)), (COLUMNS($AH$2:AJ125)-1)*100+1, 100))</f>
        <v/>
      </c>
      <c r="AK125" s="1">
        <v>45781</v>
      </c>
      <c r="AL125" s="2">
        <v>5.5</v>
      </c>
      <c r="AM125" s="2">
        <v>10</v>
      </c>
      <c r="AO125" t="str">
        <f>TRIM(MID(SUBSTITUTE($F125, ",", REPT(" ", 100)), (COLUMNS($AH$2:AO125)-1)*100+1, 100))</f>
        <v/>
      </c>
      <c r="AP125" t="str">
        <f>TRIM(MID(SUBSTITUTE($F125, ",", REPT(" ", 100)), (COLUMNS($AH$2:AP125)-1)*100+1, 100))</f>
        <v/>
      </c>
      <c r="AQ125" t="str">
        <f>TRIM(MID(SUBSTITUTE($F125, ",", REPT(" ", 100)), (COLUMNS($AH$2:AQ125)-1)*100+1, 100))</f>
        <v/>
      </c>
      <c r="AR125" t="str">
        <f>TRIM(MID(SUBSTITUTE($F125, ",", REPT(" ", 100)), (COLUMNS($AH$2:AR125)-1)*100+1, 100))</f>
        <v/>
      </c>
      <c r="AS125" t="str">
        <f>TRIM(MID(SUBSTITUTE($F125, ",", REPT(" ", 100)), (COLUMNS($AH$2:AS125)-1)*100+1, 100))</f>
        <v/>
      </c>
      <c r="AT125" t="str">
        <f>TRIM(MID(SUBSTITUTE($F125, ",", REPT(" ", 100)), (COLUMNS($AH$2:AT125)-1)*100+1, 100))</f>
        <v/>
      </c>
      <c r="AU125" t="str">
        <f>TRIM(MID(SUBSTITUTE($F125, ",", REPT(" ", 100)), (COLUMNS($AH$2:AU125)-1)*100+1, 100))</f>
        <v/>
      </c>
      <c r="AV125" t="str">
        <f>TRIM(MID(SUBSTITUTE($F125, ",", REPT(" ", 100)), (COLUMNS($AH$2:AV125)-1)*100+1, 100))</f>
        <v/>
      </c>
      <c r="AW125" t="str">
        <f>TRIM(MID(SUBSTITUTE($F125, ",", REPT(" ", 100)), (COLUMNS($AH$2:AW125)-1)*100+1, 100))</f>
        <v/>
      </c>
      <c r="AX125" t="str">
        <f>TRIM(MID(SUBSTITUTE($F125, ",", REPT(" ", 100)), (COLUMNS($AH$2:AX125)-1)*100+1, 100))</f>
        <v/>
      </c>
      <c r="AY125" t="str">
        <f>TRIM(MID(SUBSTITUTE($F125, ",", REPT(" ", 100)), (COLUMNS($AH$2:AY125)-1)*100+1, 100))</f>
        <v/>
      </c>
      <c r="AZ125" t="str">
        <f>TRIM(MID(SUBSTITUTE($F125, ",", REPT(" ", 100)), (COLUMNS($AH$2:AZ125)-1)*100+1, 100))</f>
        <v/>
      </c>
      <c r="BA125" t="str">
        <f>TRIM(MID(SUBSTITUTE($F125, ",", REPT(" ", 100)), (COLUMNS($AH$2:BA125)-1)*100+1, 100))</f>
        <v/>
      </c>
    </row>
    <row r="126" spans="1:53" x14ac:dyDescent="0.5">
      <c r="A126" s="1">
        <v>45782</v>
      </c>
      <c r="B126" s="2">
        <v>5.8</v>
      </c>
      <c r="C126" s="272"/>
      <c r="D126" s="295"/>
      <c r="E126" s="58">
        <v>0</v>
      </c>
      <c r="F126" s="38" t="s">
        <v>194</v>
      </c>
      <c r="AJ126" t="str">
        <f>TRIM(MID(SUBSTITUTE($F126, ",", REPT(" ", 100)), (COLUMNS($AH$2:AJ126)-1)*100+1, 100))</f>
        <v/>
      </c>
      <c r="AK126" s="1">
        <v>45782</v>
      </c>
      <c r="AL126" s="2">
        <v>5.8</v>
      </c>
      <c r="AM126" s="2">
        <v>6</v>
      </c>
      <c r="AO126" t="str">
        <f>TRIM(MID(SUBSTITUTE($F126, ",", REPT(" ", 100)), (COLUMNS($AH$2:AO126)-1)*100+1, 100))</f>
        <v/>
      </c>
      <c r="AP126" t="str">
        <f>TRIM(MID(SUBSTITUTE($F126, ",", REPT(" ", 100)), (COLUMNS($AH$2:AP126)-1)*100+1, 100))</f>
        <v/>
      </c>
      <c r="AQ126" t="str">
        <f>TRIM(MID(SUBSTITUTE($F126, ",", REPT(" ", 100)), (COLUMNS($AH$2:AQ126)-1)*100+1, 100))</f>
        <v/>
      </c>
      <c r="AR126" t="str">
        <f>TRIM(MID(SUBSTITUTE($F126, ",", REPT(" ", 100)), (COLUMNS($AH$2:AR126)-1)*100+1, 100))</f>
        <v/>
      </c>
      <c r="AS126" t="str">
        <f>TRIM(MID(SUBSTITUTE($F126, ",", REPT(" ", 100)), (COLUMNS($AH$2:AS126)-1)*100+1, 100))</f>
        <v/>
      </c>
      <c r="AT126" t="str">
        <f>TRIM(MID(SUBSTITUTE($F126, ",", REPT(" ", 100)), (COLUMNS($AH$2:AT126)-1)*100+1, 100))</f>
        <v/>
      </c>
      <c r="AU126" t="str">
        <f>TRIM(MID(SUBSTITUTE($F126, ",", REPT(" ", 100)), (COLUMNS($AH$2:AU126)-1)*100+1, 100))</f>
        <v/>
      </c>
      <c r="AV126" t="str">
        <f>TRIM(MID(SUBSTITUTE($F126, ",", REPT(" ", 100)), (COLUMNS($AH$2:AV126)-1)*100+1, 100))</f>
        <v/>
      </c>
      <c r="AW126" t="str">
        <f>TRIM(MID(SUBSTITUTE($F126, ",", REPT(" ", 100)), (COLUMNS($AH$2:AW126)-1)*100+1, 100))</f>
        <v/>
      </c>
      <c r="AX126" t="str">
        <f>TRIM(MID(SUBSTITUTE($F126, ",", REPT(" ", 100)), (COLUMNS($AH$2:AX126)-1)*100+1, 100))</f>
        <v/>
      </c>
      <c r="AY126" t="str">
        <f>TRIM(MID(SUBSTITUTE($F126, ",", REPT(" ", 100)), (COLUMNS($AH$2:AY126)-1)*100+1, 100))</f>
        <v/>
      </c>
      <c r="AZ126" t="str">
        <f>TRIM(MID(SUBSTITUTE($F126, ",", REPT(" ", 100)), (COLUMNS($AH$2:AZ126)-1)*100+1, 100))</f>
        <v/>
      </c>
      <c r="BA126" t="str">
        <f>TRIM(MID(SUBSTITUTE($F126, ",", REPT(" ", 100)), (COLUMNS($AH$2:BA126)-1)*100+1, 100))</f>
        <v/>
      </c>
    </row>
    <row r="127" spans="1:53" x14ac:dyDescent="0.5">
      <c r="A127" s="1">
        <v>45783</v>
      </c>
      <c r="B127" s="2">
        <v>5.4</v>
      </c>
      <c r="C127" s="272"/>
      <c r="D127" s="295"/>
      <c r="E127" s="58">
        <v>0</v>
      </c>
      <c r="F127" s="38" t="s">
        <v>194</v>
      </c>
      <c r="AJ127" t="str">
        <f>TRIM(MID(SUBSTITUTE($F127, ",", REPT(" ", 100)), (COLUMNS($AH$2:AJ127)-1)*100+1, 100))</f>
        <v/>
      </c>
      <c r="AK127" s="1">
        <v>45783</v>
      </c>
      <c r="AL127" s="2">
        <v>5.4</v>
      </c>
      <c r="AM127" s="2">
        <v>4</v>
      </c>
      <c r="AO127" t="str">
        <f>TRIM(MID(SUBSTITUTE($F127, ",", REPT(" ", 100)), (COLUMNS($AH$2:AO127)-1)*100+1, 100))</f>
        <v/>
      </c>
      <c r="AP127" t="str">
        <f>TRIM(MID(SUBSTITUTE($F127, ",", REPT(" ", 100)), (COLUMNS($AH$2:AP127)-1)*100+1, 100))</f>
        <v/>
      </c>
      <c r="AQ127" t="str">
        <f>TRIM(MID(SUBSTITUTE($F127, ",", REPT(" ", 100)), (COLUMNS($AH$2:AQ127)-1)*100+1, 100))</f>
        <v/>
      </c>
      <c r="AR127" t="str">
        <f>TRIM(MID(SUBSTITUTE($F127, ",", REPT(" ", 100)), (COLUMNS($AH$2:AR127)-1)*100+1, 100))</f>
        <v/>
      </c>
      <c r="AS127" t="str">
        <f>TRIM(MID(SUBSTITUTE($F127, ",", REPT(" ", 100)), (COLUMNS($AH$2:AS127)-1)*100+1, 100))</f>
        <v/>
      </c>
      <c r="AT127" t="str">
        <f>TRIM(MID(SUBSTITUTE($F127, ",", REPT(" ", 100)), (COLUMNS($AH$2:AT127)-1)*100+1, 100))</f>
        <v/>
      </c>
      <c r="AU127" t="str">
        <f>TRIM(MID(SUBSTITUTE($F127, ",", REPT(" ", 100)), (COLUMNS($AH$2:AU127)-1)*100+1, 100))</f>
        <v/>
      </c>
      <c r="AV127" t="str">
        <f>TRIM(MID(SUBSTITUTE($F127, ",", REPT(" ", 100)), (COLUMNS($AH$2:AV127)-1)*100+1, 100))</f>
        <v/>
      </c>
      <c r="AW127" t="str">
        <f>TRIM(MID(SUBSTITUTE($F127, ",", REPT(" ", 100)), (COLUMNS($AH$2:AW127)-1)*100+1, 100))</f>
        <v/>
      </c>
      <c r="AX127" t="str">
        <f>TRIM(MID(SUBSTITUTE($F127, ",", REPT(" ", 100)), (COLUMNS($AH$2:AX127)-1)*100+1, 100))</f>
        <v/>
      </c>
      <c r="AY127" t="str">
        <f>TRIM(MID(SUBSTITUTE($F127, ",", REPT(" ", 100)), (COLUMNS($AH$2:AY127)-1)*100+1, 100))</f>
        <v/>
      </c>
      <c r="AZ127" t="str">
        <f>TRIM(MID(SUBSTITUTE($F127, ",", REPT(" ", 100)), (COLUMNS($AH$2:AZ127)-1)*100+1, 100))</f>
        <v/>
      </c>
      <c r="BA127" t="str">
        <f>TRIM(MID(SUBSTITUTE($F127, ",", REPT(" ", 100)), (COLUMNS($AH$2:BA127)-1)*100+1, 100))</f>
        <v/>
      </c>
    </row>
    <row r="128" spans="1:53" x14ac:dyDescent="0.5">
      <c r="A128" s="1">
        <v>45784</v>
      </c>
      <c r="B128" s="2">
        <v>5.2</v>
      </c>
      <c r="C128" s="272"/>
      <c r="D128" s="295"/>
      <c r="E128" s="58">
        <v>0</v>
      </c>
      <c r="F128" s="38" t="s">
        <v>194</v>
      </c>
      <c r="AJ128" t="str">
        <f>TRIM(MID(SUBSTITUTE($F128, ",", REPT(" ", 100)), (COLUMNS($AH$2:AJ128)-1)*100+1, 100))</f>
        <v/>
      </c>
      <c r="AK128" s="1">
        <v>45784</v>
      </c>
      <c r="AL128" s="2">
        <v>5.2</v>
      </c>
      <c r="AM128" s="2">
        <v>6</v>
      </c>
      <c r="AO128" t="str">
        <f>TRIM(MID(SUBSTITUTE($F128, ",", REPT(" ", 100)), (COLUMNS($AH$2:AO128)-1)*100+1, 100))</f>
        <v/>
      </c>
      <c r="AP128" t="str">
        <f>TRIM(MID(SUBSTITUTE($F128, ",", REPT(" ", 100)), (COLUMNS($AH$2:AP128)-1)*100+1, 100))</f>
        <v/>
      </c>
      <c r="AQ128" t="str">
        <f>TRIM(MID(SUBSTITUTE($F128, ",", REPT(" ", 100)), (COLUMNS($AH$2:AQ128)-1)*100+1, 100))</f>
        <v/>
      </c>
      <c r="AR128" t="str">
        <f>TRIM(MID(SUBSTITUTE($F128, ",", REPT(" ", 100)), (COLUMNS($AH$2:AR128)-1)*100+1, 100))</f>
        <v/>
      </c>
      <c r="AS128" t="str">
        <f>TRIM(MID(SUBSTITUTE($F128, ",", REPT(" ", 100)), (COLUMNS($AH$2:AS128)-1)*100+1, 100))</f>
        <v/>
      </c>
      <c r="AT128" t="str">
        <f>TRIM(MID(SUBSTITUTE($F128, ",", REPT(" ", 100)), (COLUMNS($AH$2:AT128)-1)*100+1, 100))</f>
        <v/>
      </c>
      <c r="AU128" t="str">
        <f>TRIM(MID(SUBSTITUTE($F128, ",", REPT(" ", 100)), (COLUMNS($AH$2:AU128)-1)*100+1, 100))</f>
        <v/>
      </c>
      <c r="AV128" t="str">
        <f>TRIM(MID(SUBSTITUTE($F128, ",", REPT(" ", 100)), (COLUMNS($AH$2:AV128)-1)*100+1, 100))</f>
        <v/>
      </c>
      <c r="AW128" t="str">
        <f>TRIM(MID(SUBSTITUTE($F128, ",", REPT(" ", 100)), (COLUMNS($AH$2:AW128)-1)*100+1, 100))</f>
        <v/>
      </c>
      <c r="AX128" t="str">
        <f>TRIM(MID(SUBSTITUTE($F128, ",", REPT(" ", 100)), (COLUMNS($AH$2:AX128)-1)*100+1, 100))</f>
        <v/>
      </c>
      <c r="AY128" t="str">
        <f>TRIM(MID(SUBSTITUTE($F128, ",", REPT(" ", 100)), (COLUMNS($AH$2:AY128)-1)*100+1, 100))</f>
        <v/>
      </c>
      <c r="AZ128" t="str">
        <f>TRIM(MID(SUBSTITUTE($F128, ",", REPT(" ", 100)), (COLUMNS($AH$2:AZ128)-1)*100+1, 100))</f>
        <v/>
      </c>
      <c r="BA128" t="str">
        <f>TRIM(MID(SUBSTITUTE($F128, ",", REPT(" ", 100)), (COLUMNS($AH$2:BA128)-1)*100+1, 100))</f>
        <v/>
      </c>
    </row>
    <row r="129" spans="1:53" x14ac:dyDescent="0.5">
      <c r="A129" s="1">
        <v>45785</v>
      </c>
      <c r="B129" s="2">
        <v>5.2</v>
      </c>
      <c r="C129" s="272"/>
      <c r="D129" s="295"/>
      <c r="E129" s="58">
        <v>0</v>
      </c>
      <c r="F129" s="38" t="s">
        <v>194</v>
      </c>
      <c r="AJ129" t="str">
        <f>TRIM(MID(SUBSTITUTE($F129, ",", REPT(" ", 100)), (COLUMNS($AH$2:AJ129)-1)*100+1, 100))</f>
        <v/>
      </c>
      <c r="AK129" s="1">
        <v>45785</v>
      </c>
      <c r="AL129" s="2">
        <v>5.2</v>
      </c>
      <c r="AM129" s="2">
        <v>6</v>
      </c>
      <c r="AO129" t="str">
        <f>TRIM(MID(SUBSTITUTE($F129, ",", REPT(" ", 100)), (COLUMNS($AH$2:AO129)-1)*100+1, 100))</f>
        <v/>
      </c>
      <c r="AP129" t="str">
        <f>TRIM(MID(SUBSTITUTE($F129, ",", REPT(" ", 100)), (COLUMNS($AH$2:AP129)-1)*100+1, 100))</f>
        <v/>
      </c>
      <c r="AQ129" t="str">
        <f>TRIM(MID(SUBSTITUTE($F129, ",", REPT(" ", 100)), (COLUMNS($AH$2:AQ129)-1)*100+1, 100))</f>
        <v/>
      </c>
      <c r="AR129" t="str">
        <f>TRIM(MID(SUBSTITUTE($F129, ",", REPT(" ", 100)), (COLUMNS($AH$2:AR129)-1)*100+1, 100))</f>
        <v/>
      </c>
      <c r="AS129" t="str">
        <f>TRIM(MID(SUBSTITUTE($F129, ",", REPT(" ", 100)), (COLUMNS($AH$2:AS129)-1)*100+1, 100))</f>
        <v/>
      </c>
      <c r="AT129" t="str">
        <f>TRIM(MID(SUBSTITUTE($F129, ",", REPT(" ", 100)), (COLUMNS($AH$2:AT129)-1)*100+1, 100))</f>
        <v/>
      </c>
      <c r="AU129" t="str">
        <f>TRIM(MID(SUBSTITUTE($F129, ",", REPT(" ", 100)), (COLUMNS($AH$2:AU129)-1)*100+1, 100))</f>
        <v/>
      </c>
      <c r="AV129" t="str">
        <f>TRIM(MID(SUBSTITUTE($F129, ",", REPT(" ", 100)), (COLUMNS($AH$2:AV129)-1)*100+1, 100))</f>
        <v/>
      </c>
      <c r="AW129" t="str">
        <f>TRIM(MID(SUBSTITUTE($F129, ",", REPT(" ", 100)), (COLUMNS($AH$2:AW129)-1)*100+1, 100))</f>
        <v/>
      </c>
      <c r="AX129" t="str">
        <f>TRIM(MID(SUBSTITUTE($F129, ",", REPT(" ", 100)), (COLUMNS($AH$2:AX129)-1)*100+1, 100))</f>
        <v/>
      </c>
      <c r="AY129" t="str">
        <f>TRIM(MID(SUBSTITUTE($F129, ",", REPT(" ", 100)), (COLUMNS($AH$2:AY129)-1)*100+1, 100))</f>
        <v/>
      </c>
      <c r="AZ129" t="str">
        <f>TRIM(MID(SUBSTITUTE($F129, ",", REPT(" ", 100)), (COLUMNS($AH$2:AZ129)-1)*100+1, 100))</f>
        <v/>
      </c>
      <c r="BA129" t="str">
        <f>TRIM(MID(SUBSTITUTE($F129, ",", REPT(" ", 100)), (COLUMNS($AH$2:BA129)-1)*100+1, 100))</f>
        <v/>
      </c>
    </row>
    <row r="130" spans="1:53" x14ac:dyDescent="0.5">
      <c r="A130" s="1">
        <v>45786</v>
      </c>
      <c r="B130" s="2">
        <v>6</v>
      </c>
      <c r="C130" s="272"/>
      <c r="D130" s="295"/>
      <c r="E130" s="58">
        <v>0</v>
      </c>
      <c r="F130" s="38" t="s">
        <v>194</v>
      </c>
      <c r="AJ130" t="str">
        <f>TRIM(MID(SUBSTITUTE($F130, ",", REPT(" ", 100)), (COLUMNS($AH$2:AJ130)-1)*100+1, 100))</f>
        <v/>
      </c>
      <c r="AK130" s="1">
        <v>45786</v>
      </c>
      <c r="AL130" s="2">
        <v>6</v>
      </c>
      <c r="AM130" s="2">
        <v>6</v>
      </c>
      <c r="AO130" t="str">
        <f>TRIM(MID(SUBSTITUTE($F130, ",", REPT(" ", 100)), (COLUMNS($AH$2:AO130)-1)*100+1, 100))</f>
        <v/>
      </c>
      <c r="AP130" t="str">
        <f>TRIM(MID(SUBSTITUTE($F130, ",", REPT(" ", 100)), (COLUMNS($AH$2:AP130)-1)*100+1, 100))</f>
        <v/>
      </c>
      <c r="AQ130" t="str">
        <f>TRIM(MID(SUBSTITUTE($F130, ",", REPT(" ", 100)), (COLUMNS($AH$2:AQ130)-1)*100+1, 100))</f>
        <v/>
      </c>
      <c r="AR130" t="str">
        <f>TRIM(MID(SUBSTITUTE($F130, ",", REPT(" ", 100)), (COLUMNS($AH$2:AR130)-1)*100+1, 100))</f>
        <v/>
      </c>
      <c r="AS130" t="str">
        <f>TRIM(MID(SUBSTITUTE($F130, ",", REPT(" ", 100)), (COLUMNS($AH$2:AS130)-1)*100+1, 100))</f>
        <v/>
      </c>
      <c r="AT130" t="str">
        <f>TRIM(MID(SUBSTITUTE($F130, ",", REPT(" ", 100)), (COLUMNS($AH$2:AT130)-1)*100+1, 100))</f>
        <v/>
      </c>
      <c r="AU130" t="str">
        <f>TRIM(MID(SUBSTITUTE($F130, ",", REPT(" ", 100)), (COLUMNS($AH$2:AU130)-1)*100+1, 100))</f>
        <v/>
      </c>
      <c r="AV130" t="str">
        <f>TRIM(MID(SUBSTITUTE($F130, ",", REPT(" ", 100)), (COLUMNS($AH$2:AV130)-1)*100+1, 100))</f>
        <v/>
      </c>
      <c r="AW130" t="str">
        <f>TRIM(MID(SUBSTITUTE($F130, ",", REPT(" ", 100)), (COLUMNS($AH$2:AW130)-1)*100+1, 100))</f>
        <v/>
      </c>
      <c r="AX130" t="str">
        <f>TRIM(MID(SUBSTITUTE($F130, ",", REPT(" ", 100)), (COLUMNS($AH$2:AX130)-1)*100+1, 100))</f>
        <v/>
      </c>
      <c r="AY130" t="str">
        <f>TRIM(MID(SUBSTITUTE($F130, ",", REPT(" ", 100)), (COLUMNS($AH$2:AY130)-1)*100+1, 100))</f>
        <v/>
      </c>
      <c r="AZ130" t="str">
        <f>TRIM(MID(SUBSTITUTE($F130, ",", REPT(" ", 100)), (COLUMNS($AH$2:AZ130)-1)*100+1, 100))</f>
        <v/>
      </c>
      <c r="BA130" t="str">
        <f>TRIM(MID(SUBSTITUTE($F130, ",", REPT(" ", 100)), (COLUMNS($AH$2:BA130)-1)*100+1, 100))</f>
        <v/>
      </c>
    </row>
    <row r="131" spans="1:53" x14ac:dyDescent="0.5">
      <c r="A131" s="1">
        <v>45787</v>
      </c>
      <c r="B131" s="2">
        <v>7</v>
      </c>
      <c r="C131" s="272"/>
      <c r="D131" s="295"/>
      <c r="E131" s="58">
        <v>1</v>
      </c>
      <c r="F131" s="38" t="s">
        <v>194</v>
      </c>
      <c r="AJ131" t="str">
        <f>TRIM(MID(SUBSTITUTE($F131, ",", REPT(" ", 100)), (COLUMNS($AH$2:AJ131)-1)*100+1, 100))</f>
        <v/>
      </c>
      <c r="AK131" s="1">
        <v>45787</v>
      </c>
      <c r="AL131" s="2">
        <v>7</v>
      </c>
      <c r="AM131" s="2">
        <v>8</v>
      </c>
      <c r="AO131" t="str">
        <f>TRIM(MID(SUBSTITUTE($F131, ",", REPT(" ", 100)), (COLUMNS($AH$2:AO131)-1)*100+1, 100))</f>
        <v/>
      </c>
      <c r="AP131" t="str">
        <f>TRIM(MID(SUBSTITUTE($F131, ",", REPT(" ", 100)), (COLUMNS($AH$2:AP131)-1)*100+1, 100))</f>
        <v/>
      </c>
      <c r="AQ131" t="str">
        <f>TRIM(MID(SUBSTITUTE($F131, ",", REPT(" ", 100)), (COLUMNS($AH$2:AQ131)-1)*100+1, 100))</f>
        <v/>
      </c>
      <c r="AR131" t="str">
        <f>TRIM(MID(SUBSTITUTE($F131, ",", REPT(" ", 100)), (COLUMNS($AH$2:AR131)-1)*100+1, 100))</f>
        <v/>
      </c>
      <c r="AS131" t="str">
        <f>TRIM(MID(SUBSTITUTE($F131, ",", REPT(" ", 100)), (COLUMNS($AH$2:AS131)-1)*100+1, 100))</f>
        <v/>
      </c>
      <c r="AT131" t="str">
        <f>TRIM(MID(SUBSTITUTE($F131, ",", REPT(" ", 100)), (COLUMNS($AH$2:AT131)-1)*100+1, 100))</f>
        <v/>
      </c>
      <c r="AU131" t="str">
        <f>TRIM(MID(SUBSTITUTE($F131, ",", REPT(" ", 100)), (COLUMNS($AH$2:AU131)-1)*100+1, 100))</f>
        <v/>
      </c>
      <c r="AV131" t="str">
        <f>TRIM(MID(SUBSTITUTE($F131, ",", REPT(" ", 100)), (COLUMNS($AH$2:AV131)-1)*100+1, 100))</f>
        <v/>
      </c>
      <c r="AW131" t="str">
        <f>TRIM(MID(SUBSTITUTE($F131, ",", REPT(" ", 100)), (COLUMNS($AH$2:AW131)-1)*100+1, 100))</f>
        <v/>
      </c>
      <c r="AX131" t="str">
        <f>TRIM(MID(SUBSTITUTE($F131, ",", REPT(" ", 100)), (COLUMNS($AH$2:AX131)-1)*100+1, 100))</f>
        <v/>
      </c>
      <c r="AY131" t="str">
        <f>TRIM(MID(SUBSTITUTE($F131, ",", REPT(" ", 100)), (COLUMNS($AH$2:AY131)-1)*100+1, 100))</f>
        <v/>
      </c>
      <c r="AZ131" t="str">
        <f>TRIM(MID(SUBSTITUTE($F131, ",", REPT(" ", 100)), (COLUMNS($AH$2:AZ131)-1)*100+1, 100))</f>
        <v/>
      </c>
      <c r="BA131" t="str">
        <f>TRIM(MID(SUBSTITUTE($F131, ",", REPT(" ", 100)), (COLUMNS($AH$2:BA131)-1)*100+1, 100))</f>
        <v/>
      </c>
    </row>
    <row r="132" spans="1:53" x14ac:dyDescent="0.5">
      <c r="A132" s="1">
        <v>45788</v>
      </c>
      <c r="B132" s="2">
        <v>6.8</v>
      </c>
      <c r="C132" s="272"/>
      <c r="D132" s="295"/>
      <c r="E132" s="58">
        <v>0</v>
      </c>
      <c r="F132" s="38" t="s">
        <v>194</v>
      </c>
      <c r="AJ132" t="str">
        <f>TRIM(MID(SUBSTITUTE($F132, ",", REPT(" ", 100)), (COLUMNS($AH$2:AJ132)-1)*100+1, 100))</f>
        <v/>
      </c>
      <c r="AK132" s="1">
        <v>45788</v>
      </c>
      <c r="AL132" s="2">
        <v>6.8</v>
      </c>
      <c r="AM132" s="2">
        <v>8</v>
      </c>
      <c r="AO132" t="str">
        <f>TRIM(MID(SUBSTITUTE($F132, ",", REPT(" ", 100)), (COLUMNS($AH$2:AO132)-1)*100+1, 100))</f>
        <v/>
      </c>
      <c r="AP132" t="str">
        <f>TRIM(MID(SUBSTITUTE($F132, ",", REPT(" ", 100)), (COLUMNS($AH$2:AP132)-1)*100+1, 100))</f>
        <v/>
      </c>
      <c r="AQ132" t="str">
        <f>TRIM(MID(SUBSTITUTE($F132, ",", REPT(" ", 100)), (COLUMNS($AH$2:AQ132)-1)*100+1, 100))</f>
        <v/>
      </c>
      <c r="AR132" t="str">
        <f>TRIM(MID(SUBSTITUTE($F132, ",", REPT(" ", 100)), (COLUMNS($AH$2:AR132)-1)*100+1, 100))</f>
        <v/>
      </c>
      <c r="AS132" t="str">
        <f>TRIM(MID(SUBSTITUTE($F132, ",", REPT(" ", 100)), (COLUMNS($AH$2:AS132)-1)*100+1, 100))</f>
        <v/>
      </c>
      <c r="AT132" t="str">
        <f>TRIM(MID(SUBSTITUTE($F132, ",", REPT(" ", 100)), (COLUMNS($AH$2:AT132)-1)*100+1, 100))</f>
        <v/>
      </c>
      <c r="AU132" t="str">
        <f>TRIM(MID(SUBSTITUTE($F132, ",", REPT(" ", 100)), (COLUMNS($AH$2:AU132)-1)*100+1, 100))</f>
        <v/>
      </c>
      <c r="AV132" t="str">
        <f>TRIM(MID(SUBSTITUTE($F132, ",", REPT(" ", 100)), (COLUMNS($AH$2:AV132)-1)*100+1, 100))</f>
        <v/>
      </c>
      <c r="AW132" t="str">
        <f>TRIM(MID(SUBSTITUTE($F132, ",", REPT(" ", 100)), (COLUMNS($AH$2:AW132)-1)*100+1, 100))</f>
        <v/>
      </c>
      <c r="AX132" t="str">
        <f>TRIM(MID(SUBSTITUTE($F132, ",", REPT(" ", 100)), (COLUMNS($AH$2:AX132)-1)*100+1, 100))</f>
        <v/>
      </c>
      <c r="AY132" t="str">
        <f>TRIM(MID(SUBSTITUTE($F132, ",", REPT(" ", 100)), (COLUMNS($AH$2:AY132)-1)*100+1, 100))</f>
        <v/>
      </c>
      <c r="AZ132" t="str">
        <f>TRIM(MID(SUBSTITUTE($F132, ",", REPT(" ", 100)), (COLUMNS($AH$2:AZ132)-1)*100+1, 100))</f>
        <v/>
      </c>
      <c r="BA132" t="str">
        <f>TRIM(MID(SUBSTITUTE($F132, ",", REPT(" ", 100)), (COLUMNS($AH$2:BA132)-1)*100+1, 100))</f>
        <v/>
      </c>
    </row>
    <row r="133" spans="1:53" x14ac:dyDescent="0.5">
      <c r="A133" s="1">
        <v>45789</v>
      </c>
      <c r="B133" s="2">
        <v>9</v>
      </c>
      <c r="C133" s="272"/>
      <c r="D133" s="295"/>
      <c r="E133" s="58">
        <v>0</v>
      </c>
      <c r="F133" s="38" t="s">
        <v>278</v>
      </c>
      <c r="AJ133" t="str">
        <f>TRIM(MID(SUBSTITUTE($F133, ",", REPT(" ", 100)), (COLUMNS($AH$2:AJ133)-1)*100+1, 100))</f>
        <v/>
      </c>
      <c r="AK133" s="1">
        <v>45789</v>
      </c>
      <c r="AL133" s="2">
        <v>9</v>
      </c>
      <c r="AM133" s="2">
        <v>6</v>
      </c>
      <c r="AO133" t="str">
        <f>TRIM(MID(SUBSTITUTE($F133, ",", REPT(" ", 100)), (COLUMNS($AH$2:AO133)-1)*100+1, 100))</f>
        <v/>
      </c>
      <c r="AP133" t="str">
        <f>TRIM(MID(SUBSTITUTE($F133, ",", REPT(" ", 100)), (COLUMNS($AH$2:AP133)-1)*100+1, 100))</f>
        <v/>
      </c>
      <c r="AQ133" t="str">
        <f>TRIM(MID(SUBSTITUTE($F133, ",", REPT(" ", 100)), (COLUMNS($AH$2:AQ133)-1)*100+1, 100))</f>
        <v/>
      </c>
      <c r="AR133" t="str">
        <f>TRIM(MID(SUBSTITUTE($F133, ",", REPT(" ", 100)), (COLUMNS($AH$2:AR133)-1)*100+1, 100))</f>
        <v/>
      </c>
      <c r="AS133" t="str">
        <f>TRIM(MID(SUBSTITUTE($F133, ",", REPT(" ", 100)), (COLUMNS($AH$2:AS133)-1)*100+1, 100))</f>
        <v/>
      </c>
      <c r="AT133" t="str">
        <f>TRIM(MID(SUBSTITUTE($F133, ",", REPT(" ", 100)), (COLUMNS($AH$2:AT133)-1)*100+1, 100))</f>
        <v/>
      </c>
      <c r="AU133" t="str">
        <f>TRIM(MID(SUBSTITUTE($F133, ",", REPT(" ", 100)), (COLUMNS($AH$2:AU133)-1)*100+1, 100))</f>
        <v/>
      </c>
      <c r="AV133" t="str">
        <f>TRIM(MID(SUBSTITUTE($F133, ",", REPT(" ", 100)), (COLUMNS($AH$2:AV133)-1)*100+1, 100))</f>
        <v/>
      </c>
      <c r="AW133" t="str">
        <f>TRIM(MID(SUBSTITUTE($F133, ",", REPT(" ", 100)), (COLUMNS($AH$2:AW133)-1)*100+1, 100))</f>
        <v/>
      </c>
      <c r="AX133" t="str">
        <f>TRIM(MID(SUBSTITUTE($F133, ",", REPT(" ", 100)), (COLUMNS($AH$2:AX133)-1)*100+1, 100))</f>
        <v/>
      </c>
      <c r="AY133" t="str">
        <f>TRIM(MID(SUBSTITUTE($F133, ",", REPT(" ", 100)), (COLUMNS($AH$2:AY133)-1)*100+1, 100))</f>
        <v/>
      </c>
      <c r="AZ133" t="str">
        <f>TRIM(MID(SUBSTITUTE($F133, ",", REPT(" ", 100)), (COLUMNS($AH$2:AZ133)-1)*100+1, 100))</f>
        <v/>
      </c>
      <c r="BA133" t="str">
        <f>TRIM(MID(SUBSTITUTE($F133, ",", REPT(" ", 100)), (COLUMNS($AH$2:BA133)-1)*100+1, 100))</f>
        <v/>
      </c>
    </row>
    <row r="134" spans="1:53" x14ac:dyDescent="0.5">
      <c r="A134" s="1">
        <v>45790</v>
      </c>
      <c r="B134" s="2">
        <v>5.5</v>
      </c>
      <c r="C134" s="272"/>
      <c r="D134" s="295"/>
      <c r="E134" s="58">
        <v>0</v>
      </c>
      <c r="F134" s="38" t="s">
        <v>278</v>
      </c>
      <c r="AJ134" t="str">
        <f>TRIM(MID(SUBSTITUTE($F134, ",", REPT(" ", 100)), (COLUMNS($AH$2:AJ134)-1)*100+1, 100))</f>
        <v/>
      </c>
      <c r="AK134" s="1">
        <v>45790</v>
      </c>
      <c r="AL134" s="2">
        <v>5.5</v>
      </c>
      <c r="AM134" s="2">
        <v>6</v>
      </c>
      <c r="AO134" t="str">
        <f>TRIM(MID(SUBSTITUTE($F134, ",", REPT(" ", 100)), (COLUMNS($AH$2:AO134)-1)*100+1, 100))</f>
        <v/>
      </c>
      <c r="AP134" t="str">
        <f>TRIM(MID(SUBSTITUTE($F134, ",", REPT(" ", 100)), (COLUMNS($AH$2:AP134)-1)*100+1, 100))</f>
        <v/>
      </c>
      <c r="AQ134" t="str">
        <f>TRIM(MID(SUBSTITUTE($F134, ",", REPT(" ", 100)), (COLUMNS($AH$2:AQ134)-1)*100+1, 100))</f>
        <v/>
      </c>
      <c r="AR134" t="str">
        <f>TRIM(MID(SUBSTITUTE($F134, ",", REPT(" ", 100)), (COLUMNS($AH$2:AR134)-1)*100+1, 100))</f>
        <v/>
      </c>
      <c r="AS134" t="str">
        <f>TRIM(MID(SUBSTITUTE($F134, ",", REPT(" ", 100)), (COLUMNS($AH$2:AS134)-1)*100+1, 100))</f>
        <v/>
      </c>
      <c r="AT134" t="str">
        <f>TRIM(MID(SUBSTITUTE($F134, ",", REPT(" ", 100)), (COLUMNS($AH$2:AT134)-1)*100+1, 100))</f>
        <v/>
      </c>
      <c r="AU134" t="str">
        <f>TRIM(MID(SUBSTITUTE($F134, ",", REPT(" ", 100)), (COLUMNS($AH$2:AU134)-1)*100+1, 100))</f>
        <v/>
      </c>
      <c r="AV134" t="str">
        <f>TRIM(MID(SUBSTITUTE($F134, ",", REPT(" ", 100)), (COLUMNS($AH$2:AV134)-1)*100+1, 100))</f>
        <v/>
      </c>
      <c r="AW134" t="str">
        <f>TRIM(MID(SUBSTITUTE($F134, ",", REPT(" ", 100)), (COLUMNS($AH$2:AW134)-1)*100+1, 100))</f>
        <v/>
      </c>
      <c r="AX134" t="str">
        <f>TRIM(MID(SUBSTITUTE($F134, ",", REPT(" ", 100)), (COLUMNS($AH$2:AX134)-1)*100+1, 100))</f>
        <v/>
      </c>
      <c r="AY134" t="str">
        <f>TRIM(MID(SUBSTITUTE($F134, ",", REPT(" ", 100)), (COLUMNS($AH$2:AY134)-1)*100+1, 100))</f>
        <v/>
      </c>
      <c r="AZ134" t="str">
        <f>TRIM(MID(SUBSTITUTE($F134, ",", REPT(" ", 100)), (COLUMNS($AH$2:AZ134)-1)*100+1, 100))</f>
        <v/>
      </c>
      <c r="BA134" t="str">
        <f>TRIM(MID(SUBSTITUTE($F134, ",", REPT(" ", 100)), (COLUMNS($AH$2:BA134)-1)*100+1, 100))</f>
        <v/>
      </c>
    </row>
    <row r="135" spans="1:53" x14ac:dyDescent="0.5">
      <c r="A135" s="1">
        <v>45791</v>
      </c>
      <c r="B135" s="2">
        <v>5.4</v>
      </c>
      <c r="C135" s="272"/>
      <c r="D135" s="295"/>
      <c r="E135" s="58">
        <v>0</v>
      </c>
      <c r="F135" s="38" t="s">
        <v>194</v>
      </c>
      <c r="AJ135" t="str">
        <f>TRIM(MID(SUBSTITUTE($F135, ",", REPT(" ", 100)), (COLUMNS($AH$2:AJ135)-1)*100+1, 100))</f>
        <v/>
      </c>
      <c r="AK135" s="1">
        <v>45791</v>
      </c>
      <c r="AL135" s="2">
        <v>5.4</v>
      </c>
      <c r="AM135" s="2">
        <v>6</v>
      </c>
      <c r="AO135" t="str">
        <f>TRIM(MID(SUBSTITUTE($F135, ",", REPT(" ", 100)), (COLUMNS($AH$2:AO135)-1)*100+1, 100))</f>
        <v/>
      </c>
      <c r="AP135" t="str">
        <f>TRIM(MID(SUBSTITUTE($F135, ",", REPT(" ", 100)), (COLUMNS($AH$2:AP135)-1)*100+1, 100))</f>
        <v/>
      </c>
      <c r="AQ135" t="str">
        <f>TRIM(MID(SUBSTITUTE($F135, ",", REPT(" ", 100)), (COLUMNS($AH$2:AQ135)-1)*100+1, 100))</f>
        <v/>
      </c>
      <c r="AR135" t="str">
        <f>TRIM(MID(SUBSTITUTE($F135, ",", REPT(" ", 100)), (COLUMNS($AH$2:AR135)-1)*100+1, 100))</f>
        <v/>
      </c>
      <c r="AS135" t="str">
        <f>TRIM(MID(SUBSTITUTE($F135, ",", REPT(" ", 100)), (COLUMNS($AH$2:AS135)-1)*100+1, 100))</f>
        <v/>
      </c>
      <c r="AT135" t="str">
        <f>TRIM(MID(SUBSTITUTE($F135, ",", REPT(" ", 100)), (COLUMNS($AH$2:AT135)-1)*100+1, 100))</f>
        <v/>
      </c>
      <c r="AU135" t="str">
        <f>TRIM(MID(SUBSTITUTE($F135, ",", REPT(" ", 100)), (COLUMNS($AH$2:AU135)-1)*100+1, 100))</f>
        <v/>
      </c>
      <c r="AV135" t="str">
        <f>TRIM(MID(SUBSTITUTE($F135, ",", REPT(" ", 100)), (COLUMNS($AH$2:AV135)-1)*100+1, 100))</f>
        <v/>
      </c>
      <c r="AW135" t="str">
        <f>TRIM(MID(SUBSTITUTE($F135, ",", REPT(" ", 100)), (COLUMNS($AH$2:AW135)-1)*100+1, 100))</f>
        <v/>
      </c>
      <c r="AX135" t="str">
        <f>TRIM(MID(SUBSTITUTE($F135, ",", REPT(" ", 100)), (COLUMNS($AH$2:AX135)-1)*100+1, 100))</f>
        <v/>
      </c>
      <c r="AY135" t="str">
        <f>TRIM(MID(SUBSTITUTE($F135, ",", REPT(" ", 100)), (COLUMNS($AH$2:AY135)-1)*100+1, 100))</f>
        <v/>
      </c>
      <c r="AZ135" t="str">
        <f>TRIM(MID(SUBSTITUTE($F135, ",", REPT(" ", 100)), (COLUMNS($AH$2:AZ135)-1)*100+1, 100))</f>
        <v/>
      </c>
      <c r="BA135" t="str">
        <f>TRIM(MID(SUBSTITUTE($F135, ",", REPT(" ", 100)), (COLUMNS($AH$2:BA135)-1)*100+1, 100))</f>
        <v/>
      </c>
    </row>
    <row r="136" spans="1:53" x14ac:dyDescent="0.5">
      <c r="A136" s="1">
        <v>45792</v>
      </c>
      <c r="B136" s="2">
        <v>5.3</v>
      </c>
      <c r="C136" s="272"/>
      <c r="D136" s="295"/>
      <c r="E136" s="58">
        <v>0</v>
      </c>
      <c r="F136" s="38" t="s">
        <v>194</v>
      </c>
      <c r="AJ136" t="str">
        <f>TRIM(MID(SUBSTITUTE($F136, ",", REPT(" ", 100)), (COLUMNS($AH$2:AJ136)-1)*100+1, 100))</f>
        <v/>
      </c>
      <c r="AK136" s="1">
        <v>45792</v>
      </c>
      <c r="AL136" s="2">
        <v>5.3</v>
      </c>
      <c r="AM136" s="2">
        <v>6</v>
      </c>
      <c r="AO136" t="str">
        <f>TRIM(MID(SUBSTITUTE($F136, ",", REPT(" ", 100)), (COLUMNS($AH$2:AO136)-1)*100+1, 100))</f>
        <v/>
      </c>
      <c r="AP136" t="str">
        <f>TRIM(MID(SUBSTITUTE($F136, ",", REPT(" ", 100)), (COLUMNS($AH$2:AP136)-1)*100+1, 100))</f>
        <v/>
      </c>
      <c r="AQ136" t="str">
        <f>TRIM(MID(SUBSTITUTE($F136, ",", REPT(" ", 100)), (COLUMNS($AH$2:AQ136)-1)*100+1, 100))</f>
        <v/>
      </c>
      <c r="AR136" t="str">
        <f>TRIM(MID(SUBSTITUTE($F136, ",", REPT(" ", 100)), (COLUMNS($AH$2:AR136)-1)*100+1, 100))</f>
        <v/>
      </c>
      <c r="AS136" t="str">
        <f>TRIM(MID(SUBSTITUTE($F136, ",", REPT(" ", 100)), (COLUMNS($AH$2:AS136)-1)*100+1, 100))</f>
        <v/>
      </c>
      <c r="AT136" t="str">
        <f>TRIM(MID(SUBSTITUTE($F136, ",", REPT(" ", 100)), (COLUMNS($AH$2:AT136)-1)*100+1, 100))</f>
        <v/>
      </c>
      <c r="AU136" t="str">
        <f>TRIM(MID(SUBSTITUTE($F136, ",", REPT(" ", 100)), (COLUMNS($AH$2:AU136)-1)*100+1, 100))</f>
        <v/>
      </c>
      <c r="AV136" t="str">
        <f>TRIM(MID(SUBSTITUTE($F136, ",", REPT(" ", 100)), (COLUMNS($AH$2:AV136)-1)*100+1, 100))</f>
        <v/>
      </c>
      <c r="AW136" t="str">
        <f>TRIM(MID(SUBSTITUTE($F136, ",", REPT(" ", 100)), (COLUMNS($AH$2:AW136)-1)*100+1, 100))</f>
        <v/>
      </c>
      <c r="AX136" t="str">
        <f>TRIM(MID(SUBSTITUTE($F136, ",", REPT(" ", 100)), (COLUMNS($AH$2:AX136)-1)*100+1, 100))</f>
        <v/>
      </c>
      <c r="AY136" t="str">
        <f>TRIM(MID(SUBSTITUTE($F136, ",", REPT(" ", 100)), (COLUMNS($AH$2:AY136)-1)*100+1, 100))</f>
        <v/>
      </c>
      <c r="AZ136" t="str">
        <f>TRIM(MID(SUBSTITUTE($F136, ",", REPT(" ", 100)), (COLUMNS($AH$2:AZ136)-1)*100+1, 100))</f>
        <v/>
      </c>
      <c r="BA136" t="str">
        <f>TRIM(MID(SUBSTITUTE($F136, ",", REPT(" ", 100)), (COLUMNS($AH$2:BA136)-1)*100+1, 100))</f>
        <v/>
      </c>
    </row>
    <row r="137" spans="1:53" x14ac:dyDescent="0.5">
      <c r="A137" s="1">
        <v>45793</v>
      </c>
      <c r="B137" s="2">
        <v>5.2</v>
      </c>
      <c r="C137" s="272"/>
      <c r="D137" s="295"/>
      <c r="E137" s="58">
        <v>0</v>
      </c>
      <c r="F137" s="38" t="s">
        <v>194</v>
      </c>
      <c r="AJ137" t="str">
        <f>TRIM(MID(SUBSTITUTE($F137, ",", REPT(" ", 100)), (COLUMNS($AH$2:AJ137)-1)*100+1, 100))</f>
        <v/>
      </c>
      <c r="AK137" s="1">
        <v>45793</v>
      </c>
      <c r="AL137" s="2">
        <v>5.2</v>
      </c>
      <c r="AM137" s="2">
        <v>4</v>
      </c>
      <c r="AO137" t="str">
        <f>TRIM(MID(SUBSTITUTE($F137, ",", REPT(" ", 100)), (COLUMNS($AH$2:AO137)-1)*100+1, 100))</f>
        <v/>
      </c>
      <c r="AP137" t="str">
        <f>TRIM(MID(SUBSTITUTE($F137, ",", REPT(" ", 100)), (COLUMNS($AH$2:AP137)-1)*100+1, 100))</f>
        <v/>
      </c>
      <c r="AQ137" t="str">
        <f>TRIM(MID(SUBSTITUTE($F137, ",", REPT(" ", 100)), (COLUMNS($AH$2:AQ137)-1)*100+1, 100))</f>
        <v/>
      </c>
      <c r="AR137" t="str">
        <f>TRIM(MID(SUBSTITUTE($F137, ",", REPT(" ", 100)), (COLUMNS($AH$2:AR137)-1)*100+1, 100))</f>
        <v/>
      </c>
      <c r="AS137" t="str">
        <f>TRIM(MID(SUBSTITUTE($F137, ",", REPT(" ", 100)), (COLUMNS($AH$2:AS137)-1)*100+1, 100))</f>
        <v/>
      </c>
      <c r="AT137" t="str">
        <f>TRIM(MID(SUBSTITUTE($F137, ",", REPT(" ", 100)), (COLUMNS($AH$2:AT137)-1)*100+1, 100))</f>
        <v/>
      </c>
      <c r="AU137" t="str">
        <f>TRIM(MID(SUBSTITUTE($F137, ",", REPT(" ", 100)), (COLUMNS($AH$2:AU137)-1)*100+1, 100))</f>
        <v/>
      </c>
      <c r="AV137" t="str">
        <f>TRIM(MID(SUBSTITUTE($F137, ",", REPT(" ", 100)), (COLUMNS($AH$2:AV137)-1)*100+1, 100))</f>
        <v/>
      </c>
      <c r="AW137" t="str">
        <f>TRIM(MID(SUBSTITUTE($F137, ",", REPT(" ", 100)), (COLUMNS($AH$2:AW137)-1)*100+1, 100))</f>
        <v/>
      </c>
      <c r="AX137" t="str">
        <f>TRIM(MID(SUBSTITUTE($F137, ",", REPT(" ", 100)), (COLUMNS($AH$2:AX137)-1)*100+1, 100))</f>
        <v/>
      </c>
      <c r="AY137" t="str">
        <f>TRIM(MID(SUBSTITUTE($F137, ",", REPT(" ", 100)), (COLUMNS($AH$2:AY137)-1)*100+1, 100))</f>
        <v/>
      </c>
      <c r="AZ137" t="str">
        <f>TRIM(MID(SUBSTITUTE($F137, ",", REPT(" ", 100)), (COLUMNS($AH$2:AZ137)-1)*100+1, 100))</f>
        <v/>
      </c>
      <c r="BA137" t="str">
        <f>TRIM(MID(SUBSTITUTE($F137, ",", REPT(" ", 100)), (COLUMNS($AH$2:BA137)-1)*100+1, 100))</f>
        <v/>
      </c>
    </row>
    <row r="138" spans="1:53" x14ac:dyDescent="0.5">
      <c r="A138" s="1">
        <v>45794</v>
      </c>
      <c r="B138" s="2">
        <v>6.5</v>
      </c>
      <c r="C138" s="272"/>
      <c r="D138" s="295"/>
      <c r="E138" s="58">
        <v>1</v>
      </c>
      <c r="F138" s="38" t="s">
        <v>194</v>
      </c>
      <c r="AJ138" t="str">
        <f>TRIM(MID(SUBSTITUTE($F138, ",", REPT(" ", 100)), (COLUMNS($AH$2:AJ138)-1)*100+1, 100))</f>
        <v/>
      </c>
      <c r="AK138" s="1">
        <v>45794</v>
      </c>
      <c r="AL138" s="2">
        <v>6.5</v>
      </c>
      <c r="AM138" s="2">
        <v>4</v>
      </c>
      <c r="AO138" t="str">
        <f>TRIM(MID(SUBSTITUTE($F138, ",", REPT(" ", 100)), (COLUMNS($AH$2:AO138)-1)*100+1, 100))</f>
        <v/>
      </c>
      <c r="AP138" t="str">
        <f>TRIM(MID(SUBSTITUTE($F138, ",", REPT(" ", 100)), (COLUMNS($AH$2:AP138)-1)*100+1, 100))</f>
        <v/>
      </c>
      <c r="AQ138" t="str">
        <f>TRIM(MID(SUBSTITUTE($F138, ",", REPT(" ", 100)), (COLUMNS($AH$2:AQ138)-1)*100+1, 100))</f>
        <v/>
      </c>
      <c r="AR138" t="str">
        <f>TRIM(MID(SUBSTITUTE($F138, ",", REPT(" ", 100)), (COLUMNS($AH$2:AR138)-1)*100+1, 100))</f>
        <v/>
      </c>
      <c r="AS138" t="str">
        <f>TRIM(MID(SUBSTITUTE($F138, ",", REPT(" ", 100)), (COLUMNS($AH$2:AS138)-1)*100+1, 100))</f>
        <v/>
      </c>
      <c r="AT138" t="str">
        <f>TRIM(MID(SUBSTITUTE($F138, ",", REPT(" ", 100)), (COLUMNS($AH$2:AT138)-1)*100+1, 100))</f>
        <v/>
      </c>
      <c r="AU138" t="str">
        <f>TRIM(MID(SUBSTITUTE($F138, ",", REPT(" ", 100)), (COLUMNS($AH$2:AU138)-1)*100+1, 100))</f>
        <v/>
      </c>
      <c r="AV138" t="str">
        <f>TRIM(MID(SUBSTITUTE($F138, ",", REPT(" ", 100)), (COLUMNS($AH$2:AV138)-1)*100+1, 100))</f>
        <v/>
      </c>
      <c r="AW138" t="str">
        <f>TRIM(MID(SUBSTITUTE($F138, ",", REPT(" ", 100)), (COLUMNS($AH$2:AW138)-1)*100+1, 100))</f>
        <v/>
      </c>
      <c r="AX138" t="str">
        <f>TRIM(MID(SUBSTITUTE($F138, ",", REPT(" ", 100)), (COLUMNS($AH$2:AX138)-1)*100+1, 100))</f>
        <v/>
      </c>
      <c r="AY138" t="str">
        <f>TRIM(MID(SUBSTITUTE($F138, ",", REPT(" ", 100)), (COLUMNS($AH$2:AY138)-1)*100+1, 100))</f>
        <v/>
      </c>
      <c r="AZ138" t="str">
        <f>TRIM(MID(SUBSTITUTE($F138, ",", REPT(" ", 100)), (COLUMNS($AH$2:AZ138)-1)*100+1, 100))</f>
        <v/>
      </c>
      <c r="BA138" t="str">
        <f>TRIM(MID(SUBSTITUTE($F138, ",", REPT(" ", 100)), (COLUMNS($AH$2:BA138)-1)*100+1, 100))</f>
        <v/>
      </c>
    </row>
    <row r="139" spans="1:53" x14ac:dyDescent="0.5">
      <c r="A139" s="1">
        <v>45795</v>
      </c>
      <c r="B139" s="2">
        <v>7</v>
      </c>
      <c r="C139" s="272"/>
      <c r="D139" s="295"/>
      <c r="E139" s="58">
        <v>0</v>
      </c>
      <c r="F139" s="38" t="s">
        <v>194</v>
      </c>
      <c r="AJ139" t="str">
        <f>TRIM(MID(SUBSTITUTE($F139, ",", REPT(" ", 100)), (COLUMNS($AH$2:AJ139)-1)*100+1, 100))</f>
        <v/>
      </c>
      <c r="AK139" s="1">
        <v>45795</v>
      </c>
      <c r="AL139" s="2">
        <v>7</v>
      </c>
      <c r="AM139" s="2">
        <v>6</v>
      </c>
      <c r="AO139" t="str">
        <f>TRIM(MID(SUBSTITUTE($F139, ",", REPT(" ", 100)), (COLUMNS($AH$2:AO139)-1)*100+1, 100))</f>
        <v/>
      </c>
      <c r="AP139" t="str">
        <f>TRIM(MID(SUBSTITUTE($F139, ",", REPT(" ", 100)), (COLUMNS($AH$2:AP139)-1)*100+1, 100))</f>
        <v/>
      </c>
      <c r="AQ139" t="str">
        <f>TRIM(MID(SUBSTITUTE($F139, ",", REPT(" ", 100)), (COLUMNS($AH$2:AQ139)-1)*100+1, 100))</f>
        <v/>
      </c>
      <c r="AR139" t="str">
        <f>TRIM(MID(SUBSTITUTE($F139, ",", REPT(" ", 100)), (COLUMNS($AH$2:AR139)-1)*100+1, 100))</f>
        <v/>
      </c>
      <c r="AS139" t="str">
        <f>TRIM(MID(SUBSTITUTE($F139, ",", REPT(" ", 100)), (COLUMNS($AH$2:AS139)-1)*100+1, 100))</f>
        <v/>
      </c>
      <c r="AT139" t="str">
        <f>TRIM(MID(SUBSTITUTE($F139, ",", REPT(" ", 100)), (COLUMNS($AH$2:AT139)-1)*100+1, 100))</f>
        <v/>
      </c>
      <c r="AU139" t="str">
        <f>TRIM(MID(SUBSTITUTE($F139, ",", REPT(" ", 100)), (COLUMNS($AH$2:AU139)-1)*100+1, 100))</f>
        <v/>
      </c>
      <c r="AV139" t="str">
        <f>TRIM(MID(SUBSTITUTE($F139, ",", REPT(" ", 100)), (COLUMNS($AH$2:AV139)-1)*100+1, 100))</f>
        <v/>
      </c>
      <c r="AW139" t="str">
        <f>TRIM(MID(SUBSTITUTE($F139, ",", REPT(" ", 100)), (COLUMNS($AH$2:AW139)-1)*100+1, 100))</f>
        <v/>
      </c>
      <c r="AX139" t="str">
        <f>TRIM(MID(SUBSTITUTE($F139, ",", REPT(" ", 100)), (COLUMNS($AH$2:AX139)-1)*100+1, 100))</f>
        <v/>
      </c>
      <c r="AY139" t="str">
        <f>TRIM(MID(SUBSTITUTE($F139, ",", REPT(" ", 100)), (COLUMNS($AH$2:AY139)-1)*100+1, 100))</f>
        <v/>
      </c>
      <c r="AZ139" t="str">
        <f>TRIM(MID(SUBSTITUTE($F139, ",", REPT(" ", 100)), (COLUMNS($AH$2:AZ139)-1)*100+1, 100))</f>
        <v/>
      </c>
      <c r="BA139" t="str">
        <f>TRIM(MID(SUBSTITUTE($F139, ",", REPT(" ", 100)), (COLUMNS($AH$2:BA139)-1)*100+1, 100))</f>
        <v/>
      </c>
    </row>
    <row r="140" spans="1:53" x14ac:dyDescent="0.5">
      <c r="A140" s="1">
        <v>45796</v>
      </c>
      <c r="B140" s="2">
        <v>4.5</v>
      </c>
      <c r="C140" s="272"/>
      <c r="D140" s="295"/>
      <c r="E140" s="58">
        <v>0</v>
      </c>
      <c r="F140" s="38" t="s">
        <v>194</v>
      </c>
      <c r="AJ140" t="str">
        <f>TRIM(MID(SUBSTITUTE($F140, ",", REPT(" ", 100)), (COLUMNS($AH$2:AJ140)-1)*100+1, 100))</f>
        <v/>
      </c>
      <c r="AK140" s="1">
        <v>45796</v>
      </c>
      <c r="AL140" s="2">
        <v>4.5</v>
      </c>
      <c r="AM140" s="2">
        <v>4</v>
      </c>
      <c r="AO140" t="str">
        <f>TRIM(MID(SUBSTITUTE($F140, ",", REPT(" ", 100)), (COLUMNS($AH$2:AO140)-1)*100+1, 100))</f>
        <v/>
      </c>
      <c r="AP140" t="str">
        <f>TRIM(MID(SUBSTITUTE($F140, ",", REPT(" ", 100)), (COLUMNS($AH$2:AP140)-1)*100+1, 100))</f>
        <v/>
      </c>
      <c r="AQ140" t="str">
        <f>TRIM(MID(SUBSTITUTE($F140, ",", REPT(" ", 100)), (COLUMNS($AH$2:AQ140)-1)*100+1, 100))</f>
        <v/>
      </c>
      <c r="AR140" t="str">
        <f>TRIM(MID(SUBSTITUTE($F140, ",", REPT(" ", 100)), (COLUMNS($AH$2:AR140)-1)*100+1, 100))</f>
        <v/>
      </c>
      <c r="AS140" t="str">
        <f>TRIM(MID(SUBSTITUTE($F140, ",", REPT(" ", 100)), (COLUMNS($AH$2:AS140)-1)*100+1, 100))</f>
        <v/>
      </c>
      <c r="AT140" t="str">
        <f>TRIM(MID(SUBSTITUTE($F140, ",", REPT(" ", 100)), (COLUMNS($AH$2:AT140)-1)*100+1, 100))</f>
        <v/>
      </c>
      <c r="AU140" t="str">
        <f>TRIM(MID(SUBSTITUTE($F140, ",", REPT(" ", 100)), (COLUMNS($AH$2:AU140)-1)*100+1, 100))</f>
        <v/>
      </c>
      <c r="AV140" t="str">
        <f>TRIM(MID(SUBSTITUTE($F140, ",", REPT(" ", 100)), (COLUMNS($AH$2:AV140)-1)*100+1, 100))</f>
        <v/>
      </c>
      <c r="AW140" t="str">
        <f>TRIM(MID(SUBSTITUTE($F140, ",", REPT(" ", 100)), (COLUMNS($AH$2:AW140)-1)*100+1, 100))</f>
        <v/>
      </c>
      <c r="AX140" t="str">
        <f>TRIM(MID(SUBSTITUTE($F140, ",", REPT(" ", 100)), (COLUMNS($AH$2:AX140)-1)*100+1, 100))</f>
        <v/>
      </c>
      <c r="AY140" t="str">
        <f>TRIM(MID(SUBSTITUTE($F140, ",", REPT(" ", 100)), (COLUMNS($AH$2:AY140)-1)*100+1, 100))</f>
        <v/>
      </c>
      <c r="AZ140" t="str">
        <f>TRIM(MID(SUBSTITUTE($F140, ",", REPT(" ", 100)), (COLUMNS($AH$2:AZ140)-1)*100+1, 100))</f>
        <v/>
      </c>
      <c r="BA140" t="str">
        <f>TRIM(MID(SUBSTITUTE($F140, ",", REPT(" ", 100)), (COLUMNS($AH$2:BA140)-1)*100+1, 100))</f>
        <v/>
      </c>
    </row>
    <row r="141" spans="1:53" x14ac:dyDescent="0.5">
      <c r="A141" s="1">
        <v>45797</v>
      </c>
      <c r="B141" s="2">
        <v>4.5</v>
      </c>
      <c r="C141" s="272"/>
      <c r="D141" s="295"/>
      <c r="E141" s="58">
        <v>0</v>
      </c>
      <c r="F141" s="38" t="s">
        <v>194</v>
      </c>
      <c r="AJ141" t="str">
        <f>TRIM(MID(SUBSTITUTE($F141, ",", REPT(" ", 100)), (COLUMNS($AH$2:AJ141)-1)*100+1, 100))</f>
        <v/>
      </c>
      <c r="AK141" s="1">
        <v>45797</v>
      </c>
      <c r="AL141" s="2">
        <v>4.5</v>
      </c>
      <c r="AM141" s="2">
        <v>4</v>
      </c>
      <c r="AO141" t="str">
        <f>TRIM(MID(SUBSTITUTE($F141, ",", REPT(" ", 100)), (COLUMNS($AH$2:AO141)-1)*100+1, 100))</f>
        <v/>
      </c>
      <c r="AP141" t="str">
        <f>TRIM(MID(SUBSTITUTE($F141, ",", REPT(" ", 100)), (COLUMNS($AH$2:AP141)-1)*100+1, 100))</f>
        <v/>
      </c>
      <c r="AQ141" t="str">
        <f>TRIM(MID(SUBSTITUTE($F141, ",", REPT(" ", 100)), (COLUMNS($AH$2:AQ141)-1)*100+1, 100))</f>
        <v/>
      </c>
      <c r="AR141" t="str">
        <f>TRIM(MID(SUBSTITUTE($F141, ",", REPT(" ", 100)), (COLUMNS($AH$2:AR141)-1)*100+1, 100))</f>
        <v/>
      </c>
      <c r="AS141" t="str">
        <f>TRIM(MID(SUBSTITUTE($F141, ",", REPT(" ", 100)), (COLUMNS($AH$2:AS141)-1)*100+1, 100))</f>
        <v/>
      </c>
      <c r="AT141" t="str">
        <f>TRIM(MID(SUBSTITUTE($F141, ",", REPT(" ", 100)), (COLUMNS($AH$2:AT141)-1)*100+1, 100))</f>
        <v/>
      </c>
      <c r="AU141" t="str">
        <f>TRIM(MID(SUBSTITUTE($F141, ",", REPT(" ", 100)), (COLUMNS($AH$2:AU141)-1)*100+1, 100))</f>
        <v/>
      </c>
      <c r="AV141" t="str">
        <f>TRIM(MID(SUBSTITUTE($F141, ",", REPT(" ", 100)), (COLUMNS($AH$2:AV141)-1)*100+1, 100))</f>
        <v/>
      </c>
      <c r="AW141" t="str">
        <f>TRIM(MID(SUBSTITUTE($F141, ",", REPT(" ", 100)), (COLUMNS($AH$2:AW141)-1)*100+1, 100))</f>
        <v/>
      </c>
      <c r="AX141" t="str">
        <f>TRIM(MID(SUBSTITUTE($F141, ",", REPT(" ", 100)), (COLUMNS($AH$2:AX141)-1)*100+1, 100))</f>
        <v/>
      </c>
      <c r="AY141" t="str">
        <f>TRIM(MID(SUBSTITUTE($F141, ",", REPT(" ", 100)), (COLUMNS($AH$2:AY141)-1)*100+1, 100))</f>
        <v/>
      </c>
      <c r="AZ141" t="str">
        <f>TRIM(MID(SUBSTITUTE($F141, ",", REPT(" ", 100)), (COLUMNS($AH$2:AZ141)-1)*100+1, 100))</f>
        <v/>
      </c>
      <c r="BA141" t="str">
        <f>TRIM(MID(SUBSTITUTE($F141, ",", REPT(" ", 100)), (COLUMNS($AH$2:BA141)-1)*100+1, 100))</f>
        <v/>
      </c>
    </row>
    <row r="142" spans="1:53" x14ac:dyDescent="0.5">
      <c r="A142" s="1">
        <v>45798</v>
      </c>
      <c r="B142" s="2">
        <v>6</v>
      </c>
      <c r="C142" s="272"/>
      <c r="D142" s="295"/>
      <c r="E142" s="58">
        <v>1</v>
      </c>
      <c r="F142" s="38" t="s">
        <v>194</v>
      </c>
      <c r="AJ142" t="str">
        <f>TRIM(MID(SUBSTITUTE($F142, ",", REPT(" ", 100)), (COLUMNS($AH$2:AJ142)-1)*100+1, 100))</f>
        <v/>
      </c>
      <c r="AK142" s="1">
        <v>45798</v>
      </c>
      <c r="AL142" s="2">
        <v>6</v>
      </c>
      <c r="AM142" s="2">
        <v>6</v>
      </c>
      <c r="AO142" t="str">
        <f>TRIM(MID(SUBSTITUTE($F142, ",", REPT(" ", 100)), (COLUMNS($AH$2:AO142)-1)*100+1, 100))</f>
        <v/>
      </c>
      <c r="AP142" t="str">
        <f>TRIM(MID(SUBSTITUTE($F142, ",", REPT(" ", 100)), (COLUMNS($AH$2:AP142)-1)*100+1, 100))</f>
        <v/>
      </c>
      <c r="AQ142" t="str">
        <f>TRIM(MID(SUBSTITUTE($F142, ",", REPT(" ", 100)), (COLUMNS($AH$2:AQ142)-1)*100+1, 100))</f>
        <v/>
      </c>
      <c r="AR142" t="str">
        <f>TRIM(MID(SUBSTITUTE($F142, ",", REPT(" ", 100)), (COLUMNS($AH$2:AR142)-1)*100+1, 100))</f>
        <v/>
      </c>
      <c r="AS142" t="str">
        <f>TRIM(MID(SUBSTITUTE($F142, ",", REPT(" ", 100)), (COLUMNS($AH$2:AS142)-1)*100+1, 100))</f>
        <v/>
      </c>
      <c r="AT142" t="str">
        <f>TRIM(MID(SUBSTITUTE($F142, ",", REPT(" ", 100)), (COLUMNS($AH$2:AT142)-1)*100+1, 100))</f>
        <v/>
      </c>
      <c r="AU142" t="str">
        <f>TRIM(MID(SUBSTITUTE($F142, ",", REPT(" ", 100)), (COLUMNS($AH$2:AU142)-1)*100+1, 100))</f>
        <v/>
      </c>
      <c r="AV142" t="str">
        <f>TRIM(MID(SUBSTITUTE($F142, ",", REPT(" ", 100)), (COLUMNS($AH$2:AV142)-1)*100+1, 100))</f>
        <v/>
      </c>
      <c r="AW142" t="str">
        <f>TRIM(MID(SUBSTITUTE($F142, ",", REPT(" ", 100)), (COLUMNS($AH$2:AW142)-1)*100+1, 100))</f>
        <v/>
      </c>
      <c r="AX142" t="str">
        <f>TRIM(MID(SUBSTITUTE($F142, ",", REPT(" ", 100)), (COLUMNS($AH$2:AX142)-1)*100+1, 100))</f>
        <v/>
      </c>
      <c r="AY142" t="str">
        <f>TRIM(MID(SUBSTITUTE($F142, ",", REPT(" ", 100)), (COLUMNS($AH$2:AY142)-1)*100+1, 100))</f>
        <v/>
      </c>
      <c r="AZ142" t="str">
        <f>TRIM(MID(SUBSTITUTE($F142, ",", REPT(" ", 100)), (COLUMNS($AH$2:AZ142)-1)*100+1, 100))</f>
        <v/>
      </c>
      <c r="BA142" t="str">
        <f>TRIM(MID(SUBSTITUTE($F142, ",", REPT(" ", 100)), (COLUMNS($AH$2:BA142)-1)*100+1, 100))</f>
        <v/>
      </c>
    </row>
    <row r="143" spans="1:53" x14ac:dyDescent="0.5">
      <c r="A143" s="1">
        <v>45799</v>
      </c>
      <c r="B143" s="2">
        <v>7</v>
      </c>
      <c r="C143" s="272"/>
      <c r="D143" s="295"/>
      <c r="E143" s="58">
        <v>1</v>
      </c>
      <c r="F143" s="38" t="s">
        <v>194</v>
      </c>
      <c r="AJ143" t="str">
        <f>TRIM(MID(SUBSTITUTE($F143, ",", REPT(" ", 100)), (COLUMNS($AH$2:AJ143)-1)*100+1, 100))</f>
        <v/>
      </c>
      <c r="AK143" s="1">
        <v>45799</v>
      </c>
      <c r="AL143" s="2">
        <v>7</v>
      </c>
      <c r="AM143" s="2">
        <v>6</v>
      </c>
      <c r="AO143" t="str">
        <f>TRIM(MID(SUBSTITUTE($F143, ",", REPT(" ", 100)), (COLUMNS($AH$2:AO143)-1)*100+1, 100))</f>
        <v/>
      </c>
      <c r="AP143" t="str">
        <f>TRIM(MID(SUBSTITUTE($F143, ",", REPT(" ", 100)), (COLUMNS($AH$2:AP143)-1)*100+1, 100))</f>
        <v/>
      </c>
      <c r="AQ143" t="str">
        <f>TRIM(MID(SUBSTITUTE($F143, ",", REPT(" ", 100)), (COLUMNS($AH$2:AQ143)-1)*100+1, 100))</f>
        <v/>
      </c>
      <c r="AR143" t="str">
        <f>TRIM(MID(SUBSTITUTE($F143, ",", REPT(" ", 100)), (COLUMNS($AH$2:AR143)-1)*100+1, 100))</f>
        <v/>
      </c>
      <c r="AS143" t="str">
        <f>TRIM(MID(SUBSTITUTE($F143, ",", REPT(" ", 100)), (COLUMNS($AH$2:AS143)-1)*100+1, 100))</f>
        <v/>
      </c>
      <c r="AT143" t="str">
        <f>TRIM(MID(SUBSTITUTE($F143, ",", REPT(" ", 100)), (COLUMNS($AH$2:AT143)-1)*100+1, 100))</f>
        <v/>
      </c>
      <c r="AU143" t="str">
        <f>TRIM(MID(SUBSTITUTE($F143, ",", REPT(" ", 100)), (COLUMNS($AH$2:AU143)-1)*100+1, 100))</f>
        <v/>
      </c>
      <c r="AV143" t="str">
        <f>TRIM(MID(SUBSTITUTE($F143, ",", REPT(" ", 100)), (COLUMNS($AH$2:AV143)-1)*100+1, 100))</f>
        <v/>
      </c>
      <c r="AW143" t="str">
        <f>TRIM(MID(SUBSTITUTE($F143, ",", REPT(" ", 100)), (COLUMNS($AH$2:AW143)-1)*100+1, 100))</f>
        <v/>
      </c>
      <c r="AX143" t="str">
        <f>TRIM(MID(SUBSTITUTE($F143, ",", REPT(" ", 100)), (COLUMNS($AH$2:AX143)-1)*100+1, 100))</f>
        <v/>
      </c>
      <c r="AY143" t="str">
        <f>TRIM(MID(SUBSTITUTE($F143, ",", REPT(" ", 100)), (COLUMNS($AH$2:AY143)-1)*100+1, 100))</f>
        <v/>
      </c>
      <c r="AZ143" t="str">
        <f>TRIM(MID(SUBSTITUTE($F143, ",", REPT(" ", 100)), (COLUMNS($AH$2:AZ143)-1)*100+1, 100))</f>
        <v/>
      </c>
      <c r="BA143" t="str">
        <f>TRIM(MID(SUBSTITUTE($F143, ",", REPT(" ", 100)), (COLUMNS($AH$2:BA143)-1)*100+1, 100))</f>
        <v/>
      </c>
    </row>
    <row r="144" spans="1:53" x14ac:dyDescent="0.5">
      <c r="A144" s="1">
        <v>45800</v>
      </c>
      <c r="B144" s="2">
        <v>5</v>
      </c>
      <c r="C144" s="272"/>
      <c r="D144" s="295"/>
      <c r="E144" s="58">
        <v>1</v>
      </c>
      <c r="F144" s="38" t="s">
        <v>194</v>
      </c>
      <c r="AJ144" t="str">
        <f>TRIM(MID(SUBSTITUTE($F144, ",", REPT(" ", 100)), (COLUMNS($AH$2:AJ144)-1)*100+1, 100))</f>
        <v/>
      </c>
      <c r="AK144" s="1">
        <v>45800</v>
      </c>
      <c r="AL144" s="2">
        <v>5</v>
      </c>
      <c r="AM144" s="2">
        <v>8</v>
      </c>
      <c r="AO144" t="str">
        <f>TRIM(MID(SUBSTITUTE($F144, ",", REPT(" ", 100)), (COLUMNS($AH$2:AO144)-1)*100+1, 100))</f>
        <v/>
      </c>
      <c r="AP144" t="str">
        <f>TRIM(MID(SUBSTITUTE($F144, ",", REPT(" ", 100)), (COLUMNS($AH$2:AP144)-1)*100+1, 100))</f>
        <v/>
      </c>
      <c r="AQ144" t="str">
        <f>TRIM(MID(SUBSTITUTE($F144, ",", REPT(" ", 100)), (COLUMNS($AH$2:AQ144)-1)*100+1, 100))</f>
        <v/>
      </c>
      <c r="AR144" t="str">
        <f>TRIM(MID(SUBSTITUTE($F144, ",", REPT(" ", 100)), (COLUMNS($AH$2:AR144)-1)*100+1, 100))</f>
        <v/>
      </c>
      <c r="AS144" t="str">
        <f>TRIM(MID(SUBSTITUTE($F144, ",", REPT(" ", 100)), (COLUMNS($AH$2:AS144)-1)*100+1, 100))</f>
        <v/>
      </c>
      <c r="AT144" t="str">
        <f>TRIM(MID(SUBSTITUTE($F144, ",", REPT(" ", 100)), (COLUMNS($AH$2:AT144)-1)*100+1, 100))</f>
        <v/>
      </c>
      <c r="AU144" t="str">
        <f>TRIM(MID(SUBSTITUTE($F144, ",", REPT(" ", 100)), (COLUMNS($AH$2:AU144)-1)*100+1, 100))</f>
        <v/>
      </c>
      <c r="AV144" t="str">
        <f>TRIM(MID(SUBSTITUTE($F144, ",", REPT(" ", 100)), (COLUMNS($AH$2:AV144)-1)*100+1, 100))</f>
        <v/>
      </c>
      <c r="AW144" t="str">
        <f>TRIM(MID(SUBSTITUTE($F144, ",", REPT(" ", 100)), (COLUMNS($AH$2:AW144)-1)*100+1, 100))</f>
        <v/>
      </c>
      <c r="AX144" t="str">
        <f>TRIM(MID(SUBSTITUTE($F144, ",", REPT(" ", 100)), (COLUMNS($AH$2:AX144)-1)*100+1, 100))</f>
        <v/>
      </c>
      <c r="AY144" t="str">
        <f>TRIM(MID(SUBSTITUTE($F144, ",", REPT(" ", 100)), (COLUMNS($AH$2:AY144)-1)*100+1, 100))</f>
        <v/>
      </c>
      <c r="AZ144" t="str">
        <f>TRIM(MID(SUBSTITUTE($F144, ",", REPT(" ", 100)), (COLUMNS($AH$2:AZ144)-1)*100+1, 100))</f>
        <v/>
      </c>
      <c r="BA144" t="str">
        <f>TRIM(MID(SUBSTITUTE($F144, ",", REPT(" ", 100)), (COLUMNS($AH$2:BA144)-1)*100+1, 100))</f>
        <v/>
      </c>
    </row>
    <row r="145" spans="1:53" x14ac:dyDescent="0.5">
      <c r="A145" s="1">
        <v>45801</v>
      </c>
      <c r="B145" s="2">
        <v>7</v>
      </c>
      <c r="C145" s="272"/>
      <c r="D145" s="295"/>
      <c r="E145" s="58">
        <v>0</v>
      </c>
      <c r="F145" s="38" t="s">
        <v>194</v>
      </c>
      <c r="AJ145" t="str">
        <f>TRIM(MID(SUBSTITUTE($F145, ",", REPT(" ", 100)), (COLUMNS($AH$2:AJ145)-1)*100+1, 100))</f>
        <v/>
      </c>
      <c r="AK145" s="1">
        <v>45801</v>
      </c>
      <c r="AL145" s="2">
        <v>7</v>
      </c>
      <c r="AM145" s="2">
        <v>8</v>
      </c>
      <c r="AO145" t="str">
        <f>TRIM(MID(SUBSTITUTE($F145, ",", REPT(" ", 100)), (COLUMNS($AH$2:AO145)-1)*100+1, 100))</f>
        <v/>
      </c>
      <c r="AP145" t="str">
        <f>TRIM(MID(SUBSTITUTE($F145, ",", REPT(" ", 100)), (COLUMNS($AH$2:AP145)-1)*100+1, 100))</f>
        <v/>
      </c>
      <c r="AQ145" t="str">
        <f>TRIM(MID(SUBSTITUTE($F145, ",", REPT(" ", 100)), (COLUMNS($AH$2:AQ145)-1)*100+1, 100))</f>
        <v/>
      </c>
      <c r="AR145" t="str">
        <f>TRIM(MID(SUBSTITUTE($F145, ",", REPT(" ", 100)), (COLUMNS($AH$2:AR145)-1)*100+1, 100))</f>
        <v/>
      </c>
      <c r="AS145" t="str">
        <f>TRIM(MID(SUBSTITUTE($F145, ",", REPT(" ", 100)), (COLUMNS($AH$2:AS145)-1)*100+1, 100))</f>
        <v/>
      </c>
      <c r="AT145" t="str">
        <f>TRIM(MID(SUBSTITUTE($F145, ",", REPT(" ", 100)), (COLUMNS($AH$2:AT145)-1)*100+1, 100))</f>
        <v/>
      </c>
      <c r="AU145" t="str">
        <f>TRIM(MID(SUBSTITUTE($F145, ",", REPT(" ", 100)), (COLUMNS($AH$2:AU145)-1)*100+1, 100))</f>
        <v/>
      </c>
      <c r="AV145" t="str">
        <f>TRIM(MID(SUBSTITUTE($F145, ",", REPT(" ", 100)), (COLUMNS($AH$2:AV145)-1)*100+1, 100))</f>
        <v/>
      </c>
      <c r="AW145" t="str">
        <f>TRIM(MID(SUBSTITUTE($F145, ",", REPT(" ", 100)), (COLUMNS($AH$2:AW145)-1)*100+1, 100))</f>
        <v/>
      </c>
      <c r="AX145" t="str">
        <f>TRIM(MID(SUBSTITUTE($F145, ",", REPT(" ", 100)), (COLUMNS($AH$2:AX145)-1)*100+1, 100))</f>
        <v/>
      </c>
      <c r="AY145" t="str">
        <f>TRIM(MID(SUBSTITUTE($F145, ",", REPT(" ", 100)), (COLUMNS($AH$2:AY145)-1)*100+1, 100))</f>
        <v/>
      </c>
      <c r="AZ145" t="str">
        <f>TRIM(MID(SUBSTITUTE($F145, ",", REPT(" ", 100)), (COLUMNS($AH$2:AZ145)-1)*100+1, 100))</f>
        <v/>
      </c>
      <c r="BA145" t="str">
        <f>TRIM(MID(SUBSTITUTE($F145, ",", REPT(" ", 100)), (COLUMNS($AH$2:BA145)-1)*100+1, 100))</f>
        <v/>
      </c>
    </row>
    <row r="146" spans="1:53" x14ac:dyDescent="0.5">
      <c r="A146" s="1">
        <v>45802</v>
      </c>
      <c r="B146" s="2">
        <v>7</v>
      </c>
      <c r="C146" s="272"/>
      <c r="D146" s="295"/>
      <c r="E146" s="58">
        <v>0</v>
      </c>
      <c r="F146" s="38" t="s">
        <v>194</v>
      </c>
      <c r="AJ146" t="str">
        <f>TRIM(MID(SUBSTITUTE($F146, ",", REPT(" ", 100)), (COLUMNS($AH$2:AJ146)-1)*100+1, 100))</f>
        <v/>
      </c>
      <c r="AK146" s="1">
        <v>45802</v>
      </c>
      <c r="AL146" s="2">
        <v>7</v>
      </c>
      <c r="AM146" s="2">
        <v>8</v>
      </c>
      <c r="AO146" t="str">
        <f>TRIM(MID(SUBSTITUTE($F146, ",", REPT(" ", 100)), (COLUMNS($AH$2:AO146)-1)*100+1, 100))</f>
        <v/>
      </c>
      <c r="AP146" t="str">
        <f>TRIM(MID(SUBSTITUTE($F146, ",", REPT(" ", 100)), (COLUMNS($AH$2:AP146)-1)*100+1, 100))</f>
        <v/>
      </c>
      <c r="AQ146" t="str">
        <f>TRIM(MID(SUBSTITUTE($F146, ",", REPT(" ", 100)), (COLUMNS($AH$2:AQ146)-1)*100+1, 100))</f>
        <v/>
      </c>
      <c r="AR146" t="str">
        <f>TRIM(MID(SUBSTITUTE($F146, ",", REPT(" ", 100)), (COLUMNS($AH$2:AR146)-1)*100+1, 100))</f>
        <v/>
      </c>
      <c r="AS146" t="str">
        <f>TRIM(MID(SUBSTITUTE($F146, ",", REPT(" ", 100)), (COLUMNS($AH$2:AS146)-1)*100+1, 100))</f>
        <v/>
      </c>
      <c r="AT146" t="str">
        <f>TRIM(MID(SUBSTITUTE($F146, ",", REPT(" ", 100)), (COLUMNS($AH$2:AT146)-1)*100+1, 100))</f>
        <v/>
      </c>
      <c r="AU146" t="str">
        <f>TRIM(MID(SUBSTITUTE($F146, ",", REPT(" ", 100)), (COLUMNS($AH$2:AU146)-1)*100+1, 100))</f>
        <v/>
      </c>
      <c r="AV146" t="str">
        <f>TRIM(MID(SUBSTITUTE($F146, ",", REPT(" ", 100)), (COLUMNS($AH$2:AV146)-1)*100+1, 100))</f>
        <v/>
      </c>
      <c r="AW146" t="str">
        <f>TRIM(MID(SUBSTITUTE($F146, ",", REPT(" ", 100)), (COLUMNS($AH$2:AW146)-1)*100+1, 100))</f>
        <v/>
      </c>
      <c r="AX146" t="str">
        <f>TRIM(MID(SUBSTITUTE($F146, ",", REPT(" ", 100)), (COLUMNS($AH$2:AX146)-1)*100+1, 100))</f>
        <v/>
      </c>
      <c r="AY146" t="str">
        <f>TRIM(MID(SUBSTITUTE($F146, ",", REPT(" ", 100)), (COLUMNS($AH$2:AY146)-1)*100+1, 100))</f>
        <v/>
      </c>
      <c r="AZ146" t="str">
        <f>TRIM(MID(SUBSTITUTE($F146, ",", REPT(" ", 100)), (COLUMNS($AH$2:AZ146)-1)*100+1, 100))</f>
        <v/>
      </c>
      <c r="BA146" t="str">
        <f>TRIM(MID(SUBSTITUTE($F146, ",", REPT(" ", 100)), (COLUMNS($AH$2:BA146)-1)*100+1, 100))</f>
        <v/>
      </c>
    </row>
    <row r="147" spans="1:53" x14ac:dyDescent="0.5">
      <c r="A147" s="1">
        <v>45803</v>
      </c>
      <c r="B147" s="2">
        <v>6.5</v>
      </c>
      <c r="C147" s="272"/>
      <c r="D147" s="295"/>
      <c r="E147" s="58">
        <v>1</v>
      </c>
      <c r="F147" s="38" t="s">
        <v>194</v>
      </c>
      <c r="AJ147" t="str">
        <f>TRIM(MID(SUBSTITUTE($F147, ",", REPT(" ", 100)), (COLUMNS($AH$2:AJ147)-1)*100+1, 100))</f>
        <v/>
      </c>
      <c r="AK147" s="1">
        <v>45803</v>
      </c>
      <c r="AL147" s="2">
        <v>6.5</v>
      </c>
      <c r="AM147" s="2">
        <v>6</v>
      </c>
      <c r="AO147" t="str">
        <f>TRIM(MID(SUBSTITUTE($F147, ",", REPT(" ", 100)), (COLUMNS($AH$2:AO147)-1)*100+1, 100))</f>
        <v/>
      </c>
      <c r="AP147" t="str">
        <f>TRIM(MID(SUBSTITUTE($F147, ",", REPT(" ", 100)), (COLUMNS($AH$2:AP147)-1)*100+1, 100))</f>
        <v/>
      </c>
      <c r="AQ147" t="str">
        <f>TRIM(MID(SUBSTITUTE($F147, ",", REPT(" ", 100)), (COLUMNS($AH$2:AQ147)-1)*100+1, 100))</f>
        <v/>
      </c>
      <c r="AR147" t="str">
        <f>TRIM(MID(SUBSTITUTE($F147, ",", REPT(" ", 100)), (COLUMNS($AH$2:AR147)-1)*100+1, 100))</f>
        <v/>
      </c>
      <c r="AS147" t="str">
        <f>TRIM(MID(SUBSTITUTE($F147, ",", REPT(" ", 100)), (COLUMNS($AH$2:AS147)-1)*100+1, 100))</f>
        <v/>
      </c>
      <c r="AT147" t="str">
        <f>TRIM(MID(SUBSTITUTE($F147, ",", REPT(" ", 100)), (COLUMNS($AH$2:AT147)-1)*100+1, 100))</f>
        <v/>
      </c>
      <c r="AU147" t="str">
        <f>TRIM(MID(SUBSTITUTE($F147, ",", REPT(" ", 100)), (COLUMNS($AH$2:AU147)-1)*100+1, 100))</f>
        <v/>
      </c>
      <c r="AV147" t="str">
        <f>TRIM(MID(SUBSTITUTE($F147, ",", REPT(" ", 100)), (COLUMNS($AH$2:AV147)-1)*100+1, 100))</f>
        <v/>
      </c>
      <c r="AW147" t="str">
        <f>TRIM(MID(SUBSTITUTE($F147, ",", REPT(" ", 100)), (COLUMNS($AH$2:AW147)-1)*100+1, 100))</f>
        <v/>
      </c>
      <c r="AX147" t="str">
        <f>TRIM(MID(SUBSTITUTE($F147, ",", REPT(" ", 100)), (COLUMNS($AH$2:AX147)-1)*100+1, 100))</f>
        <v/>
      </c>
      <c r="AY147" t="str">
        <f>TRIM(MID(SUBSTITUTE($F147, ",", REPT(" ", 100)), (COLUMNS($AH$2:AY147)-1)*100+1, 100))</f>
        <v/>
      </c>
      <c r="AZ147" t="str">
        <f>TRIM(MID(SUBSTITUTE($F147, ",", REPT(" ", 100)), (COLUMNS($AH$2:AZ147)-1)*100+1, 100))</f>
        <v/>
      </c>
      <c r="BA147" t="str">
        <f>TRIM(MID(SUBSTITUTE($F147, ",", REPT(" ", 100)), (COLUMNS($AH$2:BA147)-1)*100+1, 100))</f>
        <v/>
      </c>
    </row>
    <row r="148" spans="1:53" x14ac:dyDescent="0.5">
      <c r="A148" s="1">
        <v>45804</v>
      </c>
      <c r="B148" s="2">
        <v>5.5</v>
      </c>
      <c r="C148" s="272"/>
      <c r="D148" s="295"/>
      <c r="E148" s="58">
        <v>1</v>
      </c>
      <c r="F148" s="38" t="s">
        <v>194</v>
      </c>
      <c r="AJ148" t="str">
        <f>TRIM(MID(SUBSTITUTE($F148, ",", REPT(" ", 100)), (COLUMNS($AH$2:AJ148)-1)*100+1, 100))</f>
        <v/>
      </c>
      <c r="AK148" s="1">
        <v>45804</v>
      </c>
      <c r="AL148" s="2">
        <v>5.5</v>
      </c>
      <c r="AM148" s="2">
        <v>4</v>
      </c>
      <c r="AO148" t="str">
        <f>TRIM(MID(SUBSTITUTE($F148, ",", REPT(" ", 100)), (COLUMNS($AH$2:AO148)-1)*100+1, 100))</f>
        <v/>
      </c>
      <c r="AP148" t="str">
        <f>TRIM(MID(SUBSTITUTE($F148, ",", REPT(" ", 100)), (COLUMNS($AH$2:AP148)-1)*100+1, 100))</f>
        <v/>
      </c>
      <c r="AQ148" t="str">
        <f>TRIM(MID(SUBSTITUTE($F148, ",", REPT(" ", 100)), (COLUMNS($AH$2:AQ148)-1)*100+1, 100))</f>
        <v/>
      </c>
      <c r="AR148" t="str">
        <f>TRIM(MID(SUBSTITUTE($F148, ",", REPT(" ", 100)), (COLUMNS($AH$2:AR148)-1)*100+1, 100))</f>
        <v/>
      </c>
      <c r="AS148" t="str">
        <f>TRIM(MID(SUBSTITUTE($F148, ",", REPT(" ", 100)), (COLUMNS($AH$2:AS148)-1)*100+1, 100))</f>
        <v/>
      </c>
      <c r="AT148" t="str">
        <f>TRIM(MID(SUBSTITUTE($F148, ",", REPT(" ", 100)), (COLUMNS($AH$2:AT148)-1)*100+1, 100))</f>
        <v/>
      </c>
      <c r="AU148" t="str">
        <f>TRIM(MID(SUBSTITUTE($F148, ",", REPT(" ", 100)), (COLUMNS($AH$2:AU148)-1)*100+1, 100))</f>
        <v/>
      </c>
      <c r="AV148" t="str">
        <f>TRIM(MID(SUBSTITUTE($F148, ",", REPT(" ", 100)), (COLUMNS($AH$2:AV148)-1)*100+1, 100))</f>
        <v/>
      </c>
      <c r="AW148" t="str">
        <f>TRIM(MID(SUBSTITUTE($F148, ",", REPT(" ", 100)), (COLUMNS($AH$2:AW148)-1)*100+1, 100))</f>
        <v/>
      </c>
      <c r="AX148" t="str">
        <f>TRIM(MID(SUBSTITUTE($F148, ",", REPT(" ", 100)), (COLUMNS($AH$2:AX148)-1)*100+1, 100))</f>
        <v/>
      </c>
      <c r="AY148" t="str">
        <f>TRIM(MID(SUBSTITUTE($F148, ",", REPT(" ", 100)), (COLUMNS($AH$2:AY148)-1)*100+1, 100))</f>
        <v/>
      </c>
      <c r="AZ148" t="str">
        <f>TRIM(MID(SUBSTITUTE($F148, ",", REPT(" ", 100)), (COLUMNS($AH$2:AZ148)-1)*100+1, 100))</f>
        <v/>
      </c>
      <c r="BA148" t="str">
        <f>TRIM(MID(SUBSTITUTE($F148, ",", REPT(" ", 100)), (COLUMNS($AH$2:BA148)-1)*100+1, 100))</f>
        <v/>
      </c>
    </row>
    <row r="149" spans="1:53" x14ac:dyDescent="0.5">
      <c r="A149" s="1">
        <v>45805</v>
      </c>
      <c r="B149" s="2">
        <v>5</v>
      </c>
      <c r="C149" s="272"/>
      <c r="D149" s="295"/>
      <c r="E149" s="58">
        <v>1</v>
      </c>
      <c r="F149" s="38" t="s">
        <v>194</v>
      </c>
      <c r="AJ149" t="str">
        <f>TRIM(MID(SUBSTITUTE($F149, ",", REPT(" ", 100)), (COLUMNS($AH$2:AJ149)-1)*100+1, 100))</f>
        <v/>
      </c>
      <c r="AK149" s="1">
        <v>45805</v>
      </c>
      <c r="AL149" s="2">
        <v>5</v>
      </c>
      <c r="AM149" s="2">
        <v>6</v>
      </c>
      <c r="AO149" t="str">
        <f>TRIM(MID(SUBSTITUTE($F149, ",", REPT(" ", 100)), (COLUMNS($AH$2:AO149)-1)*100+1, 100))</f>
        <v/>
      </c>
      <c r="AP149" t="str">
        <f>TRIM(MID(SUBSTITUTE($F149, ",", REPT(" ", 100)), (COLUMNS($AH$2:AP149)-1)*100+1, 100))</f>
        <v/>
      </c>
      <c r="AQ149" t="str">
        <f>TRIM(MID(SUBSTITUTE($F149, ",", REPT(" ", 100)), (COLUMNS($AH$2:AQ149)-1)*100+1, 100))</f>
        <v/>
      </c>
      <c r="AR149" t="str">
        <f>TRIM(MID(SUBSTITUTE($F149, ",", REPT(" ", 100)), (COLUMNS($AH$2:AR149)-1)*100+1, 100))</f>
        <v/>
      </c>
      <c r="AS149" t="str">
        <f>TRIM(MID(SUBSTITUTE($F149, ",", REPT(" ", 100)), (COLUMNS($AH$2:AS149)-1)*100+1, 100))</f>
        <v/>
      </c>
      <c r="AT149" t="str">
        <f>TRIM(MID(SUBSTITUTE($F149, ",", REPT(" ", 100)), (COLUMNS($AH$2:AT149)-1)*100+1, 100))</f>
        <v/>
      </c>
      <c r="AU149" t="str">
        <f>TRIM(MID(SUBSTITUTE($F149, ",", REPT(" ", 100)), (COLUMNS($AH$2:AU149)-1)*100+1, 100))</f>
        <v/>
      </c>
      <c r="AV149" t="str">
        <f>TRIM(MID(SUBSTITUTE($F149, ",", REPT(" ", 100)), (COLUMNS($AH$2:AV149)-1)*100+1, 100))</f>
        <v/>
      </c>
      <c r="AW149" t="str">
        <f>TRIM(MID(SUBSTITUTE($F149, ",", REPT(" ", 100)), (COLUMNS($AH$2:AW149)-1)*100+1, 100))</f>
        <v/>
      </c>
      <c r="AX149" t="str">
        <f>TRIM(MID(SUBSTITUTE($F149, ",", REPT(" ", 100)), (COLUMNS($AH$2:AX149)-1)*100+1, 100))</f>
        <v/>
      </c>
      <c r="AY149" t="str">
        <f>TRIM(MID(SUBSTITUTE($F149, ",", REPT(" ", 100)), (COLUMNS($AH$2:AY149)-1)*100+1, 100))</f>
        <v/>
      </c>
      <c r="AZ149" t="str">
        <f>TRIM(MID(SUBSTITUTE($F149, ",", REPT(" ", 100)), (COLUMNS($AH$2:AZ149)-1)*100+1, 100))</f>
        <v/>
      </c>
      <c r="BA149" t="str">
        <f>TRIM(MID(SUBSTITUTE($F149, ",", REPT(" ", 100)), (COLUMNS($AH$2:BA149)-1)*100+1, 100))</f>
        <v/>
      </c>
    </row>
    <row r="150" spans="1:53" x14ac:dyDescent="0.5">
      <c r="A150" s="1">
        <v>45806</v>
      </c>
      <c r="B150" s="2">
        <v>5</v>
      </c>
      <c r="C150" s="272"/>
      <c r="D150" s="295"/>
      <c r="E150" s="58">
        <v>1</v>
      </c>
      <c r="F150" s="38" t="s">
        <v>194</v>
      </c>
      <c r="AJ150" t="str">
        <f>TRIM(MID(SUBSTITUTE($F150, ",", REPT(" ", 100)), (COLUMNS($AH$2:AJ150)-1)*100+1, 100))</f>
        <v/>
      </c>
      <c r="AK150" s="1">
        <v>45806</v>
      </c>
      <c r="AL150" s="2">
        <v>5</v>
      </c>
      <c r="AM150" s="2">
        <v>6</v>
      </c>
      <c r="AO150" t="str">
        <f>TRIM(MID(SUBSTITUTE($F150, ",", REPT(" ", 100)), (COLUMNS($AH$2:AO150)-1)*100+1, 100))</f>
        <v/>
      </c>
      <c r="AP150" t="str">
        <f>TRIM(MID(SUBSTITUTE($F150, ",", REPT(" ", 100)), (COLUMNS($AH$2:AP150)-1)*100+1, 100))</f>
        <v/>
      </c>
      <c r="AQ150" t="str">
        <f>TRIM(MID(SUBSTITUTE($F150, ",", REPT(" ", 100)), (COLUMNS($AH$2:AQ150)-1)*100+1, 100))</f>
        <v/>
      </c>
      <c r="AR150" t="str">
        <f>TRIM(MID(SUBSTITUTE($F150, ",", REPT(" ", 100)), (COLUMNS($AH$2:AR150)-1)*100+1, 100))</f>
        <v/>
      </c>
      <c r="AS150" t="str">
        <f>TRIM(MID(SUBSTITUTE($F150, ",", REPT(" ", 100)), (COLUMNS($AH$2:AS150)-1)*100+1, 100))</f>
        <v/>
      </c>
      <c r="AT150" t="str">
        <f>TRIM(MID(SUBSTITUTE($F150, ",", REPT(" ", 100)), (COLUMNS($AH$2:AT150)-1)*100+1, 100))</f>
        <v/>
      </c>
      <c r="AU150" t="str">
        <f>TRIM(MID(SUBSTITUTE($F150, ",", REPT(" ", 100)), (COLUMNS($AH$2:AU150)-1)*100+1, 100))</f>
        <v/>
      </c>
      <c r="AV150" t="str">
        <f>TRIM(MID(SUBSTITUTE($F150, ",", REPT(" ", 100)), (COLUMNS($AH$2:AV150)-1)*100+1, 100))</f>
        <v/>
      </c>
      <c r="AW150" t="str">
        <f>TRIM(MID(SUBSTITUTE($F150, ",", REPT(" ", 100)), (COLUMNS($AH$2:AW150)-1)*100+1, 100))</f>
        <v/>
      </c>
      <c r="AX150" t="str">
        <f>TRIM(MID(SUBSTITUTE($F150, ",", REPT(" ", 100)), (COLUMNS($AH$2:AX150)-1)*100+1, 100))</f>
        <v/>
      </c>
      <c r="AY150" t="str">
        <f>TRIM(MID(SUBSTITUTE($F150, ",", REPT(" ", 100)), (COLUMNS($AH$2:AY150)-1)*100+1, 100))</f>
        <v/>
      </c>
      <c r="AZ150" t="str">
        <f>TRIM(MID(SUBSTITUTE($F150, ",", REPT(" ", 100)), (COLUMNS($AH$2:AZ150)-1)*100+1, 100))</f>
        <v/>
      </c>
      <c r="BA150" t="str">
        <f>TRIM(MID(SUBSTITUTE($F150, ",", REPT(" ", 100)), (COLUMNS($AH$2:BA150)-1)*100+1, 100))</f>
        <v/>
      </c>
    </row>
    <row r="151" spans="1:53" x14ac:dyDescent="0.5">
      <c r="A151" s="1">
        <v>45807</v>
      </c>
      <c r="B151" s="2">
        <v>3.5</v>
      </c>
      <c r="C151" s="272"/>
      <c r="D151" s="295"/>
      <c r="E151" s="58">
        <v>1</v>
      </c>
      <c r="F151" s="38" t="s">
        <v>194</v>
      </c>
      <c r="AJ151" t="str">
        <f>TRIM(MID(SUBSTITUTE($F151, ",", REPT(" ", 100)), (COLUMNS($AH$2:AJ151)-1)*100+1, 100))</f>
        <v/>
      </c>
      <c r="AK151" s="1">
        <v>45807</v>
      </c>
      <c r="AL151" s="2">
        <v>3.5</v>
      </c>
      <c r="AM151" s="2">
        <v>6</v>
      </c>
      <c r="AO151" t="str">
        <f>TRIM(MID(SUBSTITUTE($F151, ",", REPT(" ", 100)), (COLUMNS($AH$2:AO151)-1)*100+1, 100))</f>
        <v/>
      </c>
      <c r="AP151" t="str">
        <f>TRIM(MID(SUBSTITUTE($F151, ",", REPT(" ", 100)), (COLUMNS($AH$2:AP151)-1)*100+1, 100))</f>
        <v/>
      </c>
      <c r="AQ151" t="str">
        <f>TRIM(MID(SUBSTITUTE($F151, ",", REPT(" ", 100)), (COLUMNS($AH$2:AQ151)-1)*100+1, 100))</f>
        <v/>
      </c>
      <c r="AR151" t="str">
        <f>TRIM(MID(SUBSTITUTE($F151, ",", REPT(" ", 100)), (COLUMNS($AH$2:AR151)-1)*100+1, 100))</f>
        <v/>
      </c>
      <c r="AS151" t="str">
        <f>TRIM(MID(SUBSTITUTE($F151, ",", REPT(" ", 100)), (COLUMNS($AH$2:AS151)-1)*100+1, 100))</f>
        <v/>
      </c>
      <c r="AT151" t="str">
        <f>TRIM(MID(SUBSTITUTE($F151, ",", REPT(" ", 100)), (COLUMNS($AH$2:AT151)-1)*100+1, 100))</f>
        <v/>
      </c>
      <c r="AU151" t="str">
        <f>TRIM(MID(SUBSTITUTE($F151, ",", REPT(" ", 100)), (COLUMNS($AH$2:AU151)-1)*100+1, 100))</f>
        <v/>
      </c>
      <c r="AV151" t="str">
        <f>TRIM(MID(SUBSTITUTE($F151, ",", REPT(" ", 100)), (COLUMNS($AH$2:AV151)-1)*100+1, 100))</f>
        <v/>
      </c>
      <c r="AW151" t="str">
        <f>TRIM(MID(SUBSTITUTE($F151, ",", REPT(" ", 100)), (COLUMNS($AH$2:AW151)-1)*100+1, 100))</f>
        <v/>
      </c>
      <c r="AX151" t="str">
        <f>TRIM(MID(SUBSTITUTE($F151, ",", REPT(" ", 100)), (COLUMNS($AH$2:AX151)-1)*100+1, 100))</f>
        <v/>
      </c>
      <c r="AY151" t="str">
        <f>TRIM(MID(SUBSTITUTE($F151, ",", REPT(" ", 100)), (COLUMNS($AH$2:AY151)-1)*100+1, 100))</f>
        <v/>
      </c>
      <c r="AZ151" t="str">
        <f>TRIM(MID(SUBSTITUTE($F151, ",", REPT(" ", 100)), (COLUMNS($AH$2:AZ151)-1)*100+1, 100))</f>
        <v/>
      </c>
      <c r="BA151" t="str">
        <f>TRIM(MID(SUBSTITUTE($F151, ",", REPT(" ", 100)), (COLUMNS($AH$2:BA151)-1)*100+1, 100))</f>
        <v/>
      </c>
    </row>
    <row r="152" spans="1:53" x14ac:dyDescent="0.5">
      <c r="A152" s="1">
        <v>45808</v>
      </c>
      <c r="B152" s="2">
        <v>4</v>
      </c>
      <c r="C152" s="272"/>
      <c r="D152" s="295"/>
      <c r="E152" s="58">
        <v>1</v>
      </c>
      <c r="F152" s="38" t="s">
        <v>194</v>
      </c>
      <c r="AJ152" t="str">
        <f>TRIM(MID(SUBSTITUTE($F152, ",", REPT(" ", 100)), (COLUMNS($AH$2:AJ152)-1)*100+1, 100))</f>
        <v/>
      </c>
      <c r="AK152" s="1">
        <v>45808</v>
      </c>
      <c r="AL152" s="2">
        <v>4</v>
      </c>
      <c r="AM152" s="2">
        <v>6</v>
      </c>
      <c r="AO152" t="str">
        <f>TRIM(MID(SUBSTITUTE($F152, ",", REPT(" ", 100)), (COLUMNS($AH$2:AO152)-1)*100+1, 100))</f>
        <v/>
      </c>
      <c r="AP152" t="str">
        <f>TRIM(MID(SUBSTITUTE($F152, ",", REPT(" ", 100)), (COLUMNS($AH$2:AP152)-1)*100+1, 100))</f>
        <v/>
      </c>
      <c r="AQ152" t="str">
        <f>TRIM(MID(SUBSTITUTE($F152, ",", REPT(" ", 100)), (COLUMNS($AH$2:AQ152)-1)*100+1, 100))</f>
        <v/>
      </c>
      <c r="AR152" t="str">
        <f>TRIM(MID(SUBSTITUTE($F152, ",", REPT(" ", 100)), (COLUMNS($AH$2:AR152)-1)*100+1, 100))</f>
        <v/>
      </c>
      <c r="AS152" t="str">
        <f>TRIM(MID(SUBSTITUTE($F152, ",", REPT(" ", 100)), (COLUMNS($AH$2:AS152)-1)*100+1, 100))</f>
        <v/>
      </c>
      <c r="AT152" t="str">
        <f>TRIM(MID(SUBSTITUTE($F152, ",", REPT(" ", 100)), (COLUMNS($AH$2:AT152)-1)*100+1, 100))</f>
        <v/>
      </c>
      <c r="AU152" t="str">
        <f>TRIM(MID(SUBSTITUTE($F152, ",", REPT(" ", 100)), (COLUMNS($AH$2:AU152)-1)*100+1, 100))</f>
        <v/>
      </c>
      <c r="AV152" t="str">
        <f>TRIM(MID(SUBSTITUTE($F152, ",", REPT(" ", 100)), (COLUMNS($AH$2:AV152)-1)*100+1, 100))</f>
        <v/>
      </c>
      <c r="AW152" t="str">
        <f>TRIM(MID(SUBSTITUTE($F152, ",", REPT(" ", 100)), (COLUMNS($AH$2:AW152)-1)*100+1, 100))</f>
        <v/>
      </c>
      <c r="AX152" t="str">
        <f>TRIM(MID(SUBSTITUTE($F152, ",", REPT(" ", 100)), (COLUMNS($AH$2:AX152)-1)*100+1, 100))</f>
        <v/>
      </c>
      <c r="AY152" t="str">
        <f>TRIM(MID(SUBSTITUTE($F152, ",", REPT(" ", 100)), (COLUMNS($AH$2:AY152)-1)*100+1, 100))</f>
        <v/>
      </c>
      <c r="AZ152" t="str">
        <f>TRIM(MID(SUBSTITUTE($F152, ",", REPT(" ", 100)), (COLUMNS($AH$2:AZ152)-1)*100+1, 100))</f>
        <v/>
      </c>
      <c r="BA152" t="str">
        <f>TRIM(MID(SUBSTITUTE($F152, ",", REPT(" ", 100)), (COLUMNS($AH$2:BA152)-1)*100+1, 100))</f>
        <v/>
      </c>
    </row>
    <row r="153" spans="1:53" x14ac:dyDescent="0.5">
      <c r="A153" s="1">
        <v>45809</v>
      </c>
      <c r="B153" s="2">
        <v>5</v>
      </c>
      <c r="C153" s="272">
        <f>AVERAGE(B153:B182)</f>
        <v>4.8600000000000003</v>
      </c>
      <c r="D153" s="295"/>
      <c r="E153" s="58">
        <v>1</v>
      </c>
      <c r="F153" s="38" t="s">
        <v>194</v>
      </c>
      <c r="AJ153" t="str">
        <f>TRIM(MID(SUBSTITUTE($F153, ",", REPT(" ", 100)), (COLUMNS($AH$2:AJ153)-1)*100+1, 100))</f>
        <v/>
      </c>
      <c r="AK153" s="1">
        <v>45809</v>
      </c>
      <c r="AL153" s="2">
        <v>5</v>
      </c>
      <c r="AM153" s="2">
        <v>6</v>
      </c>
      <c r="AO153" t="str">
        <f>TRIM(MID(SUBSTITUTE($F153, ",", REPT(" ", 100)), (COLUMNS($AH$2:AO153)-1)*100+1, 100))</f>
        <v/>
      </c>
      <c r="AP153" t="str">
        <f>TRIM(MID(SUBSTITUTE($F153, ",", REPT(" ", 100)), (COLUMNS($AH$2:AP153)-1)*100+1, 100))</f>
        <v/>
      </c>
      <c r="AQ153" t="str">
        <f>TRIM(MID(SUBSTITUTE($F153, ",", REPT(" ", 100)), (COLUMNS($AH$2:AQ153)-1)*100+1, 100))</f>
        <v/>
      </c>
      <c r="AR153" t="str">
        <f>TRIM(MID(SUBSTITUTE($F153, ",", REPT(" ", 100)), (COLUMNS($AH$2:AR153)-1)*100+1, 100))</f>
        <v/>
      </c>
      <c r="AS153" t="str">
        <f>TRIM(MID(SUBSTITUTE($F153, ",", REPT(" ", 100)), (COLUMNS($AH$2:AS153)-1)*100+1, 100))</f>
        <v/>
      </c>
      <c r="AT153" t="str">
        <f>TRIM(MID(SUBSTITUTE($F153, ",", REPT(" ", 100)), (COLUMNS($AH$2:AT153)-1)*100+1, 100))</f>
        <v/>
      </c>
      <c r="AU153" t="str">
        <f>TRIM(MID(SUBSTITUTE($F153, ",", REPT(" ", 100)), (COLUMNS($AH$2:AU153)-1)*100+1, 100))</f>
        <v/>
      </c>
      <c r="AV153" t="str">
        <f>TRIM(MID(SUBSTITUTE($F153, ",", REPT(" ", 100)), (COLUMNS($AH$2:AV153)-1)*100+1, 100))</f>
        <v/>
      </c>
      <c r="AW153" t="str">
        <f>TRIM(MID(SUBSTITUTE($F153, ",", REPT(" ", 100)), (COLUMNS($AH$2:AW153)-1)*100+1, 100))</f>
        <v/>
      </c>
      <c r="AX153" t="str">
        <f>TRIM(MID(SUBSTITUTE($F153, ",", REPT(" ", 100)), (COLUMNS($AH$2:AX153)-1)*100+1, 100))</f>
        <v/>
      </c>
      <c r="AY153" t="str">
        <f>TRIM(MID(SUBSTITUTE($F153, ",", REPT(" ", 100)), (COLUMNS($AH$2:AY153)-1)*100+1, 100))</f>
        <v/>
      </c>
      <c r="AZ153" t="str">
        <f>TRIM(MID(SUBSTITUTE($F153, ",", REPT(" ", 100)), (COLUMNS($AH$2:AZ153)-1)*100+1, 100))</f>
        <v/>
      </c>
      <c r="BA153" t="str">
        <f>TRIM(MID(SUBSTITUTE($F153, ",", REPT(" ", 100)), (COLUMNS($AH$2:BA153)-1)*100+1, 100))</f>
        <v/>
      </c>
    </row>
    <row r="154" spans="1:53" x14ac:dyDescent="0.5">
      <c r="A154" s="1">
        <v>45810</v>
      </c>
      <c r="B154" s="2">
        <v>0</v>
      </c>
      <c r="C154" s="272"/>
      <c r="D154" s="295"/>
      <c r="E154" s="58">
        <v>0</v>
      </c>
      <c r="F154" s="38" t="s">
        <v>194</v>
      </c>
      <c r="G154" s="38" t="s">
        <v>284</v>
      </c>
      <c r="AJ154" t="str">
        <f>TRIM(MID(SUBSTITUTE($F154, ",", REPT(" ", 100)), (COLUMNS($AH$2:AJ154)-1)*100+1, 100))</f>
        <v/>
      </c>
      <c r="AK154" s="1">
        <v>45810</v>
      </c>
      <c r="AL154" s="2">
        <v>0</v>
      </c>
      <c r="AM154" s="2">
        <v>6</v>
      </c>
      <c r="AO154" t="str">
        <f>TRIM(MID(SUBSTITUTE($F154, ",", REPT(" ", 100)), (COLUMNS($AH$2:AO154)-1)*100+1, 100))</f>
        <v/>
      </c>
      <c r="AP154" t="str">
        <f>TRIM(MID(SUBSTITUTE($F154, ",", REPT(" ", 100)), (COLUMNS($AH$2:AP154)-1)*100+1, 100))</f>
        <v/>
      </c>
      <c r="AQ154" t="str">
        <f>TRIM(MID(SUBSTITUTE($F154, ",", REPT(" ", 100)), (COLUMNS($AH$2:AQ154)-1)*100+1, 100))</f>
        <v/>
      </c>
      <c r="AR154" t="str">
        <f>TRIM(MID(SUBSTITUTE($F154, ",", REPT(" ", 100)), (COLUMNS($AH$2:AR154)-1)*100+1, 100))</f>
        <v/>
      </c>
      <c r="AS154" t="str">
        <f>TRIM(MID(SUBSTITUTE($F154, ",", REPT(" ", 100)), (COLUMNS($AH$2:AS154)-1)*100+1, 100))</f>
        <v/>
      </c>
      <c r="AT154" t="str">
        <f>TRIM(MID(SUBSTITUTE($F154, ",", REPT(" ", 100)), (COLUMNS($AH$2:AT154)-1)*100+1, 100))</f>
        <v/>
      </c>
      <c r="AU154" t="str">
        <f>TRIM(MID(SUBSTITUTE($F154, ",", REPT(" ", 100)), (COLUMNS($AH$2:AU154)-1)*100+1, 100))</f>
        <v/>
      </c>
      <c r="AV154" t="str">
        <f>TRIM(MID(SUBSTITUTE($F154, ",", REPT(" ", 100)), (COLUMNS($AH$2:AV154)-1)*100+1, 100))</f>
        <v/>
      </c>
      <c r="AW154" t="str">
        <f>TRIM(MID(SUBSTITUTE($F154, ",", REPT(" ", 100)), (COLUMNS($AH$2:AW154)-1)*100+1, 100))</f>
        <v/>
      </c>
      <c r="AX154" t="str">
        <f>TRIM(MID(SUBSTITUTE($F154, ",", REPT(" ", 100)), (COLUMNS($AH$2:AX154)-1)*100+1, 100))</f>
        <v/>
      </c>
      <c r="AY154" t="str">
        <f>TRIM(MID(SUBSTITUTE($F154, ",", REPT(" ", 100)), (COLUMNS($AH$2:AY154)-1)*100+1, 100))</f>
        <v/>
      </c>
      <c r="AZ154" t="str">
        <f>TRIM(MID(SUBSTITUTE($F154, ",", REPT(" ", 100)), (COLUMNS($AH$2:AZ154)-1)*100+1, 100))</f>
        <v/>
      </c>
      <c r="BA154" t="str">
        <f>TRIM(MID(SUBSTITUTE($F154, ",", REPT(" ", 100)), (COLUMNS($AH$2:BA154)-1)*100+1, 100))</f>
        <v/>
      </c>
    </row>
    <row r="155" spans="1:53" x14ac:dyDescent="0.5">
      <c r="A155" s="1">
        <v>45811</v>
      </c>
      <c r="B155" s="2">
        <v>4</v>
      </c>
      <c r="C155" s="272"/>
      <c r="D155" s="295"/>
      <c r="E155" s="58">
        <v>0</v>
      </c>
      <c r="F155" s="38" t="s">
        <v>194</v>
      </c>
      <c r="AJ155" t="str">
        <f>TRIM(MID(SUBSTITUTE($F155, ",", REPT(" ", 100)), (COLUMNS($AH$2:AJ155)-1)*100+1, 100))</f>
        <v/>
      </c>
      <c r="AK155" s="1">
        <v>45811</v>
      </c>
      <c r="AL155" s="2">
        <v>4</v>
      </c>
      <c r="AM155" s="2">
        <v>4</v>
      </c>
      <c r="AO155" t="str">
        <f>TRIM(MID(SUBSTITUTE($F155, ",", REPT(" ", 100)), (COLUMNS($AH$2:AO155)-1)*100+1, 100))</f>
        <v/>
      </c>
      <c r="AP155" t="str">
        <f>TRIM(MID(SUBSTITUTE($F155, ",", REPT(" ", 100)), (COLUMNS($AH$2:AP155)-1)*100+1, 100))</f>
        <v/>
      </c>
      <c r="AQ155" t="str">
        <f>TRIM(MID(SUBSTITUTE($F155, ",", REPT(" ", 100)), (COLUMNS($AH$2:AQ155)-1)*100+1, 100))</f>
        <v/>
      </c>
      <c r="AR155" t="str">
        <f>TRIM(MID(SUBSTITUTE($F155, ",", REPT(" ", 100)), (COLUMNS($AH$2:AR155)-1)*100+1, 100))</f>
        <v/>
      </c>
      <c r="AS155" t="str">
        <f>TRIM(MID(SUBSTITUTE($F155, ",", REPT(" ", 100)), (COLUMNS($AH$2:AS155)-1)*100+1, 100))</f>
        <v/>
      </c>
      <c r="AT155" t="str">
        <f>TRIM(MID(SUBSTITUTE($F155, ",", REPT(" ", 100)), (COLUMNS($AH$2:AT155)-1)*100+1, 100))</f>
        <v/>
      </c>
      <c r="AU155" t="str">
        <f>TRIM(MID(SUBSTITUTE($F155, ",", REPT(" ", 100)), (COLUMNS($AH$2:AU155)-1)*100+1, 100))</f>
        <v/>
      </c>
      <c r="AV155" t="str">
        <f>TRIM(MID(SUBSTITUTE($F155, ",", REPT(" ", 100)), (COLUMNS($AH$2:AV155)-1)*100+1, 100))</f>
        <v/>
      </c>
      <c r="AW155" t="str">
        <f>TRIM(MID(SUBSTITUTE($F155, ",", REPT(" ", 100)), (COLUMNS($AH$2:AW155)-1)*100+1, 100))</f>
        <v/>
      </c>
      <c r="AX155" t="str">
        <f>TRIM(MID(SUBSTITUTE($F155, ",", REPT(" ", 100)), (COLUMNS($AH$2:AX155)-1)*100+1, 100))</f>
        <v/>
      </c>
      <c r="AY155" t="str">
        <f>TRIM(MID(SUBSTITUTE($F155, ",", REPT(" ", 100)), (COLUMNS($AH$2:AY155)-1)*100+1, 100))</f>
        <v/>
      </c>
      <c r="AZ155" t="str">
        <f>TRIM(MID(SUBSTITUTE($F155, ",", REPT(" ", 100)), (COLUMNS($AH$2:AZ155)-1)*100+1, 100))</f>
        <v/>
      </c>
      <c r="BA155" t="str">
        <f>TRIM(MID(SUBSTITUTE($F155, ",", REPT(" ", 100)), (COLUMNS($AH$2:BA155)-1)*100+1, 100))</f>
        <v/>
      </c>
    </row>
    <row r="156" spans="1:53" x14ac:dyDescent="0.5">
      <c r="A156" s="1">
        <v>45812</v>
      </c>
      <c r="B156" s="2">
        <v>4</v>
      </c>
      <c r="C156" s="272"/>
      <c r="D156" s="295"/>
      <c r="E156" s="58">
        <v>0</v>
      </c>
      <c r="F156" s="38" t="s">
        <v>194</v>
      </c>
      <c r="AJ156" t="str">
        <f>TRIM(MID(SUBSTITUTE($F156, ",", REPT(" ", 100)), (COLUMNS($AH$2:AJ156)-1)*100+1, 100))</f>
        <v/>
      </c>
      <c r="AK156" s="1">
        <v>45812</v>
      </c>
      <c r="AL156" s="2">
        <v>4</v>
      </c>
      <c r="AM156" s="2">
        <v>8</v>
      </c>
      <c r="AO156" t="str">
        <f>TRIM(MID(SUBSTITUTE($F156, ",", REPT(" ", 100)), (COLUMNS($AH$2:AO156)-1)*100+1, 100))</f>
        <v/>
      </c>
      <c r="AP156" t="str">
        <f>TRIM(MID(SUBSTITUTE($F156, ",", REPT(" ", 100)), (COLUMNS($AH$2:AP156)-1)*100+1, 100))</f>
        <v/>
      </c>
      <c r="AQ156" t="str">
        <f>TRIM(MID(SUBSTITUTE($F156, ",", REPT(" ", 100)), (COLUMNS($AH$2:AQ156)-1)*100+1, 100))</f>
        <v/>
      </c>
      <c r="AR156" t="str">
        <f>TRIM(MID(SUBSTITUTE($F156, ",", REPT(" ", 100)), (COLUMNS($AH$2:AR156)-1)*100+1, 100))</f>
        <v/>
      </c>
      <c r="AS156" t="str">
        <f>TRIM(MID(SUBSTITUTE($F156, ",", REPT(" ", 100)), (COLUMNS($AH$2:AS156)-1)*100+1, 100))</f>
        <v/>
      </c>
      <c r="AT156" t="str">
        <f>TRIM(MID(SUBSTITUTE($F156, ",", REPT(" ", 100)), (COLUMNS($AH$2:AT156)-1)*100+1, 100))</f>
        <v/>
      </c>
      <c r="AU156" t="str">
        <f>TRIM(MID(SUBSTITUTE($F156, ",", REPT(" ", 100)), (COLUMNS($AH$2:AU156)-1)*100+1, 100))</f>
        <v/>
      </c>
      <c r="AV156" t="str">
        <f>TRIM(MID(SUBSTITUTE($F156, ",", REPT(" ", 100)), (COLUMNS($AH$2:AV156)-1)*100+1, 100))</f>
        <v/>
      </c>
      <c r="AW156" t="str">
        <f>TRIM(MID(SUBSTITUTE($F156, ",", REPT(" ", 100)), (COLUMNS($AH$2:AW156)-1)*100+1, 100))</f>
        <v/>
      </c>
      <c r="AX156" t="str">
        <f>TRIM(MID(SUBSTITUTE($F156, ",", REPT(" ", 100)), (COLUMNS($AH$2:AX156)-1)*100+1, 100))</f>
        <v/>
      </c>
      <c r="AY156" t="str">
        <f>TRIM(MID(SUBSTITUTE($F156, ",", REPT(" ", 100)), (COLUMNS($AH$2:AY156)-1)*100+1, 100))</f>
        <v/>
      </c>
      <c r="AZ156" t="str">
        <f>TRIM(MID(SUBSTITUTE($F156, ",", REPT(" ", 100)), (COLUMNS($AH$2:AZ156)-1)*100+1, 100))</f>
        <v/>
      </c>
      <c r="BA156" t="str">
        <f>TRIM(MID(SUBSTITUTE($F156, ",", REPT(" ", 100)), (COLUMNS($AH$2:BA156)-1)*100+1, 100))</f>
        <v/>
      </c>
    </row>
    <row r="157" spans="1:53" x14ac:dyDescent="0.5">
      <c r="A157" s="1">
        <v>45813</v>
      </c>
      <c r="B157" s="2">
        <v>6</v>
      </c>
      <c r="C157" s="272"/>
      <c r="D157" s="295"/>
      <c r="E157" s="58">
        <v>0</v>
      </c>
      <c r="F157" s="38" t="s">
        <v>194</v>
      </c>
      <c r="AJ157" t="str">
        <f>TRIM(MID(SUBSTITUTE($F157, ",", REPT(" ", 100)), (COLUMNS($AH$2:AJ157)-1)*100+1, 100))</f>
        <v/>
      </c>
      <c r="AK157" s="1">
        <v>45813</v>
      </c>
      <c r="AL157" s="2">
        <v>6</v>
      </c>
      <c r="AM157" s="2">
        <v>10</v>
      </c>
      <c r="AO157" t="str">
        <f>TRIM(MID(SUBSTITUTE($F157, ",", REPT(" ", 100)), (COLUMNS($AH$2:AO157)-1)*100+1, 100))</f>
        <v/>
      </c>
      <c r="AP157" t="str">
        <f>TRIM(MID(SUBSTITUTE($F157, ",", REPT(" ", 100)), (COLUMNS($AH$2:AP157)-1)*100+1, 100))</f>
        <v/>
      </c>
      <c r="AQ157" t="str">
        <f>TRIM(MID(SUBSTITUTE($F157, ",", REPT(" ", 100)), (COLUMNS($AH$2:AQ157)-1)*100+1, 100))</f>
        <v/>
      </c>
      <c r="AR157" t="str">
        <f>TRIM(MID(SUBSTITUTE($F157, ",", REPT(" ", 100)), (COLUMNS($AH$2:AR157)-1)*100+1, 100))</f>
        <v/>
      </c>
      <c r="AS157" t="str">
        <f>TRIM(MID(SUBSTITUTE($F157, ",", REPT(" ", 100)), (COLUMNS($AH$2:AS157)-1)*100+1, 100))</f>
        <v/>
      </c>
      <c r="AT157" t="str">
        <f>TRIM(MID(SUBSTITUTE($F157, ",", REPT(" ", 100)), (COLUMNS($AH$2:AT157)-1)*100+1, 100))</f>
        <v/>
      </c>
      <c r="AU157" t="str">
        <f>TRIM(MID(SUBSTITUTE($F157, ",", REPT(" ", 100)), (COLUMNS($AH$2:AU157)-1)*100+1, 100))</f>
        <v/>
      </c>
      <c r="AV157" t="str">
        <f>TRIM(MID(SUBSTITUTE($F157, ",", REPT(" ", 100)), (COLUMNS($AH$2:AV157)-1)*100+1, 100))</f>
        <v/>
      </c>
      <c r="AW157" t="str">
        <f>TRIM(MID(SUBSTITUTE($F157, ",", REPT(" ", 100)), (COLUMNS($AH$2:AW157)-1)*100+1, 100))</f>
        <v/>
      </c>
      <c r="AX157" t="str">
        <f>TRIM(MID(SUBSTITUTE($F157, ",", REPT(" ", 100)), (COLUMNS($AH$2:AX157)-1)*100+1, 100))</f>
        <v/>
      </c>
      <c r="AY157" t="str">
        <f>TRIM(MID(SUBSTITUTE($F157, ",", REPT(" ", 100)), (COLUMNS($AH$2:AY157)-1)*100+1, 100))</f>
        <v/>
      </c>
      <c r="AZ157" t="str">
        <f>TRIM(MID(SUBSTITUTE($F157, ",", REPT(" ", 100)), (COLUMNS($AH$2:AZ157)-1)*100+1, 100))</f>
        <v/>
      </c>
      <c r="BA157" t="str">
        <f>TRIM(MID(SUBSTITUTE($F157, ",", REPT(" ", 100)), (COLUMNS($AH$2:BA157)-1)*100+1, 100))</f>
        <v/>
      </c>
    </row>
    <row r="158" spans="1:53" x14ac:dyDescent="0.5">
      <c r="A158" s="1">
        <v>45814</v>
      </c>
      <c r="B158" s="2">
        <v>5</v>
      </c>
      <c r="C158" s="272"/>
      <c r="D158" s="295"/>
      <c r="E158" s="58">
        <v>0</v>
      </c>
      <c r="F158" s="38" t="s">
        <v>194</v>
      </c>
      <c r="AJ158" t="str">
        <f>TRIM(MID(SUBSTITUTE($F158, ",", REPT(" ", 100)), (COLUMNS($AH$2:AJ158)-1)*100+1, 100))</f>
        <v/>
      </c>
      <c r="AK158" s="1">
        <v>45814</v>
      </c>
      <c r="AL158" s="2">
        <v>5</v>
      </c>
      <c r="AM158" s="2">
        <v>6</v>
      </c>
      <c r="AO158" t="str">
        <f>TRIM(MID(SUBSTITUTE($F158, ",", REPT(" ", 100)), (COLUMNS($AH$2:AO158)-1)*100+1, 100))</f>
        <v/>
      </c>
      <c r="AP158" t="str">
        <f>TRIM(MID(SUBSTITUTE($F158, ",", REPT(" ", 100)), (COLUMNS($AH$2:AP158)-1)*100+1, 100))</f>
        <v/>
      </c>
      <c r="AQ158" t="str">
        <f>TRIM(MID(SUBSTITUTE($F158, ",", REPT(" ", 100)), (COLUMNS($AH$2:AQ158)-1)*100+1, 100))</f>
        <v/>
      </c>
      <c r="AR158" t="str">
        <f>TRIM(MID(SUBSTITUTE($F158, ",", REPT(" ", 100)), (COLUMNS($AH$2:AR158)-1)*100+1, 100))</f>
        <v/>
      </c>
      <c r="AS158" t="str">
        <f>TRIM(MID(SUBSTITUTE($F158, ",", REPT(" ", 100)), (COLUMNS($AH$2:AS158)-1)*100+1, 100))</f>
        <v/>
      </c>
      <c r="AT158" t="str">
        <f>TRIM(MID(SUBSTITUTE($F158, ",", REPT(" ", 100)), (COLUMNS($AH$2:AT158)-1)*100+1, 100))</f>
        <v/>
      </c>
      <c r="AU158" t="str">
        <f>TRIM(MID(SUBSTITUTE($F158, ",", REPT(" ", 100)), (COLUMNS($AH$2:AU158)-1)*100+1, 100))</f>
        <v/>
      </c>
      <c r="AV158" t="str">
        <f>TRIM(MID(SUBSTITUTE($F158, ",", REPT(" ", 100)), (COLUMNS($AH$2:AV158)-1)*100+1, 100))</f>
        <v/>
      </c>
      <c r="AW158" t="str">
        <f>TRIM(MID(SUBSTITUTE($F158, ",", REPT(" ", 100)), (COLUMNS($AH$2:AW158)-1)*100+1, 100))</f>
        <v/>
      </c>
      <c r="AX158" t="str">
        <f>TRIM(MID(SUBSTITUTE($F158, ",", REPT(" ", 100)), (COLUMNS($AH$2:AX158)-1)*100+1, 100))</f>
        <v/>
      </c>
      <c r="AY158" t="str">
        <f>TRIM(MID(SUBSTITUTE($F158, ",", REPT(" ", 100)), (COLUMNS($AH$2:AY158)-1)*100+1, 100))</f>
        <v/>
      </c>
      <c r="AZ158" t="str">
        <f>TRIM(MID(SUBSTITUTE($F158, ",", REPT(" ", 100)), (COLUMNS($AH$2:AZ158)-1)*100+1, 100))</f>
        <v/>
      </c>
      <c r="BA158" t="str">
        <f>TRIM(MID(SUBSTITUTE($F158, ",", REPT(" ", 100)), (COLUMNS($AH$2:BA158)-1)*100+1, 100))</f>
        <v/>
      </c>
    </row>
    <row r="159" spans="1:53" x14ac:dyDescent="0.5">
      <c r="A159" s="1">
        <v>45815</v>
      </c>
      <c r="B159" s="2">
        <v>5.5</v>
      </c>
      <c r="C159" s="272"/>
      <c r="D159" s="295"/>
      <c r="E159" s="58">
        <v>0</v>
      </c>
      <c r="F159" s="38" t="s">
        <v>194</v>
      </c>
      <c r="AJ159" t="str">
        <f>TRIM(MID(SUBSTITUTE($F159, ",", REPT(" ", 100)), (COLUMNS($AH$2:AJ159)-1)*100+1, 100))</f>
        <v/>
      </c>
      <c r="AK159" s="1">
        <v>45815</v>
      </c>
      <c r="AL159" s="2">
        <v>5.5</v>
      </c>
      <c r="AM159" s="2">
        <v>4</v>
      </c>
      <c r="AO159" t="str">
        <f>TRIM(MID(SUBSTITUTE($F159, ",", REPT(" ", 100)), (COLUMNS($AH$2:AO159)-1)*100+1, 100))</f>
        <v/>
      </c>
      <c r="AP159" t="str">
        <f>TRIM(MID(SUBSTITUTE($F159, ",", REPT(" ", 100)), (COLUMNS($AH$2:AP159)-1)*100+1, 100))</f>
        <v/>
      </c>
      <c r="AQ159" t="str">
        <f>TRIM(MID(SUBSTITUTE($F159, ",", REPT(" ", 100)), (COLUMNS($AH$2:AQ159)-1)*100+1, 100))</f>
        <v/>
      </c>
      <c r="AR159" t="str">
        <f>TRIM(MID(SUBSTITUTE($F159, ",", REPT(" ", 100)), (COLUMNS($AH$2:AR159)-1)*100+1, 100))</f>
        <v/>
      </c>
      <c r="AS159" t="str">
        <f>TRIM(MID(SUBSTITUTE($F159, ",", REPT(" ", 100)), (COLUMNS($AH$2:AS159)-1)*100+1, 100))</f>
        <v/>
      </c>
      <c r="AT159" t="str">
        <f>TRIM(MID(SUBSTITUTE($F159, ",", REPT(" ", 100)), (COLUMNS($AH$2:AT159)-1)*100+1, 100))</f>
        <v/>
      </c>
      <c r="AU159" t="str">
        <f>TRIM(MID(SUBSTITUTE($F159, ",", REPT(" ", 100)), (COLUMNS($AH$2:AU159)-1)*100+1, 100))</f>
        <v/>
      </c>
      <c r="AV159" t="str">
        <f>TRIM(MID(SUBSTITUTE($F159, ",", REPT(" ", 100)), (COLUMNS($AH$2:AV159)-1)*100+1, 100))</f>
        <v/>
      </c>
      <c r="AW159" t="str">
        <f>TRIM(MID(SUBSTITUTE($F159, ",", REPT(" ", 100)), (COLUMNS($AH$2:AW159)-1)*100+1, 100))</f>
        <v/>
      </c>
      <c r="AX159" t="str">
        <f>TRIM(MID(SUBSTITUTE($F159, ",", REPT(" ", 100)), (COLUMNS($AH$2:AX159)-1)*100+1, 100))</f>
        <v/>
      </c>
      <c r="AY159" t="str">
        <f>TRIM(MID(SUBSTITUTE($F159, ",", REPT(" ", 100)), (COLUMNS($AH$2:AY159)-1)*100+1, 100))</f>
        <v/>
      </c>
      <c r="AZ159" t="str">
        <f>TRIM(MID(SUBSTITUTE($F159, ",", REPT(" ", 100)), (COLUMNS($AH$2:AZ159)-1)*100+1, 100))</f>
        <v/>
      </c>
      <c r="BA159" t="str">
        <f>TRIM(MID(SUBSTITUTE($F159, ",", REPT(" ", 100)), (COLUMNS($AH$2:BA159)-1)*100+1, 100))</f>
        <v/>
      </c>
    </row>
    <row r="160" spans="1:53" x14ac:dyDescent="0.5">
      <c r="A160" s="1">
        <v>45816</v>
      </c>
      <c r="B160" s="2">
        <v>6</v>
      </c>
      <c r="C160" s="272"/>
      <c r="D160" s="295"/>
      <c r="E160" s="58">
        <v>0</v>
      </c>
      <c r="F160" s="38" t="s">
        <v>194</v>
      </c>
      <c r="AJ160" t="str">
        <f>TRIM(MID(SUBSTITUTE($F160, ",", REPT(" ", 100)), (COLUMNS($AH$2:AJ160)-1)*100+1, 100))</f>
        <v/>
      </c>
      <c r="AK160" s="1">
        <v>45816</v>
      </c>
      <c r="AL160" s="2">
        <v>6</v>
      </c>
      <c r="AM160" s="2">
        <v>6</v>
      </c>
      <c r="AO160" t="str">
        <f>TRIM(MID(SUBSTITUTE($F160, ",", REPT(" ", 100)), (COLUMNS($AH$2:AO160)-1)*100+1, 100))</f>
        <v/>
      </c>
      <c r="AP160" t="str">
        <f>TRIM(MID(SUBSTITUTE($F160, ",", REPT(" ", 100)), (COLUMNS($AH$2:AP160)-1)*100+1, 100))</f>
        <v/>
      </c>
      <c r="AQ160" t="str">
        <f>TRIM(MID(SUBSTITUTE($F160, ",", REPT(" ", 100)), (COLUMNS($AH$2:AQ160)-1)*100+1, 100))</f>
        <v/>
      </c>
      <c r="AR160" t="str">
        <f>TRIM(MID(SUBSTITUTE($F160, ",", REPT(" ", 100)), (COLUMNS($AH$2:AR160)-1)*100+1, 100))</f>
        <v/>
      </c>
      <c r="AS160" t="str">
        <f>TRIM(MID(SUBSTITUTE($F160, ",", REPT(" ", 100)), (COLUMNS($AH$2:AS160)-1)*100+1, 100))</f>
        <v/>
      </c>
      <c r="AT160" t="str">
        <f>TRIM(MID(SUBSTITUTE($F160, ",", REPT(" ", 100)), (COLUMNS($AH$2:AT160)-1)*100+1, 100))</f>
        <v/>
      </c>
      <c r="AU160" t="str">
        <f>TRIM(MID(SUBSTITUTE($F160, ",", REPT(" ", 100)), (COLUMNS($AH$2:AU160)-1)*100+1, 100))</f>
        <v/>
      </c>
      <c r="AV160" t="str">
        <f>TRIM(MID(SUBSTITUTE($F160, ",", REPT(" ", 100)), (COLUMNS($AH$2:AV160)-1)*100+1, 100))</f>
        <v/>
      </c>
      <c r="AW160" t="str">
        <f>TRIM(MID(SUBSTITUTE($F160, ",", REPT(" ", 100)), (COLUMNS($AH$2:AW160)-1)*100+1, 100))</f>
        <v/>
      </c>
      <c r="AX160" t="str">
        <f>TRIM(MID(SUBSTITUTE($F160, ",", REPT(" ", 100)), (COLUMNS($AH$2:AX160)-1)*100+1, 100))</f>
        <v/>
      </c>
      <c r="AY160" t="str">
        <f>TRIM(MID(SUBSTITUTE($F160, ",", REPT(" ", 100)), (COLUMNS($AH$2:AY160)-1)*100+1, 100))</f>
        <v/>
      </c>
      <c r="AZ160" t="str">
        <f>TRIM(MID(SUBSTITUTE($F160, ",", REPT(" ", 100)), (COLUMNS($AH$2:AZ160)-1)*100+1, 100))</f>
        <v/>
      </c>
      <c r="BA160" t="str">
        <f>TRIM(MID(SUBSTITUTE($F160, ",", REPT(" ", 100)), (COLUMNS($AH$2:BA160)-1)*100+1, 100))</f>
        <v/>
      </c>
    </row>
    <row r="161" spans="1:53" x14ac:dyDescent="0.5">
      <c r="A161" s="1">
        <v>45817</v>
      </c>
      <c r="B161" s="2">
        <v>4</v>
      </c>
      <c r="C161" s="272"/>
      <c r="D161" s="295"/>
      <c r="E161" s="58">
        <v>0</v>
      </c>
      <c r="F161" s="38" t="s">
        <v>194</v>
      </c>
      <c r="AJ161" t="str">
        <f>TRIM(MID(SUBSTITUTE($F161, ",", REPT(" ", 100)), (COLUMNS($AH$2:AJ161)-1)*100+1, 100))</f>
        <v/>
      </c>
      <c r="AK161" s="1">
        <v>45817</v>
      </c>
      <c r="AL161" s="2">
        <v>4</v>
      </c>
      <c r="AM161" s="2">
        <v>6</v>
      </c>
      <c r="AO161" t="str">
        <f>TRIM(MID(SUBSTITUTE($F161, ",", REPT(" ", 100)), (COLUMNS($AH$2:AO161)-1)*100+1, 100))</f>
        <v/>
      </c>
      <c r="AP161" t="str">
        <f>TRIM(MID(SUBSTITUTE($F161, ",", REPT(" ", 100)), (COLUMNS($AH$2:AP161)-1)*100+1, 100))</f>
        <v/>
      </c>
      <c r="AQ161" t="str">
        <f>TRIM(MID(SUBSTITUTE($F161, ",", REPT(" ", 100)), (COLUMNS($AH$2:AQ161)-1)*100+1, 100))</f>
        <v/>
      </c>
      <c r="AR161" t="str">
        <f>TRIM(MID(SUBSTITUTE($F161, ",", REPT(" ", 100)), (COLUMNS($AH$2:AR161)-1)*100+1, 100))</f>
        <v/>
      </c>
      <c r="AS161" t="str">
        <f>TRIM(MID(SUBSTITUTE($F161, ",", REPT(" ", 100)), (COLUMNS($AH$2:AS161)-1)*100+1, 100))</f>
        <v/>
      </c>
      <c r="AT161" t="str">
        <f>TRIM(MID(SUBSTITUTE($F161, ",", REPT(" ", 100)), (COLUMNS($AH$2:AT161)-1)*100+1, 100))</f>
        <v/>
      </c>
      <c r="AU161" t="str">
        <f>TRIM(MID(SUBSTITUTE($F161, ",", REPT(" ", 100)), (COLUMNS($AH$2:AU161)-1)*100+1, 100))</f>
        <v/>
      </c>
      <c r="AV161" t="str">
        <f>TRIM(MID(SUBSTITUTE($F161, ",", REPT(" ", 100)), (COLUMNS($AH$2:AV161)-1)*100+1, 100))</f>
        <v/>
      </c>
      <c r="AW161" t="str">
        <f>TRIM(MID(SUBSTITUTE($F161, ",", REPT(" ", 100)), (COLUMNS($AH$2:AW161)-1)*100+1, 100))</f>
        <v/>
      </c>
      <c r="AX161" t="str">
        <f>TRIM(MID(SUBSTITUTE($F161, ",", REPT(" ", 100)), (COLUMNS($AH$2:AX161)-1)*100+1, 100))</f>
        <v/>
      </c>
      <c r="AY161" t="str">
        <f>TRIM(MID(SUBSTITUTE($F161, ",", REPT(" ", 100)), (COLUMNS($AH$2:AY161)-1)*100+1, 100))</f>
        <v/>
      </c>
      <c r="AZ161" t="str">
        <f>TRIM(MID(SUBSTITUTE($F161, ",", REPT(" ", 100)), (COLUMNS($AH$2:AZ161)-1)*100+1, 100))</f>
        <v/>
      </c>
      <c r="BA161" t="str">
        <f>TRIM(MID(SUBSTITUTE($F161, ",", REPT(" ", 100)), (COLUMNS($AH$2:BA161)-1)*100+1, 100))</f>
        <v/>
      </c>
    </row>
    <row r="162" spans="1:53" x14ac:dyDescent="0.5">
      <c r="A162" s="1">
        <v>45818</v>
      </c>
      <c r="B162" s="2">
        <v>5</v>
      </c>
      <c r="C162" s="272"/>
      <c r="D162" s="295"/>
      <c r="E162" s="58">
        <v>0</v>
      </c>
      <c r="F162" s="38" t="s">
        <v>194</v>
      </c>
      <c r="AJ162" t="str">
        <f>TRIM(MID(SUBSTITUTE($F162, ",", REPT(" ", 100)), (COLUMNS($AH$2:AJ162)-1)*100+1, 100))</f>
        <v/>
      </c>
      <c r="AK162" s="1">
        <v>45818</v>
      </c>
      <c r="AL162" s="2">
        <v>5</v>
      </c>
      <c r="AM162" s="2">
        <v>6</v>
      </c>
      <c r="AO162" t="str">
        <f>TRIM(MID(SUBSTITUTE($F162, ",", REPT(" ", 100)), (COLUMNS($AH$2:AO162)-1)*100+1, 100))</f>
        <v/>
      </c>
      <c r="AP162" t="str">
        <f>TRIM(MID(SUBSTITUTE($F162, ",", REPT(" ", 100)), (COLUMNS($AH$2:AP162)-1)*100+1, 100))</f>
        <v/>
      </c>
      <c r="AQ162" t="str">
        <f>TRIM(MID(SUBSTITUTE($F162, ",", REPT(" ", 100)), (COLUMNS($AH$2:AQ162)-1)*100+1, 100))</f>
        <v/>
      </c>
      <c r="AR162" t="str">
        <f>TRIM(MID(SUBSTITUTE($F162, ",", REPT(" ", 100)), (COLUMNS($AH$2:AR162)-1)*100+1, 100))</f>
        <v/>
      </c>
      <c r="AS162" t="str">
        <f>TRIM(MID(SUBSTITUTE($F162, ",", REPT(" ", 100)), (COLUMNS($AH$2:AS162)-1)*100+1, 100))</f>
        <v/>
      </c>
      <c r="AT162" t="str">
        <f>TRIM(MID(SUBSTITUTE($F162, ",", REPT(" ", 100)), (COLUMNS($AH$2:AT162)-1)*100+1, 100))</f>
        <v/>
      </c>
      <c r="AU162" t="str">
        <f>TRIM(MID(SUBSTITUTE($F162, ",", REPT(" ", 100)), (COLUMNS($AH$2:AU162)-1)*100+1, 100))</f>
        <v/>
      </c>
      <c r="AV162" t="str">
        <f>TRIM(MID(SUBSTITUTE($F162, ",", REPT(" ", 100)), (COLUMNS($AH$2:AV162)-1)*100+1, 100))</f>
        <v/>
      </c>
      <c r="AW162" t="str">
        <f>TRIM(MID(SUBSTITUTE($F162, ",", REPT(" ", 100)), (COLUMNS($AH$2:AW162)-1)*100+1, 100))</f>
        <v/>
      </c>
      <c r="AX162" t="str">
        <f>TRIM(MID(SUBSTITUTE($F162, ",", REPT(" ", 100)), (COLUMNS($AH$2:AX162)-1)*100+1, 100))</f>
        <v/>
      </c>
      <c r="AY162" t="str">
        <f>TRIM(MID(SUBSTITUTE($F162, ",", REPT(" ", 100)), (COLUMNS($AH$2:AY162)-1)*100+1, 100))</f>
        <v/>
      </c>
      <c r="AZ162" t="str">
        <f>TRIM(MID(SUBSTITUTE($F162, ",", REPT(" ", 100)), (COLUMNS($AH$2:AZ162)-1)*100+1, 100))</f>
        <v/>
      </c>
      <c r="BA162" t="str">
        <f>TRIM(MID(SUBSTITUTE($F162, ",", REPT(" ", 100)), (COLUMNS($AH$2:BA162)-1)*100+1, 100))</f>
        <v/>
      </c>
    </row>
    <row r="163" spans="1:53" x14ac:dyDescent="0.5">
      <c r="A163" s="1">
        <v>45819</v>
      </c>
      <c r="B163" s="2">
        <v>2</v>
      </c>
      <c r="C163" s="272"/>
      <c r="D163" s="295"/>
      <c r="E163" s="58">
        <v>1</v>
      </c>
      <c r="F163" s="38" t="s">
        <v>194</v>
      </c>
      <c r="AJ163" t="str">
        <f>TRIM(MID(SUBSTITUTE($F163, ",", REPT(" ", 100)), (COLUMNS($AH$2:AJ163)-1)*100+1, 100))</f>
        <v/>
      </c>
      <c r="AK163" s="1">
        <v>45819</v>
      </c>
      <c r="AL163" s="2">
        <v>2</v>
      </c>
      <c r="AM163" s="2">
        <v>0</v>
      </c>
      <c r="AO163" t="str">
        <f>TRIM(MID(SUBSTITUTE($F163, ",", REPT(" ", 100)), (COLUMNS($AH$2:AO163)-1)*100+1, 100))</f>
        <v/>
      </c>
      <c r="AP163" t="str">
        <f>TRIM(MID(SUBSTITUTE($F163, ",", REPT(" ", 100)), (COLUMNS($AH$2:AP163)-1)*100+1, 100))</f>
        <v/>
      </c>
      <c r="AQ163" t="str">
        <f>TRIM(MID(SUBSTITUTE($F163, ",", REPT(" ", 100)), (COLUMNS($AH$2:AQ163)-1)*100+1, 100))</f>
        <v/>
      </c>
      <c r="AR163" t="str">
        <f>TRIM(MID(SUBSTITUTE($F163, ",", REPT(" ", 100)), (COLUMNS($AH$2:AR163)-1)*100+1, 100))</f>
        <v/>
      </c>
      <c r="AS163" t="str">
        <f>TRIM(MID(SUBSTITUTE($F163, ",", REPT(" ", 100)), (COLUMNS($AH$2:AS163)-1)*100+1, 100))</f>
        <v/>
      </c>
      <c r="AT163" t="str">
        <f>TRIM(MID(SUBSTITUTE($F163, ",", REPT(" ", 100)), (COLUMNS($AH$2:AT163)-1)*100+1, 100))</f>
        <v/>
      </c>
      <c r="AU163" t="str">
        <f>TRIM(MID(SUBSTITUTE($F163, ",", REPT(" ", 100)), (COLUMNS($AH$2:AU163)-1)*100+1, 100))</f>
        <v/>
      </c>
      <c r="AV163" t="str">
        <f>TRIM(MID(SUBSTITUTE($F163, ",", REPT(" ", 100)), (COLUMNS($AH$2:AV163)-1)*100+1, 100))</f>
        <v/>
      </c>
      <c r="AW163" t="str">
        <f>TRIM(MID(SUBSTITUTE($F163, ",", REPT(" ", 100)), (COLUMNS($AH$2:AW163)-1)*100+1, 100))</f>
        <v/>
      </c>
      <c r="AX163" t="str">
        <f>TRIM(MID(SUBSTITUTE($F163, ",", REPT(" ", 100)), (COLUMNS($AH$2:AX163)-1)*100+1, 100))</f>
        <v/>
      </c>
      <c r="AY163" t="str">
        <f>TRIM(MID(SUBSTITUTE($F163, ",", REPT(" ", 100)), (COLUMNS($AH$2:AY163)-1)*100+1, 100))</f>
        <v/>
      </c>
      <c r="AZ163" t="str">
        <f>TRIM(MID(SUBSTITUTE($F163, ",", REPT(" ", 100)), (COLUMNS($AH$2:AZ163)-1)*100+1, 100))</f>
        <v/>
      </c>
      <c r="BA163" t="str">
        <f>TRIM(MID(SUBSTITUTE($F163, ",", REPT(" ", 100)), (COLUMNS($AH$2:BA163)-1)*100+1, 100))</f>
        <v/>
      </c>
    </row>
    <row r="164" spans="1:53" x14ac:dyDescent="0.5">
      <c r="A164" s="1">
        <v>45820</v>
      </c>
      <c r="B164" s="2">
        <v>4</v>
      </c>
      <c r="C164" s="272"/>
      <c r="D164" s="295"/>
      <c r="E164" s="58">
        <v>1</v>
      </c>
      <c r="F164" s="38" t="s">
        <v>194</v>
      </c>
      <c r="AJ164" t="str">
        <f>TRIM(MID(SUBSTITUTE($F164, ",", REPT(" ", 100)), (COLUMNS($AH$2:AJ164)-1)*100+1, 100))</f>
        <v/>
      </c>
      <c r="AK164" s="1">
        <v>45820</v>
      </c>
      <c r="AL164" s="2">
        <v>4</v>
      </c>
      <c r="AM164" s="2">
        <v>4</v>
      </c>
      <c r="AO164" t="str">
        <f>TRIM(MID(SUBSTITUTE($F164, ",", REPT(" ", 100)), (COLUMNS($AH$2:AO164)-1)*100+1, 100))</f>
        <v/>
      </c>
      <c r="AP164" t="str">
        <f>TRIM(MID(SUBSTITUTE($F164, ",", REPT(" ", 100)), (COLUMNS($AH$2:AP164)-1)*100+1, 100))</f>
        <v/>
      </c>
      <c r="AQ164" t="str">
        <f>TRIM(MID(SUBSTITUTE($F164, ",", REPT(" ", 100)), (COLUMNS($AH$2:AQ164)-1)*100+1, 100))</f>
        <v/>
      </c>
      <c r="AR164" t="str">
        <f>TRIM(MID(SUBSTITUTE($F164, ",", REPT(" ", 100)), (COLUMNS($AH$2:AR164)-1)*100+1, 100))</f>
        <v/>
      </c>
      <c r="AS164" t="str">
        <f>TRIM(MID(SUBSTITUTE($F164, ",", REPT(" ", 100)), (COLUMNS($AH$2:AS164)-1)*100+1, 100))</f>
        <v/>
      </c>
      <c r="AT164" t="str">
        <f>TRIM(MID(SUBSTITUTE($F164, ",", REPT(" ", 100)), (COLUMNS($AH$2:AT164)-1)*100+1, 100))</f>
        <v/>
      </c>
      <c r="AU164" t="str">
        <f>TRIM(MID(SUBSTITUTE($F164, ",", REPT(" ", 100)), (COLUMNS($AH$2:AU164)-1)*100+1, 100))</f>
        <v/>
      </c>
      <c r="AV164" t="str">
        <f>TRIM(MID(SUBSTITUTE($F164, ",", REPT(" ", 100)), (COLUMNS($AH$2:AV164)-1)*100+1, 100))</f>
        <v/>
      </c>
      <c r="AW164" t="str">
        <f>TRIM(MID(SUBSTITUTE($F164, ",", REPT(" ", 100)), (COLUMNS($AH$2:AW164)-1)*100+1, 100))</f>
        <v/>
      </c>
      <c r="AX164" t="str">
        <f>TRIM(MID(SUBSTITUTE($F164, ",", REPT(" ", 100)), (COLUMNS($AH$2:AX164)-1)*100+1, 100))</f>
        <v/>
      </c>
      <c r="AY164" t="str">
        <f>TRIM(MID(SUBSTITUTE($F164, ",", REPT(" ", 100)), (COLUMNS($AH$2:AY164)-1)*100+1, 100))</f>
        <v/>
      </c>
      <c r="AZ164" t="str">
        <f>TRIM(MID(SUBSTITUTE($F164, ",", REPT(" ", 100)), (COLUMNS($AH$2:AZ164)-1)*100+1, 100))</f>
        <v/>
      </c>
      <c r="BA164" t="str">
        <f>TRIM(MID(SUBSTITUTE($F164, ",", REPT(" ", 100)), (COLUMNS($AH$2:BA164)-1)*100+1, 100))</f>
        <v/>
      </c>
    </row>
    <row r="165" spans="1:53" x14ac:dyDescent="0.5">
      <c r="A165" s="1">
        <v>45821</v>
      </c>
      <c r="B165" s="2">
        <v>5</v>
      </c>
      <c r="C165" s="272"/>
      <c r="D165" s="295"/>
      <c r="E165" s="58">
        <v>1</v>
      </c>
      <c r="F165" s="38" t="s">
        <v>194</v>
      </c>
      <c r="AJ165" t="str">
        <f>TRIM(MID(SUBSTITUTE($F165, ",", REPT(" ", 100)), (COLUMNS($AH$2:AJ165)-1)*100+1, 100))</f>
        <v/>
      </c>
      <c r="AK165" s="1">
        <v>45821</v>
      </c>
      <c r="AL165" s="2">
        <v>5</v>
      </c>
      <c r="AM165" s="2">
        <v>4</v>
      </c>
      <c r="AO165" t="str">
        <f>TRIM(MID(SUBSTITUTE($F165, ",", REPT(" ", 100)), (COLUMNS($AH$2:AO165)-1)*100+1, 100))</f>
        <v/>
      </c>
      <c r="AP165" t="str">
        <f>TRIM(MID(SUBSTITUTE($F165, ",", REPT(" ", 100)), (COLUMNS($AH$2:AP165)-1)*100+1, 100))</f>
        <v/>
      </c>
      <c r="AQ165" t="str">
        <f>TRIM(MID(SUBSTITUTE($F165, ",", REPT(" ", 100)), (COLUMNS($AH$2:AQ165)-1)*100+1, 100))</f>
        <v/>
      </c>
      <c r="AR165" t="str">
        <f>TRIM(MID(SUBSTITUTE($F165, ",", REPT(" ", 100)), (COLUMNS($AH$2:AR165)-1)*100+1, 100))</f>
        <v/>
      </c>
      <c r="AS165" t="str">
        <f>TRIM(MID(SUBSTITUTE($F165, ",", REPT(" ", 100)), (COLUMNS($AH$2:AS165)-1)*100+1, 100))</f>
        <v/>
      </c>
      <c r="AT165" t="str">
        <f>TRIM(MID(SUBSTITUTE($F165, ",", REPT(" ", 100)), (COLUMNS($AH$2:AT165)-1)*100+1, 100))</f>
        <v/>
      </c>
      <c r="AU165" t="str">
        <f>TRIM(MID(SUBSTITUTE($F165, ",", REPT(" ", 100)), (COLUMNS($AH$2:AU165)-1)*100+1, 100))</f>
        <v/>
      </c>
      <c r="AV165" t="str">
        <f>TRIM(MID(SUBSTITUTE($F165, ",", REPT(" ", 100)), (COLUMNS($AH$2:AV165)-1)*100+1, 100))</f>
        <v/>
      </c>
      <c r="AW165" t="str">
        <f>TRIM(MID(SUBSTITUTE($F165, ",", REPT(" ", 100)), (COLUMNS($AH$2:AW165)-1)*100+1, 100))</f>
        <v/>
      </c>
      <c r="AX165" t="str">
        <f>TRIM(MID(SUBSTITUTE($F165, ",", REPT(" ", 100)), (COLUMNS($AH$2:AX165)-1)*100+1, 100))</f>
        <v/>
      </c>
      <c r="AY165" t="str">
        <f>TRIM(MID(SUBSTITUTE($F165, ",", REPT(" ", 100)), (COLUMNS($AH$2:AY165)-1)*100+1, 100))</f>
        <v/>
      </c>
      <c r="AZ165" t="str">
        <f>TRIM(MID(SUBSTITUTE($F165, ",", REPT(" ", 100)), (COLUMNS($AH$2:AZ165)-1)*100+1, 100))</f>
        <v/>
      </c>
      <c r="BA165" t="str">
        <f>TRIM(MID(SUBSTITUTE($F165, ",", REPT(" ", 100)), (COLUMNS($AH$2:BA165)-1)*100+1, 100))</f>
        <v/>
      </c>
    </row>
    <row r="166" spans="1:53" x14ac:dyDescent="0.5">
      <c r="A166" s="1">
        <v>45822</v>
      </c>
      <c r="B166" s="2">
        <v>5</v>
      </c>
      <c r="C166" s="272"/>
      <c r="D166" s="295"/>
      <c r="E166" s="58">
        <v>1</v>
      </c>
      <c r="F166" s="38" t="s">
        <v>287</v>
      </c>
      <c r="AJ166" t="str">
        <f>TRIM(MID(SUBSTITUTE($F166, ",", REPT(" ", 100)), (COLUMNS($AH$2:AJ166)-1)*100+1, 100))</f>
        <v/>
      </c>
      <c r="AK166" s="1">
        <v>45822</v>
      </c>
      <c r="AL166" s="2">
        <v>5</v>
      </c>
      <c r="AM166" s="2">
        <v>4</v>
      </c>
      <c r="AO166" t="str">
        <f>TRIM(MID(SUBSTITUTE($F166, ",", REPT(" ", 100)), (COLUMNS($AH$2:AO166)-1)*100+1, 100))</f>
        <v/>
      </c>
      <c r="AP166" t="str">
        <f>TRIM(MID(SUBSTITUTE($F166, ",", REPT(" ", 100)), (COLUMNS($AH$2:AP166)-1)*100+1, 100))</f>
        <v/>
      </c>
      <c r="AQ166" t="str">
        <f>TRIM(MID(SUBSTITUTE($F166, ",", REPT(" ", 100)), (COLUMNS($AH$2:AQ166)-1)*100+1, 100))</f>
        <v/>
      </c>
      <c r="AR166" t="str">
        <f>TRIM(MID(SUBSTITUTE($F166, ",", REPT(" ", 100)), (COLUMNS($AH$2:AR166)-1)*100+1, 100))</f>
        <v/>
      </c>
      <c r="AS166" t="str">
        <f>TRIM(MID(SUBSTITUTE($F166, ",", REPT(" ", 100)), (COLUMNS($AH$2:AS166)-1)*100+1, 100))</f>
        <v/>
      </c>
      <c r="AT166" t="str">
        <f>TRIM(MID(SUBSTITUTE($F166, ",", REPT(" ", 100)), (COLUMNS($AH$2:AT166)-1)*100+1, 100))</f>
        <v/>
      </c>
      <c r="AU166" t="str">
        <f>TRIM(MID(SUBSTITUTE($F166, ",", REPT(" ", 100)), (COLUMNS($AH$2:AU166)-1)*100+1, 100))</f>
        <v/>
      </c>
      <c r="AV166" t="str">
        <f>TRIM(MID(SUBSTITUTE($F166, ",", REPT(" ", 100)), (COLUMNS($AH$2:AV166)-1)*100+1, 100))</f>
        <v/>
      </c>
      <c r="AW166" t="str">
        <f>TRIM(MID(SUBSTITUTE($F166, ",", REPT(" ", 100)), (COLUMNS($AH$2:AW166)-1)*100+1, 100))</f>
        <v/>
      </c>
      <c r="AX166" t="str">
        <f>TRIM(MID(SUBSTITUTE($F166, ",", REPT(" ", 100)), (COLUMNS($AH$2:AX166)-1)*100+1, 100))</f>
        <v/>
      </c>
      <c r="AY166" t="str">
        <f>TRIM(MID(SUBSTITUTE($F166, ",", REPT(" ", 100)), (COLUMNS($AH$2:AY166)-1)*100+1, 100))</f>
        <v/>
      </c>
      <c r="AZ166" t="str">
        <f>TRIM(MID(SUBSTITUTE($F166, ",", REPT(" ", 100)), (COLUMNS($AH$2:AZ166)-1)*100+1, 100))</f>
        <v/>
      </c>
      <c r="BA166" t="str">
        <f>TRIM(MID(SUBSTITUTE($F166, ",", REPT(" ", 100)), (COLUMNS($AH$2:BA166)-1)*100+1, 100))</f>
        <v/>
      </c>
    </row>
    <row r="167" spans="1:53" x14ac:dyDescent="0.5">
      <c r="A167" s="1">
        <v>45823</v>
      </c>
      <c r="B167" s="2">
        <v>4.8</v>
      </c>
      <c r="C167" s="272"/>
      <c r="D167" s="295"/>
      <c r="E167" s="58">
        <v>1</v>
      </c>
      <c r="F167" s="38" t="s">
        <v>288</v>
      </c>
      <c r="AJ167" t="str">
        <f>TRIM(MID(SUBSTITUTE($F167, ",", REPT(" ", 100)), (COLUMNS($AH$2:AJ167)-1)*100+1, 100))</f>
        <v>Meerut</v>
      </c>
      <c r="AK167" s="1">
        <v>45823</v>
      </c>
      <c r="AL167" s="2">
        <v>4.8</v>
      </c>
      <c r="AM167" s="2">
        <v>6</v>
      </c>
      <c r="AO167" t="str">
        <f>TRIM(MID(SUBSTITUTE($F167, ",", REPT(" ", 100)), (COLUMNS($AH$2:AO167)-1)*100+1, 100))</f>
        <v/>
      </c>
      <c r="AP167" t="str">
        <f>TRIM(MID(SUBSTITUTE($F167, ",", REPT(" ", 100)), (COLUMNS($AH$2:AP167)-1)*100+1, 100))</f>
        <v/>
      </c>
      <c r="AQ167" t="str">
        <f>TRIM(MID(SUBSTITUTE($F167, ",", REPT(" ", 100)), (COLUMNS($AH$2:AQ167)-1)*100+1, 100))</f>
        <v/>
      </c>
      <c r="AR167" t="str">
        <f>TRIM(MID(SUBSTITUTE($F167, ",", REPT(" ", 100)), (COLUMNS($AH$2:AR167)-1)*100+1, 100))</f>
        <v/>
      </c>
      <c r="AS167" t="str">
        <f>TRIM(MID(SUBSTITUTE($F167, ",", REPT(" ", 100)), (COLUMNS($AH$2:AS167)-1)*100+1, 100))</f>
        <v/>
      </c>
      <c r="AT167" t="str">
        <f>TRIM(MID(SUBSTITUTE($F167, ",", REPT(" ", 100)), (COLUMNS($AH$2:AT167)-1)*100+1, 100))</f>
        <v/>
      </c>
      <c r="AU167" t="str">
        <f>TRIM(MID(SUBSTITUTE($F167, ",", REPT(" ", 100)), (COLUMNS($AH$2:AU167)-1)*100+1, 100))</f>
        <v/>
      </c>
      <c r="AV167" t="str">
        <f>TRIM(MID(SUBSTITUTE($F167, ",", REPT(" ", 100)), (COLUMNS($AH$2:AV167)-1)*100+1, 100))</f>
        <v/>
      </c>
      <c r="AW167" t="str">
        <f>TRIM(MID(SUBSTITUTE($F167, ",", REPT(" ", 100)), (COLUMNS($AH$2:AW167)-1)*100+1, 100))</f>
        <v/>
      </c>
      <c r="AX167" t="str">
        <f>TRIM(MID(SUBSTITUTE($F167, ",", REPT(" ", 100)), (COLUMNS($AH$2:AX167)-1)*100+1, 100))</f>
        <v/>
      </c>
      <c r="AY167" t="str">
        <f>TRIM(MID(SUBSTITUTE($F167, ",", REPT(" ", 100)), (COLUMNS($AH$2:AY167)-1)*100+1, 100))</f>
        <v/>
      </c>
      <c r="AZ167" t="str">
        <f>TRIM(MID(SUBSTITUTE($F167, ",", REPT(" ", 100)), (COLUMNS($AH$2:AZ167)-1)*100+1, 100))</f>
        <v/>
      </c>
      <c r="BA167" t="str">
        <f>TRIM(MID(SUBSTITUTE($F167, ",", REPT(" ", 100)), (COLUMNS($AH$2:BA167)-1)*100+1, 100))</f>
        <v/>
      </c>
    </row>
    <row r="168" spans="1:53" x14ac:dyDescent="0.5">
      <c r="A168" s="1">
        <v>45824</v>
      </c>
      <c r="B168" s="2">
        <v>4</v>
      </c>
      <c r="C168" s="272"/>
      <c r="D168" s="295"/>
      <c r="E168" s="58">
        <v>0</v>
      </c>
      <c r="F168" s="38" t="s">
        <v>194</v>
      </c>
      <c r="AJ168" t="str">
        <f>TRIM(MID(SUBSTITUTE($F168, ",", REPT(" ", 100)), (COLUMNS($AH$2:AJ168)-1)*100+1, 100))</f>
        <v/>
      </c>
      <c r="AK168" s="1">
        <v>45824</v>
      </c>
      <c r="AL168" s="2">
        <v>4</v>
      </c>
      <c r="AM168" s="2">
        <v>6</v>
      </c>
      <c r="AO168" t="str">
        <f>TRIM(MID(SUBSTITUTE($F168, ",", REPT(" ", 100)), (COLUMNS($AH$2:AO168)-1)*100+1, 100))</f>
        <v/>
      </c>
      <c r="AP168" t="str">
        <f>TRIM(MID(SUBSTITUTE($F168, ",", REPT(" ", 100)), (COLUMNS($AH$2:AP168)-1)*100+1, 100))</f>
        <v/>
      </c>
      <c r="AQ168" t="str">
        <f>TRIM(MID(SUBSTITUTE($F168, ",", REPT(" ", 100)), (COLUMNS($AH$2:AQ168)-1)*100+1, 100))</f>
        <v/>
      </c>
      <c r="AR168" t="str">
        <f>TRIM(MID(SUBSTITUTE($F168, ",", REPT(" ", 100)), (COLUMNS($AH$2:AR168)-1)*100+1, 100))</f>
        <v/>
      </c>
      <c r="AS168" t="str">
        <f>TRIM(MID(SUBSTITUTE($F168, ",", REPT(" ", 100)), (COLUMNS($AH$2:AS168)-1)*100+1, 100))</f>
        <v/>
      </c>
      <c r="AT168" t="str">
        <f>TRIM(MID(SUBSTITUTE($F168, ",", REPT(" ", 100)), (COLUMNS($AH$2:AT168)-1)*100+1, 100))</f>
        <v/>
      </c>
      <c r="AU168" t="str">
        <f>TRIM(MID(SUBSTITUTE($F168, ",", REPT(" ", 100)), (COLUMNS($AH$2:AU168)-1)*100+1, 100))</f>
        <v/>
      </c>
      <c r="AV168" t="str">
        <f>TRIM(MID(SUBSTITUTE($F168, ",", REPT(" ", 100)), (COLUMNS($AH$2:AV168)-1)*100+1, 100))</f>
        <v/>
      </c>
      <c r="AW168" t="str">
        <f>TRIM(MID(SUBSTITUTE($F168, ",", REPT(" ", 100)), (COLUMNS($AH$2:AW168)-1)*100+1, 100))</f>
        <v/>
      </c>
      <c r="AX168" t="str">
        <f>TRIM(MID(SUBSTITUTE($F168, ",", REPT(" ", 100)), (COLUMNS($AH$2:AX168)-1)*100+1, 100))</f>
        <v/>
      </c>
      <c r="AY168" t="str">
        <f>TRIM(MID(SUBSTITUTE($F168, ",", REPT(" ", 100)), (COLUMNS($AH$2:AY168)-1)*100+1, 100))</f>
        <v/>
      </c>
      <c r="AZ168" t="str">
        <f>TRIM(MID(SUBSTITUTE($F168, ",", REPT(" ", 100)), (COLUMNS($AH$2:AZ168)-1)*100+1, 100))</f>
        <v/>
      </c>
      <c r="BA168" t="str">
        <f>TRIM(MID(SUBSTITUTE($F168, ",", REPT(" ", 100)), (COLUMNS($AH$2:BA168)-1)*100+1, 100))</f>
        <v/>
      </c>
    </row>
    <row r="169" spans="1:53" x14ac:dyDescent="0.5">
      <c r="A169" s="1">
        <v>45825</v>
      </c>
      <c r="B169" s="2">
        <v>4</v>
      </c>
      <c r="C169" s="272"/>
      <c r="D169" s="295"/>
      <c r="E169" s="58">
        <v>0</v>
      </c>
      <c r="F169" s="38" t="s">
        <v>194</v>
      </c>
      <c r="AJ169" t="str">
        <f>TRIM(MID(SUBSTITUTE($F169, ",", REPT(" ", 100)), (COLUMNS($AH$2:AJ169)-1)*100+1, 100))</f>
        <v/>
      </c>
      <c r="AK169" s="1">
        <v>45825</v>
      </c>
      <c r="AL169" s="2">
        <v>4</v>
      </c>
      <c r="AM169" s="2">
        <v>4</v>
      </c>
      <c r="AO169" t="str">
        <f>TRIM(MID(SUBSTITUTE($F169, ",", REPT(" ", 100)), (COLUMNS($AH$2:AO169)-1)*100+1, 100))</f>
        <v/>
      </c>
      <c r="AP169" t="str">
        <f>TRIM(MID(SUBSTITUTE($F169, ",", REPT(" ", 100)), (COLUMNS($AH$2:AP169)-1)*100+1, 100))</f>
        <v/>
      </c>
      <c r="AQ169" t="str">
        <f>TRIM(MID(SUBSTITUTE($F169, ",", REPT(" ", 100)), (COLUMNS($AH$2:AQ169)-1)*100+1, 100))</f>
        <v/>
      </c>
      <c r="AR169" t="str">
        <f>TRIM(MID(SUBSTITUTE($F169, ",", REPT(" ", 100)), (COLUMNS($AH$2:AR169)-1)*100+1, 100))</f>
        <v/>
      </c>
      <c r="AS169" t="str">
        <f>TRIM(MID(SUBSTITUTE($F169, ",", REPT(" ", 100)), (COLUMNS($AH$2:AS169)-1)*100+1, 100))</f>
        <v/>
      </c>
      <c r="AT169" t="str">
        <f>TRIM(MID(SUBSTITUTE($F169, ",", REPT(" ", 100)), (COLUMNS($AH$2:AT169)-1)*100+1, 100))</f>
        <v/>
      </c>
      <c r="AU169" t="str">
        <f>TRIM(MID(SUBSTITUTE($F169, ",", REPT(" ", 100)), (COLUMNS($AH$2:AU169)-1)*100+1, 100))</f>
        <v/>
      </c>
      <c r="AV169" t="str">
        <f>TRIM(MID(SUBSTITUTE($F169, ",", REPT(" ", 100)), (COLUMNS($AH$2:AV169)-1)*100+1, 100))</f>
        <v/>
      </c>
      <c r="AW169" t="str">
        <f>TRIM(MID(SUBSTITUTE($F169, ",", REPT(" ", 100)), (COLUMNS($AH$2:AW169)-1)*100+1, 100))</f>
        <v/>
      </c>
      <c r="AX169" t="str">
        <f>TRIM(MID(SUBSTITUTE($F169, ",", REPT(" ", 100)), (COLUMNS($AH$2:AX169)-1)*100+1, 100))</f>
        <v/>
      </c>
      <c r="AY169" t="str">
        <f>TRIM(MID(SUBSTITUTE($F169, ",", REPT(" ", 100)), (COLUMNS($AH$2:AY169)-1)*100+1, 100))</f>
        <v/>
      </c>
      <c r="AZ169" t="str">
        <f>TRIM(MID(SUBSTITUTE($F169, ",", REPT(" ", 100)), (COLUMNS($AH$2:AZ169)-1)*100+1, 100))</f>
        <v/>
      </c>
      <c r="BA169" t="str">
        <f>TRIM(MID(SUBSTITUTE($F169, ",", REPT(" ", 100)), (COLUMNS($AH$2:BA169)-1)*100+1, 100))</f>
        <v/>
      </c>
    </row>
    <row r="170" spans="1:53" x14ac:dyDescent="0.5">
      <c r="A170" s="1">
        <v>45826</v>
      </c>
      <c r="B170" s="2">
        <v>4.5</v>
      </c>
      <c r="C170" s="272"/>
      <c r="D170" s="295"/>
      <c r="E170" s="58">
        <v>0</v>
      </c>
      <c r="F170" s="38" t="s">
        <v>194</v>
      </c>
      <c r="AJ170" t="str">
        <f>TRIM(MID(SUBSTITUTE($F170, ",", REPT(" ", 100)), (COLUMNS($AH$2:AJ170)-1)*100+1, 100))</f>
        <v/>
      </c>
      <c r="AK170" s="1">
        <v>45826</v>
      </c>
      <c r="AL170" s="2">
        <v>4.5</v>
      </c>
      <c r="AM170" s="2">
        <v>4</v>
      </c>
      <c r="AO170" t="str">
        <f>TRIM(MID(SUBSTITUTE($F170, ",", REPT(" ", 100)), (COLUMNS($AH$2:AO170)-1)*100+1, 100))</f>
        <v/>
      </c>
      <c r="AP170" t="str">
        <f>TRIM(MID(SUBSTITUTE($F170, ",", REPT(" ", 100)), (COLUMNS($AH$2:AP170)-1)*100+1, 100))</f>
        <v/>
      </c>
      <c r="AQ170" t="str">
        <f>TRIM(MID(SUBSTITUTE($F170, ",", REPT(" ", 100)), (COLUMNS($AH$2:AQ170)-1)*100+1, 100))</f>
        <v/>
      </c>
      <c r="AR170" t="str">
        <f>TRIM(MID(SUBSTITUTE($F170, ",", REPT(" ", 100)), (COLUMNS($AH$2:AR170)-1)*100+1, 100))</f>
        <v/>
      </c>
      <c r="AS170" t="str">
        <f>TRIM(MID(SUBSTITUTE($F170, ",", REPT(" ", 100)), (COLUMNS($AH$2:AS170)-1)*100+1, 100))</f>
        <v/>
      </c>
      <c r="AT170" t="str">
        <f>TRIM(MID(SUBSTITUTE($F170, ",", REPT(" ", 100)), (COLUMNS($AH$2:AT170)-1)*100+1, 100))</f>
        <v/>
      </c>
      <c r="AU170" t="str">
        <f>TRIM(MID(SUBSTITUTE($F170, ",", REPT(" ", 100)), (COLUMNS($AH$2:AU170)-1)*100+1, 100))</f>
        <v/>
      </c>
      <c r="AV170" t="str">
        <f>TRIM(MID(SUBSTITUTE($F170, ",", REPT(" ", 100)), (COLUMNS($AH$2:AV170)-1)*100+1, 100))</f>
        <v/>
      </c>
      <c r="AW170" t="str">
        <f>TRIM(MID(SUBSTITUTE($F170, ",", REPT(" ", 100)), (COLUMNS($AH$2:AW170)-1)*100+1, 100))</f>
        <v/>
      </c>
      <c r="AX170" t="str">
        <f>TRIM(MID(SUBSTITUTE($F170, ",", REPT(" ", 100)), (COLUMNS($AH$2:AX170)-1)*100+1, 100))</f>
        <v/>
      </c>
      <c r="AY170" t="str">
        <f>TRIM(MID(SUBSTITUTE($F170, ",", REPT(" ", 100)), (COLUMNS($AH$2:AY170)-1)*100+1, 100))</f>
        <v/>
      </c>
      <c r="AZ170" t="str">
        <f>TRIM(MID(SUBSTITUTE($F170, ",", REPT(" ", 100)), (COLUMNS($AH$2:AZ170)-1)*100+1, 100))</f>
        <v/>
      </c>
      <c r="BA170" t="str">
        <f>TRIM(MID(SUBSTITUTE($F170, ",", REPT(" ", 100)), (COLUMNS($AH$2:BA170)-1)*100+1, 100))</f>
        <v/>
      </c>
    </row>
    <row r="171" spans="1:53" x14ac:dyDescent="0.5">
      <c r="A171" s="1">
        <v>45827</v>
      </c>
      <c r="B171" s="2">
        <v>4.5</v>
      </c>
      <c r="C171" s="272"/>
      <c r="D171" s="295"/>
      <c r="E171" s="58">
        <v>0</v>
      </c>
      <c r="F171" s="38" t="s">
        <v>194</v>
      </c>
      <c r="AJ171" t="str">
        <f>TRIM(MID(SUBSTITUTE($F171, ",", REPT(" ", 100)), (COLUMNS($AH$2:AJ171)-1)*100+1, 100))</f>
        <v/>
      </c>
      <c r="AK171" s="1">
        <v>45827</v>
      </c>
      <c r="AL171" s="2">
        <v>4.5</v>
      </c>
      <c r="AM171" s="2">
        <v>10</v>
      </c>
      <c r="AO171" t="str">
        <f>TRIM(MID(SUBSTITUTE($F171, ",", REPT(" ", 100)), (COLUMNS($AH$2:AO171)-1)*100+1, 100))</f>
        <v/>
      </c>
      <c r="AP171" t="str">
        <f>TRIM(MID(SUBSTITUTE($F171, ",", REPT(" ", 100)), (COLUMNS($AH$2:AP171)-1)*100+1, 100))</f>
        <v/>
      </c>
      <c r="AQ171" t="str">
        <f>TRIM(MID(SUBSTITUTE($F171, ",", REPT(" ", 100)), (COLUMNS($AH$2:AQ171)-1)*100+1, 100))</f>
        <v/>
      </c>
      <c r="AR171" t="str">
        <f>TRIM(MID(SUBSTITUTE($F171, ",", REPT(" ", 100)), (COLUMNS($AH$2:AR171)-1)*100+1, 100))</f>
        <v/>
      </c>
      <c r="AS171" t="str">
        <f>TRIM(MID(SUBSTITUTE($F171, ",", REPT(" ", 100)), (COLUMNS($AH$2:AS171)-1)*100+1, 100))</f>
        <v/>
      </c>
      <c r="AT171" t="str">
        <f>TRIM(MID(SUBSTITUTE($F171, ",", REPT(" ", 100)), (COLUMNS($AH$2:AT171)-1)*100+1, 100))</f>
        <v/>
      </c>
      <c r="AU171" t="str">
        <f>TRIM(MID(SUBSTITUTE($F171, ",", REPT(" ", 100)), (COLUMNS($AH$2:AU171)-1)*100+1, 100))</f>
        <v/>
      </c>
      <c r="AV171" t="str">
        <f>TRIM(MID(SUBSTITUTE($F171, ",", REPT(" ", 100)), (COLUMNS($AH$2:AV171)-1)*100+1, 100))</f>
        <v/>
      </c>
      <c r="AW171" t="str">
        <f>TRIM(MID(SUBSTITUTE($F171, ",", REPT(" ", 100)), (COLUMNS($AH$2:AW171)-1)*100+1, 100))</f>
        <v/>
      </c>
      <c r="AX171" t="str">
        <f>TRIM(MID(SUBSTITUTE($F171, ",", REPT(" ", 100)), (COLUMNS($AH$2:AX171)-1)*100+1, 100))</f>
        <v/>
      </c>
      <c r="AY171" t="str">
        <f>TRIM(MID(SUBSTITUTE($F171, ",", REPT(" ", 100)), (COLUMNS($AH$2:AY171)-1)*100+1, 100))</f>
        <v/>
      </c>
      <c r="AZ171" t="str">
        <f>TRIM(MID(SUBSTITUTE($F171, ",", REPT(" ", 100)), (COLUMNS($AH$2:AZ171)-1)*100+1, 100))</f>
        <v/>
      </c>
      <c r="BA171" t="str">
        <f>TRIM(MID(SUBSTITUTE($F171, ",", REPT(" ", 100)), (COLUMNS($AH$2:BA171)-1)*100+1, 100))</f>
        <v/>
      </c>
    </row>
    <row r="172" spans="1:53" x14ac:dyDescent="0.5">
      <c r="A172" s="1">
        <v>45828</v>
      </c>
      <c r="B172" s="2">
        <v>5</v>
      </c>
      <c r="C172" s="272"/>
      <c r="D172" s="295"/>
      <c r="E172" s="58">
        <v>1</v>
      </c>
      <c r="F172" s="38" t="s">
        <v>194</v>
      </c>
      <c r="AJ172" t="str">
        <f>TRIM(MID(SUBSTITUTE($F172, ",", REPT(" ", 100)), (COLUMNS($AH$2:AJ172)-1)*100+1, 100))</f>
        <v/>
      </c>
      <c r="AK172" s="1">
        <v>45828</v>
      </c>
      <c r="AL172" s="2">
        <v>5</v>
      </c>
      <c r="AM172" s="2">
        <v>2</v>
      </c>
      <c r="AO172" t="str">
        <f>TRIM(MID(SUBSTITUTE($F172, ",", REPT(" ", 100)), (COLUMNS($AH$2:AO172)-1)*100+1, 100))</f>
        <v/>
      </c>
      <c r="AP172" t="str">
        <f>TRIM(MID(SUBSTITUTE($F172, ",", REPT(" ", 100)), (COLUMNS($AH$2:AP172)-1)*100+1, 100))</f>
        <v/>
      </c>
      <c r="AQ172" t="str">
        <f>TRIM(MID(SUBSTITUTE($F172, ",", REPT(" ", 100)), (COLUMNS($AH$2:AQ172)-1)*100+1, 100))</f>
        <v/>
      </c>
      <c r="AR172" t="str">
        <f>TRIM(MID(SUBSTITUTE($F172, ",", REPT(" ", 100)), (COLUMNS($AH$2:AR172)-1)*100+1, 100))</f>
        <v/>
      </c>
      <c r="AS172" t="str">
        <f>TRIM(MID(SUBSTITUTE($F172, ",", REPT(" ", 100)), (COLUMNS($AH$2:AS172)-1)*100+1, 100))</f>
        <v/>
      </c>
      <c r="AT172" t="str">
        <f>TRIM(MID(SUBSTITUTE($F172, ",", REPT(" ", 100)), (COLUMNS($AH$2:AT172)-1)*100+1, 100))</f>
        <v/>
      </c>
      <c r="AU172" t="str">
        <f>TRIM(MID(SUBSTITUTE($F172, ",", REPT(" ", 100)), (COLUMNS($AH$2:AU172)-1)*100+1, 100))</f>
        <v/>
      </c>
      <c r="AV172" t="str">
        <f>TRIM(MID(SUBSTITUTE($F172, ",", REPT(" ", 100)), (COLUMNS($AH$2:AV172)-1)*100+1, 100))</f>
        <v/>
      </c>
      <c r="AW172" t="str">
        <f>TRIM(MID(SUBSTITUTE($F172, ",", REPT(" ", 100)), (COLUMNS($AH$2:AW172)-1)*100+1, 100))</f>
        <v/>
      </c>
      <c r="AX172" t="str">
        <f>TRIM(MID(SUBSTITUTE($F172, ",", REPT(" ", 100)), (COLUMNS($AH$2:AX172)-1)*100+1, 100))</f>
        <v/>
      </c>
      <c r="AY172" t="str">
        <f>TRIM(MID(SUBSTITUTE($F172, ",", REPT(" ", 100)), (COLUMNS($AH$2:AY172)-1)*100+1, 100))</f>
        <v/>
      </c>
      <c r="AZ172" t="str">
        <f>TRIM(MID(SUBSTITUTE($F172, ",", REPT(" ", 100)), (COLUMNS($AH$2:AZ172)-1)*100+1, 100))</f>
        <v/>
      </c>
      <c r="BA172" t="str">
        <f>TRIM(MID(SUBSTITUTE($F172, ",", REPT(" ", 100)), (COLUMNS($AH$2:BA172)-1)*100+1, 100))</f>
        <v/>
      </c>
    </row>
    <row r="173" spans="1:53" x14ac:dyDescent="0.5">
      <c r="A173" s="1">
        <v>45829</v>
      </c>
      <c r="B173" s="2">
        <v>8.5</v>
      </c>
      <c r="C173" s="272"/>
      <c r="D173" s="295"/>
      <c r="E173" s="58">
        <v>1</v>
      </c>
      <c r="F173" s="38" t="s">
        <v>289</v>
      </c>
      <c r="AJ173" t="str">
        <f>TRIM(MID(SUBSTITUTE($F173, ",", REPT(" ", 100)), (COLUMNS($AH$2:AJ173)-1)*100+1, 100))</f>
        <v/>
      </c>
      <c r="AK173" s="1">
        <v>45829</v>
      </c>
      <c r="AL173" s="2">
        <v>8.5</v>
      </c>
      <c r="AM173" s="2">
        <v>2</v>
      </c>
      <c r="AO173" t="str">
        <f>TRIM(MID(SUBSTITUTE($F173, ",", REPT(" ", 100)), (COLUMNS($AH$2:AO173)-1)*100+1, 100))</f>
        <v/>
      </c>
      <c r="AP173" t="str">
        <f>TRIM(MID(SUBSTITUTE($F173, ",", REPT(" ", 100)), (COLUMNS($AH$2:AP173)-1)*100+1, 100))</f>
        <v/>
      </c>
      <c r="AQ173" t="str">
        <f>TRIM(MID(SUBSTITUTE($F173, ",", REPT(" ", 100)), (COLUMNS($AH$2:AQ173)-1)*100+1, 100))</f>
        <v/>
      </c>
      <c r="AR173" t="str">
        <f>TRIM(MID(SUBSTITUTE($F173, ",", REPT(" ", 100)), (COLUMNS($AH$2:AR173)-1)*100+1, 100))</f>
        <v/>
      </c>
      <c r="AS173" t="str">
        <f>TRIM(MID(SUBSTITUTE($F173, ",", REPT(" ", 100)), (COLUMNS($AH$2:AS173)-1)*100+1, 100))</f>
        <v/>
      </c>
      <c r="AT173" t="str">
        <f>TRIM(MID(SUBSTITUTE($F173, ",", REPT(" ", 100)), (COLUMNS($AH$2:AT173)-1)*100+1, 100))</f>
        <v/>
      </c>
      <c r="AU173" t="str">
        <f>TRIM(MID(SUBSTITUTE($F173, ",", REPT(" ", 100)), (COLUMNS($AH$2:AU173)-1)*100+1, 100))</f>
        <v/>
      </c>
      <c r="AV173" t="str">
        <f>TRIM(MID(SUBSTITUTE($F173, ",", REPT(" ", 100)), (COLUMNS($AH$2:AV173)-1)*100+1, 100))</f>
        <v/>
      </c>
      <c r="AW173" t="str">
        <f>TRIM(MID(SUBSTITUTE($F173, ",", REPT(" ", 100)), (COLUMNS($AH$2:AW173)-1)*100+1, 100))</f>
        <v/>
      </c>
      <c r="AX173" t="str">
        <f>TRIM(MID(SUBSTITUTE($F173, ",", REPT(" ", 100)), (COLUMNS($AH$2:AX173)-1)*100+1, 100))</f>
        <v/>
      </c>
      <c r="AY173" t="str">
        <f>TRIM(MID(SUBSTITUTE($F173, ",", REPT(" ", 100)), (COLUMNS($AH$2:AY173)-1)*100+1, 100))</f>
        <v/>
      </c>
      <c r="AZ173" t="str">
        <f>TRIM(MID(SUBSTITUTE($F173, ",", REPT(" ", 100)), (COLUMNS($AH$2:AZ173)-1)*100+1, 100))</f>
        <v/>
      </c>
      <c r="BA173" t="str">
        <f>TRIM(MID(SUBSTITUTE($F173, ",", REPT(" ", 100)), (COLUMNS($AH$2:BA173)-1)*100+1, 100))</f>
        <v/>
      </c>
    </row>
    <row r="174" spans="1:53" x14ac:dyDescent="0.5">
      <c r="A174" s="1">
        <v>45830</v>
      </c>
      <c r="B174" s="2">
        <v>9</v>
      </c>
      <c r="C174" s="272"/>
      <c r="D174" s="295"/>
      <c r="E174" s="58">
        <v>1</v>
      </c>
      <c r="F174" s="38" t="s">
        <v>290</v>
      </c>
      <c r="AJ174" t="str">
        <f>TRIM(MID(SUBSTITUTE($F174, ",", REPT(" ", 100)), (COLUMNS($AH$2:AJ174)-1)*100+1, 100))</f>
        <v/>
      </c>
      <c r="AK174" s="1">
        <v>45830</v>
      </c>
      <c r="AL174" s="2">
        <v>9</v>
      </c>
      <c r="AM174" s="2">
        <v>4</v>
      </c>
      <c r="AO174" t="str">
        <f>TRIM(MID(SUBSTITUTE($F174, ",", REPT(" ", 100)), (COLUMNS($AH$2:AO174)-1)*100+1, 100))</f>
        <v/>
      </c>
      <c r="AP174" t="str">
        <f>TRIM(MID(SUBSTITUTE($F174, ",", REPT(" ", 100)), (COLUMNS($AH$2:AP174)-1)*100+1, 100))</f>
        <v/>
      </c>
      <c r="AQ174" t="str">
        <f>TRIM(MID(SUBSTITUTE($F174, ",", REPT(" ", 100)), (COLUMNS($AH$2:AQ174)-1)*100+1, 100))</f>
        <v/>
      </c>
      <c r="AR174" t="str">
        <f>TRIM(MID(SUBSTITUTE($F174, ",", REPT(" ", 100)), (COLUMNS($AH$2:AR174)-1)*100+1, 100))</f>
        <v/>
      </c>
      <c r="AS174" t="str">
        <f>TRIM(MID(SUBSTITUTE($F174, ",", REPT(" ", 100)), (COLUMNS($AH$2:AS174)-1)*100+1, 100))</f>
        <v/>
      </c>
      <c r="AT174" t="str">
        <f>TRIM(MID(SUBSTITUTE($F174, ",", REPT(" ", 100)), (COLUMNS($AH$2:AT174)-1)*100+1, 100))</f>
        <v/>
      </c>
      <c r="AU174" t="str">
        <f>TRIM(MID(SUBSTITUTE($F174, ",", REPT(" ", 100)), (COLUMNS($AH$2:AU174)-1)*100+1, 100))</f>
        <v/>
      </c>
      <c r="AV174" t="str">
        <f>TRIM(MID(SUBSTITUTE($F174, ",", REPT(" ", 100)), (COLUMNS($AH$2:AV174)-1)*100+1, 100))</f>
        <v/>
      </c>
      <c r="AW174" t="str">
        <f>TRIM(MID(SUBSTITUTE($F174, ",", REPT(" ", 100)), (COLUMNS($AH$2:AW174)-1)*100+1, 100))</f>
        <v/>
      </c>
      <c r="AX174" t="str">
        <f>TRIM(MID(SUBSTITUTE($F174, ",", REPT(" ", 100)), (COLUMNS($AH$2:AX174)-1)*100+1, 100))</f>
        <v/>
      </c>
      <c r="AY174" t="str">
        <f>TRIM(MID(SUBSTITUTE($F174, ",", REPT(" ", 100)), (COLUMNS($AH$2:AY174)-1)*100+1, 100))</f>
        <v/>
      </c>
      <c r="AZ174" t="str">
        <f>TRIM(MID(SUBSTITUTE($F174, ",", REPT(" ", 100)), (COLUMNS($AH$2:AZ174)-1)*100+1, 100))</f>
        <v/>
      </c>
      <c r="BA174" t="str">
        <f>TRIM(MID(SUBSTITUTE($F174, ",", REPT(" ", 100)), (COLUMNS($AH$2:BA174)-1)*100+1, 100))</f>
        <v/>
      </c>
    </row>
    <row r="175" spans="1:53" x14ac:dyDescent="0.5">
      <c r="A175" s="1">
        <v>45831</v>
      </c>
      <c r="B175" s="2">
        <v>3.5</v>
      </c>
      <c r="C175" s="272"/>
      <c r="D175" s="295"/>
      <c r="E175" s="58">
        <v>0</v>
      </c>
      <c r="F175" s="38" t="s">
        <v>194</v>
      </c>
      <c r="AJ175" t="str">
        <f>TRIM(MID(SUBSTITUTE($F175, ",", REPT(" ", 100)), (COLUMNS($AH$2:AJ175)-1)*100+1, 100))</f>
        <v/>
      </c>
      <c r="AK175" s="1">
        <v>45831</v>
      </c>
      <c r="AL175" s="2">
        <v>3.5</v>
      </c>
      <c r="AM175" s="2">
        <v>4</v>
      </c>
      <c r="AO175" t="str">
        <f>TRIM(MID(SUBSTITUTE($F175, ",", REPT(" ", 100)), (COLUMNS($AH$2:AO175)-1)*100+1, 100))</f>
        <v/>
      </c>
      <c r="AP175" t="str">
        <f>TRIM(MID(SUBSTITUTE($F175, ",", REPT(" ", 100)), (COLUMNS($AH$2:AP175)-1)*100+1, 100))</f>
        <v/>
      </c>
      <c r="AQ175" t="str">
        <f>TRIM(MID(SUBSTITUTE($F175, ",", REPT(" ", 100)), (COLUMNS($AH$2:AQ175)-1)*100+1, 100))</f>
        <v/>
      </c>
      <c r="AR175" t="str">
        <f>TRIM(MID(SUBSTITUTE($F175, ",", REPT(" ", 100)), (COLUMNS($AH$2:AR175)-1)*100+1, 100))</f>
        <v/>
      </c>
      <c r="AS175" t="str">
        <f>TRIM(MID(SUBSTITUTE($F175, ",", REPT(" ", 100)), (COLUMNS($AH$2:AS175)-1)*100+1, 100))</f>
        <v/>
      </c>
      <c r="AT175" t="str">
        <f>TRIM(MID(SUBSTITUTE($F175, ",", REPT(" ", 100)), (COLUMNS($AH$2:AT175)-1)*100+1, 100))</f>
        <v/>
      </c>
      <c r="AU175" t="str">
        <f>TRIM(MID(SUBSTITUTE($F175, ",", REPT(" ", 100)), (COLUMNS($AH$2:AU175)-1)*100+1, 100))</f>
        <v/>
      </c>
      <c r="AV175" t="str">
        <f>TRIM(MID(SUBSTITUTE($F175, ",", REPT(" ", 100)), (COLUMNS($AH$2:AV175)-1)*100+1, 100))</f>
        <v/>
      </c>
      <c r="AW175" t="str">
        <f>TRIM(MID(SUBSTITUTE($F175, ",", REPT(" ", 100)), (COLUMNS($AH$2:AW175)-1)*100+1, 100))</f>
        <v/>
      </c>
      <c r="AX175" t="str">
        <f>TRIM(MID(SUBSTITUTE($F175, ",", REPT(" ", 100)), (COLUMNS($AH$2:AX175)-1)*100+1, 100))</f>
        <v/>
      </c>
      <c r="AY175" t="str">
        <f>TRIM(MID(SUBSTITUTE($F175, ",", REPT(" ", 100)), (COLUMNS($AH$2:AY175)-1)*100+1, 100))</f>
        <v/>
      </c>
      <c r="AZ175" t="str">
        <f>TRIM(MID(SUBSTITUTE($F175, ",", REPT(" ", 100)), (COLUMNS($AH$2:AZ175)-1)*100+1, 100))</f>
        <v/>
      </c>
      <c r="BA175" t="str">
        <f>TRIM(MID(SUBSTITUTE($F175, ",", REPT(" ", 100)), (COLUMNS($AH$2:BA175)-1)*100+1, 100))</f>
        <v/>
      </c>
    </row>
    <row r="176" spans="1:53" x14ac:dyDescent="0.5">
      <c r="A176" s="1">
        <v>45832</v>
      </c>
      <c r="B176" s="2">
        <v>6</v>
      </c>
      <c r="C176" s="272"/>
      <c r="D176" s="295"/>
      <c r="E176" s="58">
        <v>0</v>
      </c>
      <c r="F176" s="38" t="s">
        <v>194</v>
      </c>
      <c r="AJ176" t="str">
        <f>TRIM(MID(SUBSTITUTE($F176, ",", REPT(" ", 100)), (COLUMNS($AH$2:AJ176)-1)*100+1, 100))</f>
        <v/>
      </c>
      <c r="AK176" s="1">
        <v>45832</v>
      </c>
      <c r="AL176" s="2">
        <v>6</v>
      </c>
      <c r="AM176" s="2">
        <v>6</v>
      </c>
      <c r="AO176" t="str">
        <f>TRIM(MID(SUBSTITUTE($F176, ",", REPT(" ", 100)), (COLUMNS($AH$2:AO176)-1)*100+1, 100))</f>
        <v/>
      </c>
      <c r="AP176" t="str">
        <f>TRIM(MID(SUBSTITUTE($F176, ",", REPT(" ", 100)), (COLUMNS($AH$2:AP176)-1)*100+1, 100))</f>
        <v/>
      </c>
      <c r="AQ176" t="str">
        <f>TRIM(MID(SUBSTITUTE($F176, ",", REPT(" ", 100)), (COLUMNS($AH$2:AQ176)-1)*100+1, 100))</f>
        <v/>
      </c>
      <c r="AR176" t="str">
        <f>TRIM(MID(SUBSTITUTE($F176, ",", REPT(" ", 100)), (COLUMNS($AH$2:AR176)-1)*100+1, 100))</f>
        <v/>
      </c>
      <c r="AS176" t="str">
        <f>TRIM(MID(SUBSTITUTE($F176, ",", REPT(" ", 100)), (COLUMNS($AH$2:AS176)-1)*100+1, 100))</f>
        <v/>
      </c>
      <c r="AT176" t="str">
        <f>TRIM(MID(SUBSTITUTE($F176, ",", REPT(" ", 100)), (COLUMNS($AH$2:AT176)-1)*100+1, 100))</f>
        <v/>
      </c>
      <c r="AU176" t="str">
        <f>TRIM(MID(SUBSTITUTE($F176, ",", REPT(" ", 100)), (COLUMNS($AH$2:AU176)-1)*100+1, 100))</f>
        <v/>
      </c>
      <c r="AV176" t="str">
        <f>TRIM(MID(SUBSTITUTE($F176, ",", REPT(" ", 100)), (COLUMNS($AH$2:AV176)-1)*100+1, 100))</f>
        <v/>
      </c>
      <c r="AW176" t="str">
        <f>TRIM(MID(SUBSTITUTE($F176, ",", REPT(" ", 100)), (COLUMNS($AH$2:AW176)-1)*100+1, 100))</f>
        <v/>
      </c>
      <c r="AX176" t="str">
        <f>TRIM(MID(SUBSTITUTE($F176, ",", REPT(" ", 100)), (COLUMNS($AH$2:AX176)-1)*100+1, 100))</f>
        <v/>
      </c>
      <c r="AY176" t="str">
        <f>TRIM(MID(SUBSTITUTE($F176, ",", REPT(" ", 100)), (COLUMNS($AH$2:AY176)-1)*100+1, 100))</f>
        <v/>
      </c>
      <c r="AZ176" t="str">
        <f>TRIM(MID(SUBSTITUTE($F176, ",", REPT(" ", 100)), (COLUMNS($AH$2:AZ176)-1)*100+1, 100))</f>
        <v/>
      </c>
      <c r="BA176" t="str">
        <f>TRIM(MID(SUBSTITUTE($F176, ",", REPT(" ", 100)), (COLUMNS($AH$2:BA176)-1)*100+1, 100))</f>
        <v/>
      </c>
    </row>
    <row r="177" spans="1:53" x14ac:dyDescent="0.5">
      <c r="A177" s="1">
        <v>45833</v>
      </c>
      <c r="B177" s="2">
        <v>6</v>
      </c>
      <c r="C177" s="272"/>
      <c r="D177" s="295"/>
      <c r="E177" s="58">
        <v>0</v>
      </c>
      <c r="F177" s="38" t="s">
        <v>194</v>
      </c>
      <c r="AJ177" t="str">
        <f>TRIM(MID(SUBSTITUTE($F177, ",", REPT(" ", 100)), (COLUMNS($AH$2:AJ177)-1)*100+1, 100))</f>
        <v/>
      </c>
      <c r="AK177" s="1">
        <v>45833</v>
      </c>
      <c r="AL177" s="2">
        <v>6</v>
      </c>
      <c r="AM177" s="2">
        <v>4</v>
      </c>
      <c r="AO177" t="str">
        <f>TRIM(MID(SUBSTITUTE($F177, ",", REPT(" ", 100)), (COLUMNS($AH$2:AO177)-1)*100+1, 100))</f>
        <v/>
      </c>
      <c r="AP177" t="str">
        <f>TRIM(MID(SUBSTITUTE($F177, ",", REPT(" ", 100)), (COLUMNS($AH$2:AP177)-1)*100+1, 100))</f>
        <v/>
      </c>
      <c r="AQ177" t="str">
        <f>TRIM(MID(SUBSTITUTE($F177, ",", REPT(" ", 100)), (COLUMNS($AH$2:AQ177)-1)*100+1, 100))</f>
        <v/>
      </c>
      <c r="AR177" t="str">
        <f>TRIM(MID(SUBSTITUTE($F177, ",", REPT(" ", 100)), (COLUMNS($AH$2:AR177)-1)*100+1, 100))</f>
        <v/>
      </c>
      <c r="AS177" t="str">
        <f>TRIM(MID(SUBSTITUTE($F177, ",", REPT(" ", 100)), (COLUMNS($AH$2:AS177)-1)*100+1, 100))</f>
        <v/>
      </c>
      <c r="AT177" t="str">
        <f>TRIM(MID(SUBSTITUTE($F177, ",", REPT(" ", 100)), (COLUMNS($AH$2:AT177)-1)*100+1, 100))</f>
        <v/>
      </c>
      <c r="AU177" t="str">
        <f>TRIM(MID(SUBSTITUTE($F177, ",", REPT(" ", 100)), (COLUMNS($AH$2:AU177)-1)*100+1, 100))</f>
        <v/>
      </c>
      <c r="AV177" t="str">
        <f>TRIM(MID(SUBSTITUTE($F177, ",", REPT(" ", 100)), (COLUMNS($AH$2:AV177)-1)*100+1, 100))</f>
        <v/>
      </c>
      <c r="AW177" t="str">
        <f>TRIM(MID(SUBSTITUTE($F177, ",", REPT(" ", 100)), (COLUMNS($AH$2:AW177)-1)*100+1, 100))</f>
        <v/>
      </c>
      <c r="AX177" t="str">
        <f>TRIM(MID(SUBSTITUTE($F177, ",", REPT(" ", 100)), (COLUMNS($AH$2:AX177)-1)*100+1, 100))</f>
        <v/>
      </c>
      <c r="AY177" t="str">
        <f>TRIM(MID(SUBSTITUTE($F177, ",", REPT(" ", 100)), (COLUMNS($AH$2:AY177)-1)*100+1, 100))</f>
        <v/>
      </c>
      <c r="AZ177" t="str">
        <f>TRIM(MID(SUBSTITUTE($F177, ",", REPT(" ", 100)), (COLUMNS($AH$2:AZ177)-1)*100+1, 100))</f>
        <v/>
      </c>
      <c r="BA177" t="str">
        <f>TRIM(MID(SUBSTITUTE($F177, ",", REPT(" ", 100)), (COLUMNS($AH$2:BA177)-1)*100+1, 100))</f>
        <v/>
      </c>
    </row>
    <row r="178" spans="1:53" x14ac:dyDescent="0.5">
      <c r="A178" s="1">
        <v>45834</v>
      </c>
      <c r="B178" s="2">
        <v>4.5</v>
      </c>
      <c r="C178" s="272"/>
      <c r="D178" s="295"/>
      <c r="E178" s="58">
        <v>1</v>
      </c>
      <c r="F178" s="38" t="s">
        <v>194</v>
      </c>
      <c r="AJ178" t="str">
        <f>TRIM(MID(SUBSTITUTE($F178, ",", REPT(" ", 100)), (COLUMNS($AH$2:AJ178)-1)*100+1, 100))</f>
        <v/>
      </c>
      <c r="AK178" s="1">
        <v>45834</v>
      </c>
      <c r="AL178" s="2">
        <v>4.5</v>
      </c>
      <c r="AM178" s="2">
        <v>4</v>
      </c>
      <c r="AO178" t="str">
        <f>TRIM(MID(SUBSTITUTE($F178, ",", REPT(" ", 100)), (COLUMNS($AH$2:AO178)-1)*100+1, 100))</f>
        <v/>
      </c>
      <c r="AP178" t="str">
        <f>TRIM(MID(SUBSTITUTE($F178, ",", REPT(" ", 100)), (COLUMNS($AH$2:AP178)-1)*100+1, 100))</f>
        <v/>
      </c>
      <c r="AQ178" t="str">
        <f>TRIM(MID(SUBSTITUTE($F178, ",", REPT(" ", 100)), (COLUMNS($AH$2:AQ178)-1)*100+1, 100))</f>
        <v/>
      </c>
      <c r="AR178" t="str">
        <f>TRIM(MID(SUBSTITUTE($F178, ",", REPT(" ", 100)), (COLUMNS($AH$2:AR178)-1)*100+1, 100))</f>
        <v/>
      </c>
      <c r="AS178" t="str">
        <f>TRIM(MID(SUBSTITUTE($F178, ",", REPT(" ", 100)), (COLUMNS($AH$2:AS178)-1)*100+1, 100))</f>
        <v/>
      </c>
      <c r="AT178" t="str">
        <f>TRIM(MID(SUBSTITUTE($F178, ",", REPT(" ", 100)), (COLUMNS($AH$2:AT178)-1)*100+1, 100))</f>
        <v/>
      </c>
      <c r="AU178" t="str">
        <f>TRIM(MID(SUBSTITUTE($F178, ",", REPT(" ", 100)), (COLUMNS($AH$2:AU178)-1)*100+1, 100))</f>
        <v/>
      </c>
      <c r="AV178" t="str">
        <f>TRIM(MID(SUBSTITUTE($F178, ",", REPT(" ", 100)), (COLUMNS($AH$2:AV178)-1)*100+1, 100))</f>
        <v/>
      </c>
      <c r="AW178" t="str">
        <f>TRIM(MID(SUBSTITUTE($F178, ",", REPT(" ", 100)), (COLUMNS($AH$2:AW178)-1)*100+1, 100))</f>
        <v/>
      </c>
      <c r="AX178" t="str">
        <f>TRIM(MID(SUBSTITUTE($F178, ",", REPT(" ", 100)), (COLUMNS($AH$2:AX178)-1)*100+1, 100))</f>
        <v/>
      </c>
      <c r="AY178" t="str">
        <f>TRIM(MID(SUBSTITUTE($F178, ",", REPT(" ", 100)), (COLUMNS($AH$2:AY178)-1)*100+1, 100))</f>
        <v/>
      </c>
      <c r="AZ178" t="str">
        <f>TRIM(MID(SUBSTITUTE($F178, ",", REPT(" ", 100)), (COLUMNS($AH$2:AZ178)-1)*100+1, 100))</f>
        <v/>
      </c>
      <c r="BA178" t="str">
        <f>TRIM(MID(SUBSTITUTE($F178, ",", REPT(" ", 100)), (COLUMNS($AH$2:BA178)-1)*100+1, 100))</f>
        <v/>
      </c>
    </row>
    <row r="179" spans="1:53" x14ac:dyDescent="0.5">
      <c r="A179" s="1">
        <v>45835</v>
      </c>
      <c r="B179" s="2">
        <v>5</v>
      </c>
      <c r="C179" s="272"/>
      <c r="D179" s="295"/>
      <c r="E179" s="58">
        <v>1</v>
      </c>
      <c r="F179" s="38" t="s">
        <v>194</v>
      </c>
      <c r="AJ179" t="str">
        <f>TRIM(MID(SUBSTITUTE($F179, ",", REPT(" ", 100)), (COLUMNS($AH$2:AJ179)-1)*100+1, 100))</f>
        <v/>
      </c>
      <c r="AK179" s="1">
        <v>45835</v>
      </c>
      <c r="AL179" s="2">
        <v>5</v>
      </c>
      <c r="AM179" s="2">
        <v>6</v>
      </c>
      <c r="AO179" t="str">
        <f>TRIM(MID(SUBSTITUTE($F179, ",", REPT(" ", 100)), (COLUMNS($AH$2:AO179)-1)*100+1, 100))</f>
        <v/>
      </c>
      <c r="AP179" t="str">
        <f>TRIM(MID(SUBSTITUTE($F179, ",", REPT(" ", 100)), (COLUMNS($AH$2:AP179)-1)*100+1, 100))</f>
        <v/>
      </c>
      <c r="AQ179" t="str">
        <f>TRIM(MID(SUBSTITUTE($F179, ",", REPT(" ", 100)), (COLUMNS($AH$2:AQ179)-1)*100+1, 100))</f>
        <v/>
      </c>
      <c r="AR179" t="str">
        <f>TRIM(MID(SUBSTITUTE($F179, ",", REPT(" ", 100)), (COLUMNS($AH$2:AR179)-1)*100+1, 100))</f>
        <v/>
      </c>
      <c r="AS179" t="str">
        <f>TRIM(MID(SUBSTITUTE($F179, ",", REPT(" ", 100)), (COLUMNS($AH$2:AS179)-1)*100+1, 100))</f>
        <v/>
      </c>
      <c r="AT179" t="str">
        <f>TRIM(MID(SUBSTITUTE($F179, ",", REPT(" ", 100)), (COLUMNS($AH$2:AT179)-1)*100+1, 100))</f>
        <v/>
      </c>
      <c r="AU179" t="str">
        <f>TRIM(MID(SUBSTITUTE($F179, ",", REPT(" ", 100)), (COLUMNS($AH$2:AU179)-1)*100+1, 100))</f>
        <v/>
      </c>
      <c r="AV179" t="str">
        <f>TRIM(MID(SUBSTITUTE($F179, ",", REPT(" ", 100)), (COLUMNS($AH$2:AV179)-1)*100+1, 100))</f>
        <v/>
      </c>
      <c r="AW179" t="str">
        <f>TRIM(MID(SUBSTITUTE($F179, ",", REPT(" ", 100)), (COLUMNS($AH$2:AW179)-1)*100+1, 100))</f>
        <v/>
      </c>
      <c r="AX179" t="str">
        <f>TRIM(MID(SUBSTITUTE($F179, ",", REPT(" ", 100)), (COLUMNS($AH$2:AX179)-1)*100+1, 100))</f>
        <v/>
      </c>
      <c r="AY179" t="str">
        <f>TRIM(MID(SUBSTITUTE($F179, ",", REPT(" ", 100)), (COLUMNS($AH$2:AY179)-1)*100+1, 100))</f>
        <v/>
      </c>
      <c r="AZ179" t="str">
        <f>TRIM(MID(SUBSTITUTE($F179, ",", REPT(" ", 100)), (COLUMNS($AH$2:AZ179)-1)*100+1, 100))</f>
        <v/>
      </c>
      <c r="BA179" t="str">
        <f>TRIM(MID(SUBSTITUTE($F179, ",", REPT(" ", 100)), (COLUMNS($AH$2:BA179)-1)*100+1, 100))</f>
        <v/>
      </c>
    </row>
    <row r="180" spans="1:53" x14ac:dyDescent="0.5">
      <c r="A180" s="1">
        <v>45836</v>
      </c>
      <c r="B180" s="2">
        <v>5</v>
      </c>
      <c r="C180" s="272"/>
      <c r="D180" s="295"/>
      <c r="E180" s="58">
        <v>1</v>
      </c>
      <c r="F180" s="38" t="s">
        <v>194</v>
      </c>
      <c r="AJ180" t="str">
        <f>TRIM(MID(SUBSTITUTE($F180, ",", REPT(" ", 100)), (COLUMNS($AH$2:AJ180)-1)*100+1, 100))</f>
        <v/>
      </c>
      <c r="AK180" s="1">
        <v>45836</v>
      </c>
      <c r="AL180" s="2">
        <v>5</v>
      </c>
      <c r="AM180" s="2">
        <v>10</v>
      </c>
      <c r="AO180" t="str">
        <f>TRIM(MID(SUBSTITUTE($F180, ",", REPT(" ", 100)), (COLUMNS($AH$2:AO180)-1)*100+1, 100))</f>
        <v/>
      </c>
      <c r="AP180" t="str">
        <f>TRIM(MID(SUBSTITUTE($F180, ",", REPT(" ", 100)), (COLUMNS($AH$2:AP180)-1)*100+1, 100))</f>
        <v/>
      </c>
      <c r="AQ180" t="str">
        <f>TRIM(MID(SUBSTITUTE($F180, ",", REPT(" ", 100)), (COLUMNS($AH$2:AQ180)-1)*100+1, 100))</f>
        <v/>
      </c>
      <c r="AR180" t="str">
        <f>TRIM(MID(SUBSTITUTE($F180, ",", REPT(" ", 100)), (COLUMNS($AH$2:AR180)-1)*100+1, 100))</f>
        <v/>
      </c>
      <c r="AS180" t="str">
        <f>TRIM(MID(SUBSTITUTE($F180, ",", REPT(" ", 100)), (COLUMNS($AH$2:AS180)-1)*100+1, 100))</f>
        <v/>
      </c>
      <c r="AT180" t="str">
        <f>TRIM(MID(SUBSTITUTE($F180, ",", REPT(" ", 100)), (COLUMNS($AH$2:AT180)-1)*100+1, 100))</f>
        <v/>
      </c>
      <c r="AU180" t="str">
        <f>TRIM(MID(SUBSTITUTE($F180, ",", REPT(" ", 100)), (COLUMNS($AH$2:AU180)-1)*100+1, 100))</f>
        <v/>
      </c>
      <c r="AV180" t="str">
        <f>TRIM(MID(SUBSTITUTE($F180, ",", REPT(" ", 100)), (COLUMNS($AH$2:AV180)-1)*100+1, 100))</f>
        <v/>
      </c>
      <c r="AW180" t="str">
        <f>TRIM(MID(SUBSTITUTE($F180, ",", REPT(" ", 100)), (COLUMNS($AH$2:AW180)-1)*100+1, 100))</f>
        <v/>
      </c>
      <c r="AX180" t="str">
        <f>TRIM(MID(SUBSTITUTE($F180, ",", REPT(" ", 100)), (COLUMNS($AH$2:AX180)-1)*100+1, 100))</f>
        <v/>
      </c>
      <c r="AY180" t="str">
        <f>TRIM(MID(SUBSTITUTE($F180, ",", REPT(" ", 100)), (COLUMNS($AH$2:AY180)-1)*100+1, 100))</f>
        <v/>
      </c>
      <c r="AZ180" t="str">
        <f>TRIM(MID(SUBSTITUTE($F180, ",", REPT(" ", 100)), (COLUMNS($AH$2:AZ180)-1)*100+1, 100))</f>
        <v/>
      </c>
      <c r="BA180" t="str">
        <f>TRIM(MID(SUBSTITUTE($F180, ",", REPT(" ", 100)), (COLUMNS($AH$2:BA180)-1)*100+1, 100))</f>
        <v/>
      </c>
    </row>
    <row r="181" spans="1:53" x14ac:dyDescent="0.5">
      <c r="A181" s="1">
        <v>45837</v>
      </c>
      <c r="B181" s="2">
        <v>6</v>
      </c>
      <c r="C181" s="272"/>
      <c r="D181" s="295"/>
      <c r="E181" s="58">
        <v>1</v>
      </c>
      <c r="F181" s="38" t="s">
        <v>194</v>
      </c>
      <c r="AJ181" t="str">
        <f>TRIM(MID(SUBSTITUTE($F181, ",", REPT(" ", 100)), (COLUMNS($AH$2:AJ181)-1)*100+1, 100))</f>
        <v/>
      </c>
      <c r="AK181" s="1">
        <v>45837</v>
      </c>
      <c r="AL181" s="2">
        <v>6</v>
      </c>
      <c r="AM181" s="2">
        <v>8</v>
      </c>
      <c r="AO181" t="str">
        <f>TRIM(MID(SUBSTITUTE($F181, ",", REPT(" ", 100)), (COLUMNS($AH$2:AO181)-1)*100+1, 100))</f>
        <v/>
      </c>
      <c r="AP181" t="str">
        <f>TRIM(MID(SUBSTITUTE($F181, ",", REPT(" ", 100)), (COLUMNS($AH$2:AP181)-1)*100+1, 100))</f>
        <v/>
      </c>
      <c r="AQ181" t="str">
        <f>TRIM(MID(SUBSTITUTE($F181, ",", REPT(" ", 100)), (COLUMNS($AH$2:AQ181)-1)*100+1, 100))</f>
        <v/>
      </c>
      <c r="AR181" t="str">
        <f>TRIM(MID(SUBSTITUTE($F181, ",", REPT(" ", 100)), (COLUMNS($AH$2:AR181)-1)*100+1, 100))</f>
        <v/>
      </c>
      <c r="AS181" t="str">
        <f>TRIM(MID(SUBSTITUTE($F181, ",", REPT(" ", 100)), (COLUMNS($AH$2:AS181)-1)*100+1, 100))</f>
        <v/>
      </c>
      <c r="AT181" t="str">
        <f>TRIM(MID(SUBSTITUTE($F181, ",", REPT(" ", 100)), (COLUMNS($AH$2:AT181)-1)*100+1, 100))</f>
        <v/>
      </c>
      <c r="AU181" t="str">
        <f>TRIM(MID(SUBSTITUTE($F181, ",", REPT(" ", 100)), (COLUMNS($AH$2:AU181)-1)*100+1, 100))</f>
        <v/>
      </c>
      <c r="AV181" t="str">
        <f>TRIM(MID(SUBSTITUTE($F181, ",", REPT(" ", 100)), (COLUMNS($AH$2:AV181)-1)*100+1, 100))</f>
        <v/>
      </c>
      <c r="AW181" t="str">
        <f>TRIM(MID(SUBSTITUTE($F181, ",", REPT(" ", 100)), (COLUMNS($AH$2:AW181)-1)*100+1, 100))</f>
        <v/>
      </c>
      <c r="AX181" t="str">
        <f>TRIM(MID(SUBSTITUTE($F181, ",", REPT(" ", 100)), (COLUMNS($AH$2:AX181)-1)*100+1, 100))</f>
        <v/>
      </c>
      <c r="AY181" t="str">
        <f>TRIM(MID(SUBSTITUTE($F181, ",", REPT(" ", 100)), (COLUMNS($AH$2:AY181)-1)*100+1, 100))</f>
        <v/>
      </c>
      <c r="AZ181" t="str">
        <f>TRIM(MID(SUBSTITUTE($F181, ",", REPT(" ", 100)), (COLUMNS($AH$2:AZ181)-1)*100+1, 100))</f>
        <v/>
      </c>
      <c r="BA181" t="str">
        <f>TRIM(MID(SUBSTITUTE($F181, ",", REPT(" ", 100)), (COLUMNS($AH$2:BA181)-1)*100+1, 100))</f>
        <v/>
      </c>
    </row>
    <row r="182" spans="1:53" x14ac:dyDescent="0.5">
      <c r="A182" s="1">
        <v>45838</v>
      </c>
      <c r="B182" s="2">
        <v>5</v>
      </c>
      <c r="C182" s="272"/>
      <c r="D182" s="295"/>
      <c r="E182" s="58">
        <v>1</v>
      </c>
      <c r="F182" s="38" t="s">
        <v>194</v>
      </c>
      <c r="AJ182" t="str">
        <f>TRIM(MID(SUBSTITUTE($F182, ",", REPT(" ", 100)), (COLUMNS($AH$2:AJ182)-1)*100+1, 100))</f>
        <v/>
      </c>
      <c r="AK182" s="1">
        <v>45838</v>
      </c>
      <c r="AL182" s="2">
        <v>5</v>
      </c>
      <c r="AM182" s="2">
        <v>6</v>
      </c>
      <c r="AO182" t="str">
        <f>TRIM(MID(SUBSTITUTE($F182, ",", REPT(" ", 100)), (COLUMNS($AH$2:AO182)-1)*100+1, 100))</f>
        <v/>
      </c>
      <c r="AP182" t="str">
        <f>TRIM(MID(SUBSTITUTE($F182, ",", REPT(" ", 100)), (COLUMNS($AH$2:AP182)-1)*100+1, 100))</f>
        <v/>
      </c>
      <c r="AQ182" t="str">
        <f>TRIM(MID(SUBSTITUTE($F182, ",", REPT(" ", 100)), (COLUMNS($AH$2:AQ182)-1)*100+1, 100))</f>
        <v/>
      </c>
      <c r="AR182" t="str">
        <f>TRIM(MID(SUBSTITUTE($F182, ",", REPT(" ", 100)), (COLUMNS($AH$2:AR182)-1)*100+1, 100))</f>
        <v/>
      </c>
      <c r="AS182" t="str">
        <f>TRIM(MID(SUBSTITUTE($F182, ",", REPT(" ", 100)), (COLUMNS($AH$2:AS182)-1)*100+1, 100))</f>
        <v/>
      </c>
      <c r="AT182" t="str">
        <f>TRIM(MID(SUBSTITUTE($F182, ",", REPT(" ", 100)), (COLUMNS($AH$2:AT182)-1)*100+1, 100))</f>
        <v/>
      </c>
      <c r="AU182" t="str">
        <f>TRIM(MID(SUBSTITUTE($F182, ",", REPT(" ", 100)), (COLUMNS($AH$2:AU182)-1)*100+1, 100))</f>
        <v/>
      </c>
      <c r="AV182" t="str">
        <f>TRIM(MID(SUBSTITUTE($F182, ",", REPT(" ", 100)), (COLUMNS($AH$2:AV182)-1)*100+1, 100))</f>
        <v/>
      </c>
      <c r="AW182" t="str">
        <f>TRIM(MID(SUBSTITUTE($F182, ",", REPT(" ", 100)), (COLUMNS($AH$2:AW182)-1)*100+1, 100))</f>
        <v/>
      </c>
      <c r="AX182" t="str">
        <f>TRIM(MID(SUBSTITUTE($F182, ",", REPT(" ", 100)), (COLUMNS($AH$2:AX182)-1)*100+1, 100))</f>
        <v/>
      </c>
      <c r="AY182" t="str">
        <f>TRIM(MID(SUBSTITUTE($F182, ",", REPT(" ", 100)), (COLUMNS($AH$2:AY182)-1)*100+1, 100))</f>
        <v/>
      </c>
      <c r="AZ182" t="str">
        <f>TRIM(MID(SUBSTITUTE($F182, ",", REPT(" ", 100)), (COLUMNS($AH$2:AZ182)-1)*100+1, 100))</f>
        <v/>
      </c>
      <c r="BA182" t="str">
        <f>TRIM(MID(SUBSTITUTE($F182, ",", REPT(" ", 100)), (COLUMNS($AH$2:BA182)-1)*100+1, 100))</f>
        <v/>
      </c>
    </row>
    <row r="183" spans="1:53" x14ac:dyDescent="0.5">
      <c r="A183" s="1">
        <v>45839</v>
      </c>
      <c r="B183" s="2">
        <v>4</v>
      </c>
      <c r="C183" s="272">
        <f>AVERAGE(B183:B213)</f>
        <v>5.3903225806451607</v>
      </c>
      <c r="D183" s="295"/>
      <c r="E183" s="58">
        <v>1</v>
      </c>
      <c r="F183" s="38" t="s">
        <v>194</v>
      </c>
      <c r="AJ183" t="str">
        <f>TRIM(MID(SUBSTITUTE($F183, ",", REPT(" ", 100)), (COLUMNS($AH$2:AJ183)-1)*100+1, 100))</f>
        <v/>
      </c>
      <c r="AK183" s="1">
        <v>45839</v>
      </c>
      <c r="AL183" s="2">
        <v>4</v>
      </c>
      <c r="AM183" s="2">
        <v>6</v>
      </c>
      <c r="AO183" t="str">
        <f>TRIM(MID(SUBSTITUTE($F183, ",", REPT(" ", 100)), (COLUMNS($AH$2:AO183)-1)*100+1, 100))</f>
        <v/>
      </c>
      <c r="AP183" t="str">
        <f>TRIM(MID(SUBSTITUTE($F183, ",", REPT(" ", 100)), (COLUMNS($AH$2:AP183)-1)*100+1, 100))</f>
        <v/>
      </c>
      <c r="AQ183" t="str">
        <f>TRIM(MID(SUBSTITUTE($F183, ",", REPT(" ", 100)), (COLUMNS($AH$2:AQ183)-1)*100+1, 100))</f>
        <v/>
      </c>
      <c r="AR183" t="str">
        <f>TRIM(MID(SUBSTITUTE($F183, ",", REPT(" ", 100)), (COLUMNS($AH$2:AR183)-1)*100+1, 100))</f>
        <v/>
      </c>
      <c r="AS183" t="str">
        <f>TRIM(MID(SUBSTITUTE($F183, ",", REPT(" ", 100)), (COLUMNS($AH$2:AS183)-1)*100+1, 100))</f>
        <v/>
      </c>
      <c r="AT183" t="str">
        <f>TRIM(MID(SUBSTITUTE($F183, ",", REPT(" ", 100)), (COLUMNS($AH$2:AT183)-1)*100+1, 100))</f>
        <v/>
      </c>
      <c r="AU183" t="str">
        <f>TRIM(MID(SUBSTITUTE($F183, ",", REPT(" ", 100)), (COLUMNS($AH$2:AU183)-1)*100+1, 100))</f>
        <v/>
      </c>
      <c r="AV183" t="str">
        <f>TRIM(MID(SUBSTITUTE($F183, ",", REPT(" ", 100)), (COLUMNS($AH$2:AV183)-1)*100+1, 100))</f>
        <v/>
      </c>
      <c r="AW183" t="str">
        <f>TRIM(MID(SUBSTITUTE($F183, ",", REPT(" ", 100)), (COLUMNS($AH$2:AW183)-1)*100+1, 100))</f>
        <v/>
      </c>
      <c r="AX183" t="str">
        <f>TRIM(MID(SUBSTITUTE($F183, ",", REPT(" ", 100)), (COLUMNS($AH$2:AX183)-1)*100+1, 100))</f>
        <v/>
      </c>
      <c r="AY183" t="str">
        <f>TRIM(MID(SUBSTITUTE($F183, ",", REPT(" ", 100)), (COLUMNS($AH$2:AY183)-1)*100+1, 100))</f>
        <v/>
      </c>
      <c r="AZ183" t="str">
        <f>TRIM(MID(SUBSTITUTE($F183, ",", REPT(" ", 100)), (COLUMNS($AH$2:AZ183)-1)*100+1, 100))</f>
        <v/>
      </c>
      <c r="BA183" t="str">
        <f>TRIM(MID(SUBSTITUTE($F183, ",", REPT(" ", 100)), (COLUMNS($AH$2:BA183)-1)*100+1, 100))</f>
        <v/>
      </c>
    </row>
    <row r="184" spans="1:53" x14ac:dyDescent="0.5">
      <c r="A184" s="1">
        <v>45840</v>
      </c>
      <c r="B184" s="2">
        <v>4.0999999999999996</v>
      </c>
      <c r="C184" s="272"/>
      <c r="D184" s="295"/>
      <c r="E184" s="58">
        <v>1</v>
      </c>
      <c r="F184" s="38" t="s">
        <v>194</v>
      </c>
      <c r="AJ184" t="str">
        <f>TRIM(MID(SUBSTITUTE($F184, ",", REPT(" ", 100)), (COLUMNS($AH$2:AJ184)-1)*100+1, 100))</f>
        <v/>
      </c>
      <c r="AK184" s="1">
        <v>45840</v>
      </c>
      <c r="AL184" s="2">
        <v>4.0999999999999996</v>
      </c>
      <c r="AM184" s="2">
        <v>4</v>
      </c>
      <c r="AO184" t="str">
        <f>TRIM(MID(SUBSTITUTE($F184, ",", REPT(" ", 100)), (COLUMNS($AH$2:AO184)-1)*100+1, 100))</f>
        <v/>
      </c>
      <c r="AP184" t="str">
        <f>TRIM(MID(SUBSTITUTE($F184, ",", REPT(" ", 100)), (COLUMNS($AH$2:AP184)-1)*100+1, 100))</f>
        <v/>
      </c>
      <c r="AQ184" t="str">
        <f>TRIM(MID(SUBSTITUTE($F184, ",", REPT(" ", 100)), (COLUMNS($AH$2:AQ184)-1)*100+1, 100))</f>
        <v/>
      </c>
      <c r="AR184" t="str">
        <f>TRIM(MID(SUBSTITUTE($F184, ",", REPT(" ", 100)), (COLUMNS($AH$2:AR184)-1)*100+1, 100))</f>
        <v/>
      </c>
      <c r="AS184" t="str">
        <f>TRIM(MID(SUBSTITUTE($F184, ",", REPT(" ", 100)), (COLUMNS($AH$2:AS184)-1)*100+1, 100))</f>
        <v/>
      </c>
      <c r="AT184" t="str">
        <f>TRIM(MID(SUBSTITUTE($F184, ",", REPT(" ", 100)), (COLUMNS($AH$2:AT184)-1)*100+1, 100))</f>
        <v/>
      </c>
      <c r="AU184" t="str">
        <f>TRIM(MID(SUBSTITUTE($F184, ",", REPT(" ", 100)), (COLUMNS($AH$2:AU184)-1)*100+1, 100))</f>
        <v/>
      </c>
      <c r="AV184" t="str">
        <f>TRIM(MID(SUBSTITUTE($F184, ",", REPT(" ", 100)), (COLUMNS($AH$2:AV184)-1)*100+1, 100))</f>
        <v/>
      </c>
      <c r="AW184" t="str">
        <f>TRIM(MID(SUBSTITUTE($F184, ",", REPT(" ", 100)), (COLUMNS($AH$2:AW184)-1)*100+1, 100))</f>
        <v/>
      </c>
      <c r="AX184" t="str">
        <f>TRIM(MID(SUBSTITUTE($F184, ",", REPT(" ", 100)), (COLUMNS($AH$2:AX184)-1)*100+1, 100))</f>
        <v/>
      </c>
      <c r="AY184" t="str">
        <f>TRIM(MID(SUBSTITUTE($F184, ",", REPT(" ", 100)), (COLUMNS($AH$2:AY184)-1)*100+1, 100))</f>
        <v/>
      </c>
      <c r="AZ184" t="str">
        <f>TRIM(MID(SUBSTITUTE($F184, ",", REPT(" ", 100)), (COLUMNS($AH$2:AZ184)-1)*100+1, 100))</f>
        <v/>
      </c>
      <c r="BA184" t="str">
        <f>TRIM(MID(SUBSTITUTE($F184, ",", REPT(" ", 100)), (COLUMNS($AH$2:BA184)-1)*100+1, 100))</f>
        <v/>
      </c>
    </row>
    <row r="185" spans="1:53" x14ac:dyDescent="0.5">
      <c r="A185" s="1">
        <v>45841</v>
      </c>
      <c r="B185" s="2">
        <v>4.2</v>
      </c>
      <c r="C185" s="272"/>
      <c r="D185" s="295"/>
      <c r="E185" s="58">
        <v>1</v>
      </c>
      <c r="F185" s="38" t="s">
        <v>194</v>
      </c>
      <c r="AJ185" t="str">
        <f>TRIM(MID(SUBSTITUTE($F185, ",", REPT(" ", 100)), (COLUMNS($AH$2:AJ185)-1)*100+1, 100))</f>
        <v/>
      </c>
      <c r="AK185" s="1">
        <v>45841</v>
      </c>
      <c r="AL185" s="2">
        <v>4.2</v>
      </c>
      <c r="AM185" s="2">
        <v>2</v>
      </c>
      <c r="AO185" t="str">
        <f>TRIM(MID(SUBSTITUTE($F185, ",", REPT(" ", 100)), (COLUMNS($AH$2:AO185)-1)*100+1, 100))</f>
        <v/>
      </c>
      <c r="AP185" t="str">
        <f>TRIM(MID(SUBSTITUTE($F185, ",", REPT(" ", 100)), (COLUMNS($AH$2:AP185)-1)*100+1, 100))</f>
        <v/>
      </c>
      <c r="AQ185" t="str">
        <f>TRIM(MID(SUBSTITUTE($F185, ",", REPT(" ", 100)), (COLUMNS($AH$2:AQ185)-1)*100+1, 100))</f>
        <v/>
      </c>
      <c r="AR185" t="str">
        <f>TRIM(MID(SUBSTITUTE($F185, ",", REPT(" ", 100)), (COLUMNS($AH$2:AR185)-1)*100+1, 100))</f>
        <v/>
      </c>
      <c r="AS185" t="str">
        <f>TRIM(MID(SUBSTITUTE($F185, ",", REPT(" ", 100)), (COLUMNS($AH$2:AS185)-1)*100+1, 100))</f>
        <v/>
      </c>
      <c r="AT185" t="str">
        <f>TRIM(MID(SUBSTITUTE($F185, ",", REPT(" ", 100)), (COLUMNS($AH$2:AT185)-1)*100+1, 100))</f>
        <v/>
      </c>
      <c r="AU185" t="str">
        <f>TRIM(MID(SUBSTITUTE($F185, ",", REPT(" ", 100)), (COLUMNS($AH$2:AU185)-1)*100+1, 100))</f>
        <v/>
      </c>
      <c r="AV185" t="str">
        <f>TRIM(MID(SUBSTITUTE($F185, ",", REPT(" ", 100)), (COLUMNS($AH$2:AV185)-1)*100+1, 100))</f>
        <v/>
      </c>
      <c r="AW185" t="str">
        <f>TRIM(MID(SUBSTITUTE($F185, ",", REPT(" ", 100)), (COLUMNS($AH$2:AW185)-1)*100+1, 100))</f>
        <v/>
      </c>
      <c r="AX185" t="str">
        <f>TRIM(MID(SUBSTITUTE($F185, ",", REPT(" ", 100)), (COLUMNS($AH$2:AX185)-1)*100+1, 100))</f>
        <v/>
      </c>
      <c r="AY185" t="str">
        <f>TRIM(MID(SUBSTITUTE($F185, ",", REPT(" ", 100)), (COLUMNS($AH$2:AY185)-1)*100+1, 100))</f>
        <v/>
      </c>
      <c r="AZ185" t="str">
        <f>TRIM(MID(SUBSTITUTE($F185, ",", REPT(" ", 100)), (COLUMNS($AH$2:AZ185)-1)*100+1, 100))</f>
        <v/>
      </c>
      <c r="BA185" t="str">
        <f>TRIM(MID(SUBSTITUTE($F185, ",", REPT(" ", 100)), (COLUMNS($AH$2:BA185)-1)*100+1, 100))</f>
        <v/>
      </c>
    </row>
    <row r="186" spans="1:53" x14ac:dyDescent="0.5">
      <c r="A186" s="1">
        <v>45842</v>
      </c>
      <c r="B186" s="2">
        <v>8.8000000000000007</v>
      </c>
      <c r="C186" s="272"/>
      <c r="D186" s="295"/>
      <c r="E186" s="58">
        <v>1</v>
      </c>
      <c r="F186" s="38" t="s">
        <v>297</v>
      </c>
      <c r="AJ186" t="str">
        <f>TRIM(MID(SUBSTITUTE($F186, ",", REPT(" ", 100)), (COLUMNS($AH$2:AJ186)-1)*100+1, 100))</f>
        <v/>
      </c>
      <c r="AK186" s="1">
        <v>45842</v>
      </c>
      <c r="AL186" s="2">
        <v>8.8000000000000007</v>
      </c>
      <c r="AM186" s="2">
        <v>4</v>
      </c>
      <c r="AO186" t="str">
        <f>TRIM(MID(SUBSTITUTE($F186, ",", REPT(" ", 100)), (COLUMNS($AH$2:AO186)-1)*100+1, 100))</f>
        <v/>
      </c>
      <c r="AP186" t="str">
        <f>TRIM(MID(SUBSTITUTE($F186, ",", REPT(" ", 100)), (COLUMNS($AH$2:AP186)-1)*100+1, 100))</f>
        <v/>
      </c>
      <c r="AQ186" t="str">
        <f>TRIM(MID(SUBSTITUTE($F186, ",", REPT(" ", 100)), (COLUMNS($AH$2:AQ186)-1)*100+1, 100))</f>
        <v/>
      </c>
      <c r="AR186" t="str">
        <f>TRIM(MID(SUBSTITUTE($F186, ",", REPT(" ", 100)), (COLUMNS($AH$2:AR186)-1)*100+1, 100))</f>
        <v/>
      </c>
      <c r="AS186" t="str">
        <f>TRIM(MID(SUBSTITUTE($F186, ",", REPT(" ", 100)), (COLUMNS($AH$2:AS186)-1)*100+1, 100))</f>
        <v/>
      </c>
      <c r="AT186" t="str">
        <f>TRIM(MID(SUBSTITUTE($F186, ",", REPT(" ", 100)), (COLUMNS($AH$2:AT186)-1)*100+1, 100))</f>
        <v/>
      </c>
      <c r="AU186" t="str">
        <f>TRIM(MID(SUBSTITUTE($F186, ",", REPT(" ", 100)), (COLUMNS($AH$2:AU186)-1)*100+1, 100))</f>
        <v/>
      </c>
      <c r="AV186" t="str">
        <f>TRIM(MID(SUBSTITUTE($F186, ",", REPT(" ", 100)), (COLUMNS($AH$2:AV186)-1)*100+1, 100))</f>
        <v/>
      </c>
      <c r="AW186" t="str">
        <f>TRIM(MID(SUBSTITUTE($F186, ",", REPT(" ", 100)), (COLUMNS($AH$2:AW186)-1)*100+1, 100))</f>
        <v/>
      </c>
      <c r="AX186" t="str">
        <f>TRIM(MID(SUBSTITUTE($F186, ",", REPT(" ", 100)), (COLUMNS($AH$2:AX186)-1)*100+1, 100))</f>
        <v/>
      </c>
      <c r="AY186" t="str">
        <f>TRIM(MID(SUBSTITUTE($F186, ",", REPT(" ", 100)), (COLUMNS($AH$2:AY186)-1)*100+1, 100))</f>
        <v/>
      </c>
      <c r="AZ186" t="str">
        <f>TRIM(MID(SUBSTITUTE($F186, ",", REPT(" ", 100)), (COLUMNS($AH$2:AZ186)-1)*100+1, 100))</f>
        <v/>
      </c>
      <c r="BA186" t="str">
        <f>TRIM(MID(SUBSTITUTE($F186, ",", REPT(" ", 100)), (COLUMNS($AH$2:BA186)-1)*100+1, 100))</f>
        <v/>
      </c>
    </row>
    <row r="187" spans="1:53" x14ac:dyDescent="0.5">
      <c r="A187" s="1">
        <v>45843</v>
      </c>
      <c r="B187" s="2">
        <v>9</v>
      </c>
      <c r="C187" s="272"/>
      <c r="D187" s="295"/>
      <c r="E187" s="58">
        <v>1</v>
      </c>
      <c r="F187" s="38" t="s">
        <v>298</v>
      </c>
      <c r="AJ187" t="str">
        <f>TRIM(MID(SUBSTITUTE($F187, ",", REPT(" ", 100)), (COLUMNS($AH$2:AJ187)-1)*100+1, 100))</f>
        <v>Meerut</v>
      </c>
      <c r="AK187" s="1">
        <v>45843</v>
      </c>
      <c r="AL187" s="2">
        <v>9</v>
      </c>
      <c r="AM187" s="2">
        <v>4</v>
      </c>
      <c r="AO187" t="str">
        <f>TRIM(MID(SUBSTITUTE($F187, ",", REPT(" ", 100)), (COLUMNS($AH$2:AO187)-1)*100+1, 100))</f>
        <v/>
      </c>
      <c r="AP187" t="str">
        <f>TRIM(MID(SUBSTITUTE($F187, ",", REPT(" ", 100)), (COLUMNS($AH$2:AP187)-1)*100+1, 100))</f>
        <v/>
      </c>
      <c r="AQ187" t="str">
        <f>TRIM(MID(SUBSTITUTE($F187, ",", REPT(" ", 100)), (COLUMNS($AH$2:AQ187)-1)*100+1, 100))</f>
        <v/>
      </c>
      <c r="AR187" t="str">
        <f>TRIM(MID(SUBSTITUTE($F187, ",", REPT(" ", 100)), (COLUMNS($AH$2:AR187)-1)*100+1, 100))</f>
        <v/>
      </c>
      <c r="AS187" t="str">
        <f>TRIM(MID(SUBSTITUTE($F187, ",", REPT(" ", 100)), (COLUMNS($AH$2:AS187)-1)*100+1, 100))</f>
        <v/>
      </c>
      <c r="AT187" t="str">
        <f>TRIM(MID(SUBSTITUTE($F187, ",", REPT(" ", 100)), (COLUMNS($AH$2:AT187)-1)*100+1, 100))</f>
        <v/>
      </c>
      <c r="AU187" t="str">
        <f>TRIM(MID(SUBSTITUTE($F187, ",", REPT(" ", 100)), (COLUMNS($AH$2:AU187)-1)*100+1, 100))</f>
        <v/>
      </c>
      <c r="AV187" t="str">
        <f>TRIM(MID(SUBSTITUTE($F187, ",", REPT(" ", 100)), (COLUMNS($AH$2:AV187)-1)*100+1, 100))</f>
        <v/>
      </c>
      <c r="AW187" t="str">
        <f>TRIM(MID(SUBSTITUTE($F187, ",", REPT(" ", 100)), (COLUMNS($AH$2:AW187)-1)*100+1, 100))</f>
        <v/>
      </c>
      <c r="AX187" t="str">
        <f>TRIM(MID(SUBSTITUTE($F187, ",", REPT(" ", 100)), (COLUMNS($AH$2:AX187)-1)*100+1, 100))</f>
        <v/>
      </c>
      <c r="AY187" t="str">
        <f>TRIM(MID(SUBSTITUTE($F187, ",", REPT(" ", 100)), (COLUMNS($AH$2:AY187)-1)*100+1, 100))</f>
        <v/>
      </c>
      <c r="AZ187" t="str">
        <f>TRIM(MID(SUBSTITUTE($F187, ",", REPT(" ", 100)), (COLUMNS($AH$2:AZ187)-1)*100+1, 100))</f>
        <v/>
      </c>
      <c r="BA187" t="str">
        <f>TRIM(MID(SUBSTITUTE($F187, ",", REPT(" ", 100)), (COLUMNS($AH$2:BA187)-1)*100+1, 100))</f>
        <v/>
      </c>
    </row>
    <row r="188" spans="1:53" x14ac:dyDescent="0.5">
      <c r="A188" s="1">
        <v>45844</v>
      </c>
      <c r="B188" s="2">
        <v>4.3</v>
      </c>
      <c r="C188" s="272"/>
      <c r="D188" s="295"/>
      <c r="E188" s="58">
        <v>0</v>
      </c>
      <c r="F188" s="38" t="s">
        <v>194</v>
      </c>
      <c r="AJ188" t="str">
        <f>TRIM(MID(SUBSTITUTE($F188, ",", REPT(" ", 100)), (COLUMNS($AH$2:AJ188)-1)*100+1, 100))</f>
        <v/>
      </c>
      <c r="AK188" s="1">
        <v>45844</v>
      </c>
      <c r="AL188" s="2">
        <v>4.3</v>
      </c>
      <c r="AM188" s="2">
        <v>10</v>
      </c>
      <c r="AO188" t="str">
        <f>TRIM(MID(SUBSTITUTE($F188, ",", REPT(" ", 100)), (COLUMNS($AH$2:AO188)-1)*100+1, 100))</f>
        <v/>
      </c>
      <c r="AP188" t="str">
        <f>TRIM(MID(SUBSTITUTE($F188, ",", REPT(" ", 100)), (COLUMNS($AH$2:AP188)-1)*100+1, 100))</f>
        <v/>
      </c>
      <c r="AQ188" t="str">
        <f>TRIM(MID(SUBSTITUTE($F188, ",", REPT(" ", 100)), (COLUMNS($AH$2:AQ188)-1)*100+1, 100))</f>
        <v/>
      </c>
      <c r="AR188" t="str">
        <f>TRIM(MID(SUBSTITUTE($F188, ",", REPT(" ", 100)), (COLUMNS($AH$2:AR188)-1)*100+1, 100))</f>
        <v/>
      </c>
      <c r="AS188" t="str">
        <f>TRIM(MID(SUBSTITUTE($F188, ",", REPT(" ", 100)), (COLUMNS($AH$2:AS188)-1)*100+1, 100))</f>
        <v/>
      </c>
      <c r="AT188" t="str">
        <f>TRIM(MID(SUBSTITUTE($F188, ",", REPT(" ", 100)), (COLUMNS($AH$2:AT188)-1)*100+1, 100))</f>
        <v/>
      </c>
      <c r="AU188" t="str">
        <f>TRIM(MID(SUBSTITUTE($F188, ",", REPT(" ", 100)), (COLUMNS($AH$2:AU188)-1)*100+1, 100))</f>
        <v/>
      </c>
      <c r="AV188" t="str">
        <f>TRIM(MID(SUBSTITUTE($F188, ",", REPT(" ", 100)), (COLUMNS($AH$2:AV188)-1)*100+1, 100))</f>
        <v/>
      </c>
      <c r="AW188" t="str">
        <f>TRIM(MID(SUBSTITUTE($F188, ",", REPT(" ", 100)), (COLUMNS($AH$2:AW188)-1)*100+1, 100))</f>
        <v/>
      </c>
      <c r="AX188" t="str">
        <f>TRIM(MID(SUBSTITUTE($F188, ",", REPT(" ", 100)), (COLUMNS($AH$2:AX188)-1)*100+1, 100))</f>
        <v/>
      </c>
      <c r="AY188" t="str">
        <f>TRIM(MID(SUBSTITUTE($F188, ",", REPT(" ", 100)), (COLUMNS($AH$2:AY188)-1)*100+1, 100))</f>
        <v/>
      </c>
      <c r="AZ188" t="str">
        <f>TRIM(MID(SUBSTITUTE($F188, ",", REPT(" ", 100)), (COLUMNS($AH$2:AZ188)-1)*100+1, 100))</f>
        <v/>
      </c>
      <c r="BA188" t="str">
        <f>TRIM(MID(SUBSTITUTE($F188, ",", REPT(" ", 100)), (COLUMNS($AH$2:BA188)-1)*100+1, 100))</f>
        <v/>
      </c>
    </row>
    <row r="189" spans="1:53" x14ac:dyDescent="0.5">
      <c r="A189" s="1">
        <v>45845</v>
      </c>
      <c r="B189" s="2">
        <v>4.4000000000000004</v>
      </c>
      <c r="C189" s="272"/>
      <c r="D189" s="295"/>
      <c r="E189" s="58">
        <v>0</v>
      </c>
      <c r="F189" s="38" t="s">
        <v>194</v>
      </c>
      <c r="AJ189" t="str">
        <f>TRIM(MID(SUBSTITUTE($F189, ",", REPT(" ", 100)), (COLUMNS($AH$2:AJ189)-1)*100+1, 100))</f>
        <v/>
      </c>
      <c r="AK189" s="1">
        <v>45845</v>
      </c>
      <c r="AL189" s="2">
        <v>4.4000000000000004</v>
      </c>
      <c r="AM189" s="2">
        <v>6</v>
      </c>
      <c r="AO189" t="str">
        <f>TRIM(MID(SUBSTITUTE($F189, ",", REPT(" ", 100)), (COLUMNS($AH$2:AO189)-1)*100+1, 100))</f>
        <v/>
      </c>
      <c r="AP189" t="str">
        <f>TRIM(MID(SUBSTITUTE($F189, ",", REPT(" ", 100)), (COLUMNS($AH$2:AP189)-1)*100+1, 100))</f>
        <v/>
      </c>
      <c r="AQ189" t="str">
        <f>TRIM(MID(SUBSTITUTE($F189, ",", REPT(" ", 100)), (COLUMNS($AH$2:AQ189)-1)*100+1, 100))</f>
        <v/>
      </c>
      <c r="AR189" t="str">
        <f>TRIM(MID(SUBSTITUTE($F189, ",", REPT(" ", 100)), (COLUMNS($AH$2:AR189)-1)*100+1, 100))</f>
        <v/>
      </c>
      <c r="AS189" t="str">
        <f>TRIM(MID(SUBSTITUTE($F189, ",", REPT(" ", 100)), (COLUMNS($AH$2:AS189)-1)*100+1, 100))</f>
        <v/>
      </c>
      <c r="AT189" t="str">
        <f>TRIM(MID(SUBSTITUTE($F189, ",", REPT(" ", 100)), (COLUMNS($AH$2:AT189)-1)*100+1, 100))</f>
        <v/>
      </c>
      <c r="AU189" t="str">
        <f>TRIM(MID(SUBSTITUTE($F189, ",", REPT(" ", 100)), (COLUMNS($AH$2:AU189)-1)*100+1, 100))</f>
        <v/>
      </c>
      <c r="AV189" t="str">
        <f>TRIM(MID(SUBSTITUTE($F189, ",", REPT(" ", 100)), (COLUMNS($AH$2:AV189)-1)*100+1, 100))</f>
        <v/>
      </c>
      <c r="AW189" t="str">
        <f>TRIM(MID(SUBSTITUTE($F189, ",", REPT(" ", 100)), (COLUMNS($AH$2:AW189)-1)*100+1, 100))</f>
        <v/>
      </c>
      <c r="AX189" t="str">
        <f>TRIM(MID(SUBSTITUTE($F189, ",", REPT(" ", 100)), (COLUMNS($AH$2:AX189)-1)*100+1, 100))</f>
        <v/>
      </c>
      <c r="AY189" t="str">
        <f>TRIM(MID(SUBSTITUTE($F189, ",", REPT(" ", 100)), (COLUMNS($AH$2:AY189)-1)*100+1, 100))</f>
        <v/>
      </c>
      <c r="AZ189" t="str">
        <f>TRIM(MID(SUBSTITUTE($F189, ",", REPT(" ", 100)), (COLUMNS($AH$2:AZ189)-1)*100+1, 100))</f>
        <v/>
      </c>
      <c r="BA189" t="str">
        <f>TRIM(MID(SUBSTITUTE($F189, ",", REPT(" ", 100)), (COLUMNS($AH$2:BA189)-1)*100+1, 100))</f>
        <v/>
      </c>
    </row>
    <row r="190" spans="1:53" x14ac:dyDescent="0.5">
      <c r="A190" s="1">
        <v>45846</v>
      </c>
      <c r="B190" s="2">
        <v>5</v>
      </c>
      <c r="C190" s="272"/>
      <c r="D190" s="295"/>
      <c r="E190" s="58">
        <v>0</v>
      </c>
      <c r="F190" s="38" t="s">
        <v>194</v>
      </c>
      <c r="AJ190" t="str">
        <f>TRIM(MID(SUBSTITUTE($F190, ",", REPT(" ", 100)), (COLUMNS($AH$2:AJ190)-1)*100+1, 100))</f>
        <v/>
      </c>
      <c r="AK190" s="1">
        <v>45846</v>
      </c>
      <c r="AL190" s="2">
        <v>5</v>
      </c>
      <c r="AM190" s="2">
        <v>4</v>
      </c>
      <c r="AO190" t="str">
        <f>TRIM(MID(SUBSTITUTE($F190, ",", REPT(" ", 100)), (COLUMNS($AH$2:AO190)-1)*100+1, 100))</f>
        <v/>
      </c>
      <c r="AP190" t="str">
        <f>TRIM(MID(SUBSTITUTE($F190, ",", REPT(" ", 100)), (COLUMNS($AH$2:AP190)-1)*100+1, 100))</f>
        <v/>
      </c>
      <c r="AQ190" t="str">
        <f>TRIM(MID(SUBSTITUTE($F190, ",", REPT(" ", 100)), (COLUMNS($AH$2:AQ190)-1)*100+1, 100))</f>
        <v/>
      </c>
      <c r="AR190" t="str">
        <f>TRIM(MID(SUBSTITUTE($F190, ",", REPT(" ", 100)), (COLUMNS($AH$2:AR190)-1)*100+1, 100))</f>
        <v/>
      </c>
      <c r="AS190" t="str">
        <f>TRIM(MID(SUBSTITUTE($F190, ",", REPT(" ", 100)), (COLUMNS($AH$2:AS190)-1)*100+1, 100))</f>
        <v/>
      </c>
      <c r="AT190" t="str">
        <f>TRIM(MID(SUBSTITUTE($F190, ",", REPT(" ", 100)), (COLUMNS($AH$2:AT190)-1)*100+1, 100))</f>
        <v/>
      </c>
      <c r="AU190" t="str">
        <f>TRIM(MID(SUBSTITUTE($F190, ",", REPT(" ", 100)), (COLUMNS($AH$2:AU190)-1)*100+1, 100))</f>
        <v/>
      </c>
      <c r="AV190" t="str">
        <f>TRIM(MID(SUBSTITUTE($F190, ",", REPT(" ", 100)), (COLUMNS($AH$2:AV190)-1)*100+1, 100))</f>
        <v/>
      </c>
      <c r="AW190" t="str">
        <f>TRIM(MID(SUBSTITUTE($F190, ",", REPT(" ", 100)), (COLUMNS($AH$2:AW190)-1)*100+1, 100))</f>
        <v/>
      </c>
      <c r="AX190" t="str">
        <f>TRIM(MID(SUBSTITUTE($F190, ",", REPT(" ", 100)), (COLUMNS($AH$2:AX190)-1)*100+1, 100))</f>
        <v/>
      </c>
      <c r="AY190" t="str">
        <f>TRIM(MID(SUBSTITUTE($F190, ",", REPT(" ", 100)), (COLUMNS($AH$2:AY190)-1)*100+1, 100))</f>
        <v/>
      </c>
      <c r="AZ190" t="str">
        <f>TRIM(MID(SUBSTITUTE($F190, ",", REPT(" ", 100)), (COLUMNS($AH$2:AZ190)-1)*100+1, 100))</f>
        <v/>
      </c>
      <c r="BA190" t="str">
        <f>TRIM(MID(SUBSTITUTE($F190, ",", REPT(" ", 100)), (COLUMNS($AH$2:BA190)-1)*100+1, 100))</f>
        <v/>
      </c>
    </row>
    <row r="191" spans="1:53" x14ac:dyDescent="0.5">
      <c r="A191" s="1">
        <v>45847</v>
      </c>
      <c r="B191" s="2">
        <v>1</v>
      </c>
      <c r="C191" s="272"/>
      <c r="D191" s="295"/>
      <c r="E191" s="58">
        <v>1</v>
      </c>
      <c r="F191" s="38" t="s">
        <v>194</v>
      </c>
      <c r="AJ191" t="str">
        <f>TRIM(MID(SUBSTITUTE($F191, ",", REPT(" ", 100)), (COLUMNS($AH$2:AJ191)-1)*100+1, 100))</f>
        <v/>
      </c>
      <c r="AK191" s="1">
        <v>45847</v>
      </c>
      <c r="AL191" s="2">
        <v>1</v>
      </c>
      <c r="AM191" s="2">
        <v>4</v>
      </c>
      <c r="AO191" t="str">
        <f>TRIM(MID(SUBSTITUTE($F191, ",", REPT(" ", 100)), (COLUMNS($AH$2:AO191)-1)*100+1, 100))</f>
        <v/>
      </c>
      <c r="AP191" t="str">
        <f>TRIM(MID(SUBSTITUTE($F191, ",", REPT(" ", 100)), (COLUMNS($AH$2:AP191)-1)*100+1, 100))</f>
        <v/>
      </c>
      <c r="AQ191" t="str">
        <f>TRIM(MID(SUBSTITUTE($F191, ",", REPT(" ", 100)), (COLUMNS($AH$2:AQ191)-1)*100+1, 100))</f>
        <v/>
      </c>
      <c r="AR191" t="str">
        <f>TRIM(MID(SUBSTITUTE($F191, ",", REPT(" ", 100)), (COLUMNS($AH$2:AR191)-1)*100+1, 100))</f>
        <v/>
      </c>
      <c r="AS191" t="str">
        <f>TRIM(MID(SUBSTITUTE($F191, ",", REPT(" ", 100)), (COLUMNS($AH$2:AS191)-1)*100+1, 100))</f>
        <v/>
      </c>
      <c r="AT191" t="str">
        <f>TRIM(MID(SUBSTITUTE($F191, ",", REPT(" ", 100)), (COLUMNS($AH$2:AT191)-1)*100+1, 100))</f>
        <v/>
      </c>
      <c r="AU191" t="str">
        <f>TRIM(MID(SUBSTITUTE($F191, ",", REPT(" ", 100)), (COLUMNS($AH$2:AU191)-1)*100+1, 100))</f>
        <v/>
      </c>
      <c r="AV191" t="str">
        <f>TRIM(MID(SUBSTITUTE($F191, ",", REPT(" ", 100)), (COLUMNS($AH$2:AV191)-1)*100+1, 100))</f>
        <v/>
      </c>
      <c r="AW191" t="str">
        <f>TRIM(MID(SUBSTITUTE($F191, ",", REPT(" ", 100)), (COLUMNS($AH$2:AW191)-1)*100+1, 100))</f>
        <v/>
      </c>
      <c r="AX191" t="str">
        <f>TRIM(MID(SUBSTITUTE($F191, ",", REPT(" ", 100)), (COLUMNS($AH$2:AX191)-1)*100+1, 100))</f>
        <v/>
      </c>
      <c r="AY191" t="str">
        <f>TRIM(MID(SUBSTITUTE($F191, ",", REPT(" ", 100)), (COLUMNS($AH$2:AY191)-1)*100+1, 100))</f>
        <v/>
      </c>
      <c r="AZ191" t="str">
        <f>TRIM(MID(SUBSTITUTE($F191, ",", REPT(" ", 100)), (COLUMNS($AH$2:AZ191)-1)*100+1, 100))</f>
        <v/>
      </c>
      <c r="BA191" t="str">
        <f>TRIM(MID(SUBSTITUTE($F191, ",", REPT(" ", 100)), (COLUMNS($AH$2:BA191)-1)*100+1, 100))</f>
        <v/>
      </c>
    </row>
    <row r="192" spans="1:53" x14ac:dyDescent="0.5">
      <c r="A192" s="1">
        <v>45848</v>
      </c>
      <c r="B192" s="2">
        <v>6.5</v>
      </c>
      <c r="C192" s="272"/>
      <c r="D192" s="295"/>
      <c r="E192" s="58">
        <v>1</v>
      </c>
      <c r="F192" s="38" t="s">
        <v>194</v>
      </c>
      <c r="AJ192" t="str">
        <f>TRIM(MID(SUBSTITUTE($F192, ",", REPT(" ", 100)), (COLUMNS($AH$2:AJ192)-1)*100+1, 100))</f>
        <v/>
      </c>
      <c r="AK192" s="1">
        <v>45848</v>
      </c>
      <c r="AL192" s="2">
        <v>6.5</v>
      </c>
      <c r="AM192" s="2">
        <v>4</v>
      </c>
      <c r="AO192" t="str">
        <f>TRIM(MID(SUBSTITUTE($F192, ",", REPT(" ", 100)), (COLUMNS($AH$2:AO192)-1)*100+1, 100))</f>
        <v/>
      </c>
      <c r="AP192" t="str">
        <f>TRIM(MID(SUBSTITUTE($F192, ",", REPT(" ", 100)), (COLUMNS($AH$2:AP192)-1)*100+1, 100))</f>
        <v/>
      </c>
      <c r="AQ192" t="str">
        <f>TRIM(MID(SUBSTITUTE($F192, ",", REPT(" ", 100)), (COLUMNS($AH$2:AQ192)-1)*100+1, 100))</f>
        <v/>
      </c>
      <c r="AR192" t="str">
        <f>TRIM(MID(SUBSTITUTE($F192, ",", REPT(" ", 100)), (COLUMNS($AH$2:AR192)-1)*100+1, 100))</f>
        <v/>
      </c>
      <c r="AS192" t="str">
        <f>TRIM(MID(SUBSTITUTE($F192, ",", REPT(" ", 100)), (COLUMNS($AH$2:AS192)-1)*100+1, 100))</f>
        <v/>
      </c>
      <c r="AT192" t="str">
        <f>TRIM(MID(SUBSTITUTE($F192, ",", REPT(" ", 100)), (COLUMNS($AH$2:AT192)-1)*100+1, 100))</f>
        <v/>
      </c>
      <c r="AU192" t="str">
        <f>TRIM(MID(SUBSTITUTE($F192, ",", REPT(" ", 100)), (COLUMNS($AH$2:AU192)-1)*100+1, 100))</f>
        <v/>
      </c>
      <c r="AV192" t="str">
        <f>TRIM(MID(SUBSTITUTE($F192, ",", REPT(" ", 100)), (COLUMNS($AH$2:AV192)-1)*100+1, 100))</f>
        <v/>
      </c>
      <c r="AW192" t="str">
        <f>TRIM(MID(SUBSTITUTE($F192, ",", REPT(" ", 100)), (COLUMNS($AH$2:AW192)-1)*100+1, 100))</f>
        <v/>
      </c>
      <c r="AX192" t="str">
        <f>TRIM(MID(SUBSTITUTE($F192, ",", REPT(" ", 100)), (COLUMNS($AH$2:AX192)-1)*100+1, 100))</f>
        <v/>
      </c>
      <c r="AY192" t="str">
        <f>TRIM(MID(SUBSTITUTE($F192, ",", REPT(" ", 100)), (COLUMNS($AH$2:AY192)-1)*100+1, 100))</f>
        <v/>
      </c>
      <c r="AZ192" t="str">
        <f>TRIM(MID(SUBSTITUTE($F192, ",", REPT(" ", 100)), (COLUMNS($AH$2:AZ192)-1)*100+1, 100))</f>
        <v/>
      </c>
      <c r="BA192" t="str">
        <f>TRIM(MID(SUBSTITUTE($F192, ",", REPT(" ", 100)), (COLUMNS($AH$2:BA192)-1)*100+1, 100))</f>
        <v/>
      </c>
    </row>
    <row r="193" spans="1:53" x14ac:dyDescent="0.5">
      <c r="A193" s="1">
        <v>45849</v>
      </c>
      <c r="B193" s="2">
        <v>9.1999999999999993</v>
      </c>
      <c r="C193" s="272"/>
      <c r="D193" s="295"/>
      <c r="E193" s="58">
        <v>1</v>
      </c>
      <c r="F193" s="38" t="s">
        <v>194</v>
      </c>
      <c r="AJ193" t="str">
        <f>TRIM(MID(SUBSTITUTE($F193, ",", REPT(" ", 100)), (COLUMNS($AH$2:AJ193)-1)*100+1, 100))</f>
        <v/>
      </c>
      <c r="AK193" s="1">
        <v>45849</v>
      </c>
      <c r="AL193" s="2">
        <v>9.1999999999999993</v>
      </c>
      <c r="AM193" s="2">
        <v>6</v>
      </c>
      <c r="AO193" t="str">
        <f>TRIM(MID(SUBSTITUTE($F193, ",", REPT(" ", 100)), (COLUMNS($AH$2:AO193)-1)*100+1, 100))</f>
        <v/>
      </c>
      <c r="AP193" t="str">
        <f>TRIM(MID(SUBSTITUTE($F193, ",", REPT(" ", 100)), (COLUMNS($AH$2:AP193)-1)*100+1, 100))</f>
        <v/>
      </c>
      <c r="AQ193" t="str">
        <f>TRIM(MID(SUBSTITUTE($F193, ",", REPT(" ", 100)), (COLUMNS($AH$2:AQ193)-1)*100+1, 100))</f>
        <v/>
      </c>
      <c r="AR193" t="str">
        <f>TRIM(MID(SUBSTITUTE($F193, ",", REPT(" ", 100)), (COLUMNS($AH$2:AR193)-1)*100+1, 100))</f>
        <v/>
      </c>
      <c r="AS193" t="str">
        <f>TRIM(MID(SUBSTITUTE($F193, ",", REPT(" ", 100)), (COLUMNS($AH$2:AS193)-1)*100+1, 100))</f>
        <v/>
      </c>
      <c r="AT193" t="str">
        <f>TRIM(MID(SUBSTITUTE($F193, ",", REPT(" ", 100)), (COLUMNS($AH$2:AT193)-1)*100+1, 100))</f>
        <v/>
      </c>
      <c r="AU193" t="str">
        <f>TRIM(MID(SUBSTITUTE($F193, ",", REPT(" ", 100)), (COLUMNS($AH$2:AU193)-1)*100+1, 100))</f>
        <v/>
      </c>
      <c r="AV193" t="str">
        <f>TRIM(MID(SUBSTITUTE($F193, ",", REPT(" ", 100)), (COLUMNS($AH$2:AV193)-1)*100+1, 100))</f>
        <v/>
      </c>
      <c r="AW193" t="str">
        <f>TRIM(MID(SUBSTITUTE($F193, ",", REPT(" ", 100)), (COLUMNS($AH$2:AW193)-1)*100+1, 100))</f>
        <v/>
      </c>
      <c r="AX193" t="str">
        <f>TRIM(MID(SUBSTITUTE($F193, ",", REPT(" ", 100)), (COLUMNS($AH$2:AX193)-1)*100+1, 100))</f>
        <v/>
      </c>
      <c r="AY193" t="str">
        <f>TRIM(MID(SUBSTITUTE($F193, ",", REPT(" ", 100)), (COLUMNS($AH$2:AY193)-1)*100+1, 100))</f>
        <v/>
      </c>
      <c r="AZ193" t="str">
        <f>TRIM(MID(SUBSTITUTE($F193, ",", REPT(" ", 100)), (COLUMNS($AH$2:AZ193)-1)*100+1, 100))</f>
        <v/>
      </c>
      <c r="BA193" t="str">
        <f>TRIM(MID(SUBSTITUTE($F193, ",", REPT(" ", 100)), (COLUMNS($AH$2:BA193)-1)*100+1, 100))</f>
        <v/>
      </c>
    </row>
    <row r="194" spans="1:53" x14ac:dyDescent="0.5">
      <c r="A194" s="1">
        <v>45850</v>
      </c>
      <c r="B194" s="2">
        <v>4.5</v>
      </c>
      <c r="C194" s="272"/>
      <c r="D194" s="295"/>
      <c r="E194" s="58">
        <v>1</v>
      </c>
      <c r="F194" s="38" t="s">
        <v>194</v>
      </c>
      <c r="AJ194" t="str">
        <f>TRIM(MID(SUBSTITUTE($F194, ",", REPT(" ", 100)), (COLUMNS($AH$2:AJ194)-1)*100+1, 100))</f>
        <v/>
      </c>
      <c r="AK194" s="1">
        <v>45850</v>
      </c>
      <c r="AL194" s="2">
        <v>4.5</v>
      </c>
      <c r="AM194" s="2">
        <v>4</v>
      </c>
      <c r="AO194" t="str">
        <f>TRIM(MID(SUBSTITUTE($F194, ",", REPT(" ", 100)), (COLUMNS($AH$2:AO194)-1)*100+1, 100))</f>
        <v/>
      </c>
      <c r="AP194" t="str">
        <f>TRIM(MID(SUBSTITUTE($F194, ",", REPT(" ", 100)), (COLUMNS($AH$2:AP194)-1)*100+1, 100))</f>
        <v/>
      </c>
      <c r="AQ194" t="str">
        <f>TRIM(MID(SUBSTITUTE($F194, ",", REPT(" ", 100)), (COLUMNS($AH$2:AQ194)-1)*100+1, 100))</f>
        <v/>
      </c>
      <c r="AR194" t="str">
        <f>TRIM(MID(SUBSTITUTE($F194, ",", REPT(" ", 100)), (COLUMNS($AH$2:AR194)-1)*100+1, 100))</f>
        <v/>
      </c>
      <c r="AS194" t="str">
        <f>TRIM(MID(SUBSTITUTE($F194, ",", REPT(" ", 100)), (COLUMNS($AH$2:AS194)-1)*100+1, 100))</f>
        <v/>
      </c>
      <c r="AT194" t="str">
        <f>TRIM(MID(SUBSTITUTE($F194, ",", REPT(" ", 100)), (COLUMNS($AH$2:AT194)-1)*100+1, 100))</f>
        <v/>
      </c>
      <c r="AU194" t="str">
        <f>TRIM(MID(SUBSTITUTE($F194, ",", REPT(" ", 100)), (COLUMNS($AH$2:AU194)-1)*100+1, 100))</f>
        <v/>
      </c>
      <c r="AV194" t="str">
        <f>TRIM(MID(SUBSTITUTE($F194, ",", REPT(" ", 100)), (COLUMNS($AH$2:AV194)-1)*100+1, 100))</f>
        <v/>
      </c>
      <c r="AW194" t="str">
        <f>TRIM(MID(SUBSTITUTE($F194, ",", REPT(" ", 100)), (COLUMNS($AH$2:AW194)-1)*100+1, 100))</f>
        <v/>
      </c>
      <c r="AX194" t="str">
        <f>TRIM(MID(SUBSTITUTE($F194, ",", REPT(" ", 100)), (COLUMNS($AH$2:AX194)-1)*100+1, 100))</f>
        <v/>
      </c>
      <c r="AY194" t="str">
        <f>TRIM(MID(SUBSTITUTE($F194, ",", REPT(" ", 100)), (COLUMNS($AH$2:AY194)-1)*100+1, 100))</f>
        <v/>
      </c>
      <c r="AZ194" t="str">
        <f>TRIM(MID(SUBSTITUTE($F194, ",", REPT(" ", 100)), (COLUMNS($AH$2:AZ194)-1)*100+1, 100))</f>
        <v/>
      </c>
      <c r="BA194" t="str">
        <f>TRIM(MID(SUBSTITUTE($F194, ",", REPT(" ", 100)), (COLUMNS($AH$2:BA194)-1)*100+1, 100))</f>
        <v/>
      </c>
    </row>
    <row r="195" spans="1:53" x14ac:dyDescent="0.5">
      <c r="A195" s="1">
        <v>45851</v>
      </c>
      <c r="B195" s="2">
        <v>3</v>
      </c>
      <c r="C195" s="272"/>
      <c r="D195" s="295"/>
      <c r="E195" s="58">
        <v>0</v>
      </c>
      <c r="F195" s="38" t="s">
        <v>194</v>
      </c>
      <c r="AJ195" t="str">
        <f>TRIM(MID(SUBSTITUTE($F195, ",", REPT(" ", 100)), (COLUMNS($AH$2:AJ195)-1)*100+1, 100))</f>
        <v/>
      </c>
      <c r="AK195" s="1">
        <v>45851</v>
      </c>
      <c r="AL195" s="2">
        <v>3</v>
      </c>
      <c r="AM195" s="2">
        <v>10</v>
      </c>
      <c r="AO195" t="str">
        <f>TRIM(MID(SUBSTITUTE($F195, ",", REPT(" ", 100)), (COLUMNS($AH$2:AO195)-1)*100+1, 100))</f>
        <v/>
      </c>
      <c r="AP195" t="str">
        <f>TRIM(MID(SUBSTITUTE($F195, ",", REPT(" ", 100)), (COLUMNS($AH$2:AP195)-1)*100+1, 100))</f>
        <v/>
      </c>
      <c r="AQ195" t="str">
        <f>TRIM(MID(SUBSTITUTE($F195, ",", REPT(" ", 100)), (COLUMNS($AH$2:AQ195)-1)*100+1, 100))</f>
        <v/>
      </c>
      <c r="AR195" t="str">
        <f>TRIM(MID(SUBSTITUTE($F195, ",", REPT(" ", 100)), (COLUMNS($AH$2:AR195)-1)*100+1, 100))</f>
        <v/>
      </c>
      <c r="AS195" t="str">
        <f>TRIM(MID(SUBSTITUTE($F195, ",", REPT(" ", 100)), (COLUMNS($AH$2:AS195)-1)*100+1, 100))</f>
        <v/>
      </c>
      <c r="AT195" t="str">
        <f>TRIM(MID(SUBSTITUTE($F195, ",", REPT(" ", 100)), (COLUMNS($AH$2:AT195)-1)*100+1, 100))</f>
        <v/>
      </c>
      <c r="AU195" t="str">
        <f>TRIM(MID(SUBSTITUTE($F195, ",", REPT(" ", 100)), (COLUMNS($AH$2:AU195)-1)*100+1, 100))</f>
        <v/>
      </c>
      <c r="AV195" t="str">
        <f>TRIM(MID(SUBSTITUTE($F195, ",", REPT(" ", 100)), (COLUMNS($AH$2:AV195)-1)*100+1, 100))</f>
        <v/>
      </c>
      <c r="AW195" t="str">
        <f>TRIM(MID(SUBSTITUTE($F195, ",", REPT(" ", 100)), (COLUMNS($AH$2:AW195)-1)*100+1, 100))</f>
        <v/>
      </c>
      <c r="AX195" t="str">
        <f>TRIM(MID(SUBSTITUTE($F195, ",", REPT(" ", 100)), (COLUMNS($AH$2:AX195)-1)*100+1, 100))</f>
        <v/>
      </c>
      <c r="AY195" t="str">
        <f>TRIM(MID(SUBSTITUTE($F195, ",", REPT(" ", 100)), (COLUMNS($AH$2:AY195)-1)*100+1, 100))</f>
        <v/>
      </c>
      <c r="AZ195" t="str">
        <f>TRIM(MID(SUBSTITUTE($F195, ",", REPT(" ", 100)), (COLUMNS($AH$2:AZ195)-1)*100+1, 100))</f>
        <v/>
      </c>
      <c r="BA195" t="str">
        <f>TRIM(MID(SUBSTITUTE($F195, ",", REPT(" ", 100)), (COLUMNS($AH$2:BA195)-1)*100+1, 100))</f>
        <v/>
      </c>
    </row>
    <row r="196" spans="1:53" x14ac:dyDescent="0.5">
      <c r="A196" s="1">
        <v>45852</v>
      </c>
      <c r="B196" s="2">
        <v>7.5</v>
      </c>
      <c r="C196" s="272"/>
      <c r="D196" s="295"/>
      <c r="E196" s="58">
        <v>1</v>
      </c>
      <c r="F196" s="38" t="s">
        <v>194</v>
      </c>
      <c r="AJ196" t="str">
        <f>TRIM(MID(SUBSTITUTE($F196, ",", REPT(" ", 100)), (COLUMNS($AH$2:AJ196)-1)*100+1, 100))</f>
        <v/>
      </c>
      <c r="AK196" s="1">
        <v>45852</v>
      </c>
      <c r="AL196" s="2">
        <v>7.5</v>
      </c>
      <c r="AM196" s="2">
        <v>6</v>
      </c>
      <c r="AO196" t="str">
        <f>TRIM(MID(SUBSTITUTE($F196, ",", REPT(" ", 100)), (COLUMNS($AH$2:AO196)-1)*100+1, 100))</f>
        <v/>
      </c>
      <c r="AP196" t="str">
        <f>TRIM(MID(SUBSTITUTE($F196, ",", REPT(" ", 100)), (COLUMNS($AH$2:AP196)-1)*100+1, 100))</f>
        <v/>
      </c>
      <c r="AQ196" t="str">
        <f>TRIM(MID(SUBSTITUTE($F196, ",", REPT(" ", 100)), (COLUMNS($AH$2:AQ196)-1)*100+1, 100))</f>
        <v/>
      </c>
      <c r="AR196" t="str">
        <f>TRIM(MID(SUBSTITUTE($F196, ",", REPT(" ", 100)), (COLUMNS($AH$2:AR196)-1)*100+1, 100))</f>
        <v/>
      </c>
      <c r="AS196" t="str">
        <f>TRIM(MID(SUBSTITUTE($F196, ",", REPT(" ", 100)), (COLUMNS($AH$2:AS196)-1)*100+1, 100))</f>
        <v/>
      </c>
      <c r="AT196" t="str">
        <f>TRIM(MID(SUBSTITUTE($F196, ",", REPT(" ", 100)), (COLUMNS($AH$2:AT196)-1)*100+1, 100))</f>
        <v/>
      </c>
      <c r="AU196" t="str">
        <f>TRIM(MID(SUBSTITUTE($F196, ",", REPT(" ", 100)), (COLUMNS($AH$2:AU196)-1)*100+1, 100))</f>
        <v/>
      </c>
      <c r="AV196" t="str">
        <f>TRIM(MID(SUBSTITUTE($F196, ",", REPT(" ", 100)), (COLUMNS($AH$2:AV196)-1)*100+1, 100))</f>
        <v/>
      </c>
      <c r="AW196" t="str">
        <f>TRIM(MID(SUBSTITUTE($F196, ",", REPT(" ", 100)), (COLUMNS($AH$2:AW196)-1)*100+1, 100))</f>
        <v/>
      </c>
      <c r="AX196" t="str">
        <f>TRIM(MID(SUBSTITUTE($F196, ",", REPT(" ", 100)), (COLUMNS($AH$2:AX196)-1)*100+1, 100))</f>
        <v/>
      </c>
      <c r="AY196" t="str">
        <f>TRIM(MID(SUBSTITUTE($F196, ",", REPT(" ", 100)), (COLUMNS($AH$2:AY196)-1)*100+1, 100))</f>
        <v/>
      </c>
      <c r="AZ196" t="str">
        <f>TRIM(MID(SUBSTITUTE($F196, ",", REPT(" ", 100)), (COLUMNS($AH$2:AZ196)-1)*100+1, 100))</f>
        <v/>
      </c>
      <c r="BA196" t="str">
        <f>TRIM(MID(SUBSTITUTE($F196, ",", REPT(" ", 100)), (COLUMNS($AH$2:BA196)-1)*100+1, 100))</f>
        <v/>
      </c>
    </row>
    <row r="197" spans="1:53" x14ac:dyDescent="0.5">
      <c r="A197" s="1">
        <v>45853</v>
      </c>
      <c r="B197" s="2">
        <v>7</v>
      </c>
      <c r="C197" s="272"/>
      <c r="D197" s="295"/>
      <c r="E197" s="58">
        <v>1</v>
      </c>
      <c r="F197" s="38" t="s">
        <v>194</v>
      </c>
      <c r="AJ197" t="str">
        <f>TRIM(MID(SUBSTITUTE($F197, ",", REPT(" ", 100)), (COLUMNS($AH$2:AJ197)-1)*100+1, 100))</f>
        <v/>
      </c>
      <c r="AK197" s="1">
        <v>45853</v>
      </c>
      <c r="AL197" s="2">
        <v>7</v>
      </c>
      <c r="AM197" s="2">
        <v>4</v>
      </c>
      <c r="AO197" t="str">
        <f>TRIM(MID(SUBSTITUTE($F197, ",", REPT(" ", 100)), (COLUMNS($AH$2:AO197)-1)*100+1, 100))</f>
        <v/>
      </c>
      <c r="AP197" t="str">
        <f>TRIM(MID(SUBSTITUTE($F197, ",", REPT(" ", 100)), (COLUMNS($AH$2:AP197)-1)*100+1, 100))</f>
        <v/>
      </c>
      <c r="AQ197" t="str">
        <f>TRIM(MID(SUBSTITUTE($F197, ",", REPT(" ", 100)), (COLUMNS($AH$2:AQ197)-1)*100+1, 100))</f>
        <v/>
      </c>
      <c r="AR197" t="str">
        <f>TRIM(MID(SUBSTITUTE($F197, ",", REPT(" ", 100)), (COLUMNS($AH$2:AR197)-1)*100+1, 100))</f>
        <v/>
      </c>
      <c r="AS197" t="str">
        <f>TRIM(MID(SUBSTITUTE($F197, ",", REPT(" ", 100)), (COLUMNS($AH$2:AS197)-1)*100+1, 100))</f>
        <v/>
      </c>
      <c r="AT197" t="str">
        <f>TRIM(MID(SUBSTITUTE($F197, ",", REPT(" ", 100)), (COLUMNS($AH$2:AT197)-1)*100+1, 100))</f>
        <v/>
      </c>
      <c r="AU197" t="str">
        <f>TRIM(MID(SUBSTITUTE($F197, ",", REPT(" ", 100)), (COLUMNS($AH$2:AU197)-1)*100+1, 100))</f>
        <v/>
      </c>
      <c r="AV197" t="str">
        <f>TRIM(MID(SUBSTITUTE($F197, ",", REPT(" ", 100)), (COLUMNS($AH$2:AV197)-1)*100+1, 100))</f>
        <v/>
      </c>
      <c r="AW197" t="str">
        <f>TRIM(MID(SUBSTITUTE($F197, ",", REPT(" ", 100)), (COLUMNS($AH$2:AW197)-1)*100+1, 100))</f>
        <v/>
      </c>
      <c r="AX197" t="str">
        <f>TRIM(MID(SUBSTITUTE($F197, ",", REPT(" ", 100)), (COLUMNS($AH$2:AX197)-1)*100+1, 100))</f>
        <v/>
      </c>
      <c r="AY197" t="str">
        <f>TRIM(MID(SUBSTITUTE($F197, ",", REPT(" ", 100)), (COLUMNS($AH$2:AY197)-1)*100+1, 100))</f>
        <v/>
      </c>
      <c r="AZ197" t="str">
        <f>TRIM(MID(SUBSTITUTE($F197, ",", REPT(" ", 100)), (COLUMNS($AH$2:AZ197)-1)*100+1, 100))</f>
        <v/>
      </c>
      <c r="BA197" t="str">
        <f>TRIM(MID(SUBSTITUTE($F197, ",", REPT(" ", 100)), (COLUMNS($AH$2:BA197)-1)*100+1, 100))</f>
        <v/>
      </c>
    </row>
    <row r="198" spans="1:53" x14ac:dyDescent="0.5">
      <c r="A198" s="1">
        <v>45854</v>
      </c>
      <c r="B198" s="2">
        <v>4.5</v>
      </c>
      <c r="C198" s="272"/>
      <c r="D198" s="295"/>
      <c r="E198" s="58">
        <v>0</v>
      </c>
      <c r="F198" s="38" t="s">
        <v>194</v>
      </c>
      <c r="AJ198" t="str">
        <f>TRIM(MID(SUBSTITUTE($F198, ",", REPT(" ", 100)), (COLUMNS($AH$2:AJ198)-1)*100+1, 100))</f>
        <v/>
      </c>
      <c r="AK198" s="1">
        <v>45854</v>
      </c>
      <c r="AL198" s="2">
        <v>4.5</v>
      </c>
      <c r="AM198" s="2">
        <v>4</v>
      </c>
      <c r="AO198" t="str">
        <f>TRIM(MID(SUBSTITUTE($F198, ",", REPT(" ", 100)), (COLUMNS($AH$2:AO198)-1)*100+1, 100))</f>
        <v/>
      </c>
      <c r="AP198" t="str">
        <f>TRIM(MID(SUBSTITUTE($F198, ",", REPT(" ", 100)), (COLUMNS($AH$2:AP198)-1)*100+1, 100))</f>
        <v/>
      </c>
      <c r="AQ198" t="str">
        <f>TRIM(MID(SUBSTITUTE($F198, ",", REPT(" ", 100)), (COLUMNS($AH$2:AQ198)-1)*100+1, 100))</f>
        <v/>
      </c>
      <c r="AR198" t="str">
        <f>TRIM(MID(SUBSTITUTE($F198, ",", REPT(" ", 100)), (COLUMNS($AH$2:AR198)-1)*100+1, 100))</f>
        <v/>
      </c>
      <c r="AS198" t="str">
        <f>TRIM(MID(SUBSTITUTE($F198, ",", REPT(" ", 100)), (COLUMNS($AH$2:AS198)-1)*100+1, 100))</f>
        <v/>
      </c>
      <c r="AT198" t="str">
        <f>TRIM(MID(SUBSTITUTE($F198, ",", REPT(" ", 100)), (COLUMNS($AH$2:AT198)-1)*100+1, 100))</f>
        <v/>
      </c>
      <c r="AU198" t="str">
        <f>TRIM(MID(SUBSTITUTE($F198, ",", REPT(" ", 100)), (COLUMNS($AH$2:AU198)-1)*100+1, 100))</f>
        <v/>
      </c>
      <c r="AV198" t="str">
        <f>TRIM(MID(SUBSTITUTE($F198, ",", REPT(" ", 100)), (COLUMNS($AH$2:AV198)-1)*100+1, 100))</f>
        <v/>
      </c>
      <c r="AW198" t="str">
        <f>TRIM(MID(SUBSTITUTE($F198, ",", REPT(" ", 100)), (COLUMNS($AH$2:AW198)-1)*100+1, 100))</f>
        <v/>
      </c>
      <c r="AX198" t="str">
        <f>TRIM(MID(SUBSTITUTE($F198, ",", REPT(" ", 100)), (COLUMNS($AH$2:AX198)-1)*100+1, 100))</f>
        <v/>
      </c>
      <c r="AY198" t="str">
        <f>TRIM(MID(SUBSTITUTE($F198, ",", REPT(" ", 100)), (COLUMNS($AH$2:AY198)-1)*100+1, 100))</f>
        <v/>
      </c>
      <c r="AZ198" t="str">
        <f>TRIM(MID(SUBSTITUTE($F198, ",", REPT(" ", 100)), (COLUMNS($AH$2:AZ198)-1)*100+1, 100))</f>
        <v/>
      </c>
      <c r="BA198" t="str">
        <f>TRIM(MID(SUBSTITUTE($F198, ",", REPT(" ", 100)), (COLUMNS($AH$2:BA198)-1)*100+1, 100))</f>
        <v/>
      </c>
    </row>
    <row r="199" spans="1:53" x14ac:dyDescent="0.5">
      <c r="A199" s="1">
        <v>45855</v>
      </c>
      <c r="B199" s="2">
        <v>4.5</v>
      </c>
      <c r="C199" s="272"/>
      <c r="D199" s="295"/>
      <c r="E199" s="58">
        <v>0</v>
      </c>
      <c r="F199" s="38" t="s">
        <v>194</v>
      </c>
      <c r="AJ199" t="str">
        <f>TRIM(MID(SUBSTITUTE($F199, ",", REPT(" ", 100)), (COLUMNS($AH$2:AJ199)-1)*100+1, 100))</f>
        <v/>
      </c>
      <c r="AK199" s="1">
        <v>45855</v>
      </c>
      <c r="AL199" s="2">
        <v>4.5</v>
      </c>
      <c r="AM199" s="2">
        <v>6</v>
      </c>
      <c r="AO199" t="str">
        <f>TRIM(MID(SUBSTITUTE($F199, ",", REPT(" ", 100)), (COLUMNS($AH$2:AO199)-1)*100+1, 100))</f>
        <v/>
      </c>
      <c r="AP199" t="str">
        <f>TRIM(MID(SUBSTITUTE($F199, ",", REPT(" ", 100)), (COLUMNS($AH$2:AP199)-1)*100+1, 100))</f>
        <v/>
      </c>
      <c r="AQ199" t="str">
        <f>TRIM(MID(SUBSTITUTE($F199, ",", REPT(" ", 100)), (COLUMNS($AH$2:AQ199)-1)*100+1, 100))</f>
        <v/>
      </c>
      <c r="AR199" t="str">
        <f>TRIM(MID(SUBSTITUTE($F199, ",", REPT(" ", 100)), (COLUMNS($AH$2:AR199)-1)*100+1, 100))</f>
        <v/>
      </c>
      <c r="AS199" t="str">
        <f>TRIM(MID(SUBSTITUTE($F199, ",", REPT(" ", 100)), (COLUMNS($AH$2:AS199)-1)*100+1, 100))</f>
        <v/>
      </c>
      <c r="AT199" t="str">
        <f>TRIM(MID(SUBSTITUTE($F199, ",", REPT(" ", 100)), (COLUMNS($AH$2:AT199)-1)*100+1, 100))</f>
        <v/>
      </c>
      <c r="AU199" t="str">
        <f>TRIM(MID(SUBSTITUTE($F199, ",", REPT(" ", 100)), (COLUMNS($AH$2:AU199)-1)*100+1, 100))</f>
        <v/>
      </c>
      <c r="AV199" t="str">
        <f>TRIM(MID(SUBSTITUTE($F199, ",", REPT(" ", 100)), (COLUMNS($AH$2:AV199)-1)*100+1, 100))</f>
        <v/>
      </c>
      <c r="AW199" t="str">
        <f>TRIM(MID(SUBSTITUTE($F199, ",", REPT(" ", 100)), (COLUMNS($AH$2:AW199)-1)*100+1, 100))</f>
        <v/>
      </c>
      <c r="AX199" t="str">
        <f>TRIM(MID(SUBSTITUTE($F199, ",", REPT(" ", 100)), (COLUMNS($AH$2:AX199)-1)*100+1, 100))</f>
        <v/>
      </c>
      <c r="AY199" t="str">
        <f>TRIM(MID(SUBSTITUTE($F199, ",", REPT(" ", 100)), (COLUMNS($AH$2:AY199)-1)*100+1, 100))</f>
        <v/>
      </c>
      <c r="AZ199" t="str">
        <f>TRIM(MID(SUBSTITUTE($F199, ",", REPT(" ", 100)), (COLUMNS($AH$2:AZ199)-1)*100+1, 100))</f>
        <v/>
      </c>
      <c r="BA199" t="str">
        <f>TRIM(MID(SUBSTITUTE($F199, ",", REPT(" ", 100)), (COLUMNS($AH$2:BA199)-1)*100+1, 100))</f>
        <v/>
      </c>
    </row>
    <row r="200" spans="1:53" x14ac:dyDescent="0.5">
      <c r="A200" s="1">
        <v>45856</v>
      </c>
      <c r="B200" s="2">
        <v>4.5</v>
      </c>
      <c r="C200" s="272"/>
      <c r="D200" s="295"/>
      <c r="E200" s="58">
        <v>1</v>
      </c>
      <c r="F200" s="38" t="s">
        <v>194</v>
      </c>
      <c r="AJ200" t="str">
        <f>TRIM(MID(SUBSTITUTE($F200, ",", REPT(" ", 100)), (COLUMNS($AH$2:AJ200)-1)*100+1, 100))</f>
        <v/>
      </c>
      <c r="AK200" s="1">
        <v>45856</v>
      </c>
      <c r="AL200" s="2">
        <v>4.5</v>
      </c>
      <c r="AM200" s="2">
        <v>4</v>
      </c>
      <c r="AO200" t="str">
        <f>TRIM(MID(SUBSTITUTE($F200, ",", REPT(" ", 100)), (COLUMNS($AH$2:AO200)-1)*100+1, 100))</f>
        <v/>
      </c>
      <c r="AP200" t="str">
        <f>TRIM(MID(SUBSTITUTE($F200, ",", REPT(" ", 100)), (COLUMNS($AH$2:AP200)-1)*100+1, 100))</f>
        <v/>
      </c>
      <c r="AQ200" t="str">
        <f>TRIM(MID(SUBSTITUTE($F200, ",", REPT(" ", 100)), (COLUMNS($AH$2:AQ200)-1)*100+1, 100))</f>
        <v/>
      </c>
      <c r="AR200" t="str">
        <f>TRIM(MID(SUBSTITUTE($F200, ",", REPT(" ", 100)), (COLUMNS($AH$2:AR200)-1)*100+1, 100))</f>
        <v/>
      </c>
      <c r="AS200" t="str">
        <f>TRIM(MID(SUBSTITUTE($F200, ",", REPT(" ", 100)), (COLUMNS($AH$2:AS200)-1)*100+1, 100))</f>
        <v/>
      </c>
      <c r="AT200" t="str">
        <f>TRIM(MID(SUBSTITUTE($F200, ",", REPT(" ", 100)), (COLUMNS($AH$2:AT200)-1)*100+1, 100))</f>
        <v/>
      </c>
      <c r="AU200" t="str">
        <f>TRIM(MID(SUBSTITUTE($F200, ",", REPT(" ", 100)), (COLUMNS($AH$2:AU200)-1)*100+1, 100))</f>
        <v/>
      </c>
      <c r="AV200" t="str">
        <f>TRIM(MID(SUBSTITUTE($F200, ",", REPT(" ", 100)), (COLUMNS($AH$2:AV200)-1)*100+1, 100))</f>
        <v/>
      </c>
      <c r="AW200" t="str">
        <f>TRIM(MID(SUBSTITUTE($F200, ",", REPT(" ", 100)), (COLUMNS($AH$2:AW200)-1)*100+1, 100))</f>
        <v/>
      </c>
      <c r="AX200" t="str">
        <f>TRIM(MID(SUBSTITUTE($F200, ",", REPT(" ", 100)), (COLUMNS($AH$2:AX200)-1)*100+1, 100))</f>
        <v/>
      </c>
      <c r="AY200" t="str">
        <f>TRIM(MID(SUBSTITUTE($F200, ",", REPT(" ", 100)), (COLUMNS($AH$2:AY200)-1)*100+1, 100))</f>
        <v/>
      </c>
      <c r="AZ200" t="str">
        <f>TRIM(MID(SUBSTITUTE($F200, ",", REPT(" ", 100)), (COLUMNS($AH$2:AZ200)-1)*100+1, 100))</f>
        <v/>
      </c>
      <c r="BA200" t="str">
        <f>TRIM(MID(SUBSTITUTE($F200, ",", REPT(" ", 100)), (COLUMNS($AH$2:BA200)-1)*100+1, 100))</f>
        <v/>
      </c>
    </row>
    <row r="201" spans="1:53" x14ac:dyDescent="0.5">
      <c r="A201" s="1">
        <v>45857</v>
      </c>
      <c r="B201" s="2">
        <v>6</v>
      </c>
      <c r="C201" s="272"/>
      <c r="D201" s="295"/>
      <c r="E201" s="58">
        <v>1</v>
      </c>
      <c r="F201" s="38" t="s">
        <v>194</v>
      </c>
      <c r="AJ201" t="str">
        <f>TRIM(MID(SUBSTITUTE($F201, ",", REPT(" ", 100)), (COLUMNS($AH$2:AJ201)-1)*100+1, 100))</f>
        <v/>
      </c>
      <c r="AK201" s="1">
        <v>45857</v>
      </c>
      <c r="AL201" s="2">
        <v>6</v>
      </c>
      <c r="AM201" s="2">
        <v>2</v>
      </c>
      <c r="AO201" t="str">
        <f>TRIM(MID(SUBSTITUTE($F201, ",", REPT(" ", 100)), (COLUMNS($AH$2:AO201)-1)*100+1, 100))</f>
        <v/>
      </c>
      <c r="AP201" t="str">
        <f>TRIM(MID(SUBSTITUTE($F201, ",", REPT(" ", 100)), (COLUMNS($AH$2:AP201)-1)*100+1, 100))</f>
        <v/>
      </c>
      <c r="AQ201" t="str">
        <f>TRIM(MID(SUBSTITUTE($F201, ",", REPT(" ", 100)), (COLUMNS($AH$2:AQ201)-1)*100+1, 100))</f>
        <v/>
      </c>
      <c r="AR201" t="str">
        <f>TRIM(MID(SUBSTITUTE($F201, ",", REPT(" ", 100)), (COLUMNS($AH$2:AR201)-1)*100+1, 100))</f>
        <v/>
      </c>
      <c r="AS201" t="str">
        <f>TRIM(MID(SUBSTITUTE($F201, ",", REPT(" ", 100)), (COLUMNS($AH$2:AS201)-1)*100+1, 100))</f>
        <v/>
      </c>
      <c r="AT201" t="str">
        <f>TRIM(MID(SUBSTITUTE($F201, ",", REPT(" ", 100)), (COLUMNS($AH$2:AT201)-1)*100+1, 100))</f>
        <v/>
      </c>
      <c r="AU201" t="str">
        <f>TRIM(MID(SUBSTITUTE($F201, ",", REPT(" ", 100)), (COLUMNS($AH$2:AU201)-1)*100+1, 100))</f>
        <v/>
      </c>
      <c r="AV201" t="str">
        <f>TRIM(MID(SUBSTITUTE($F201, ",", REPT(" ", 100)), (COLUMNS($AH$2:AV201)-1)*100+1, 100))</f>
        <v/>
      </c>
      <c r="AW201" t="str">
        <f>TRIM(MID(SUBSTITUTE($F201, ",", REPT(" ", 100)), (COLUMNS($AH$2:AW201)-1)*100+1, 100))</f>
        <v/>
      </c>
      <c r="AX201" t="str">
        <f>TRIM(MID(SUBSTITUTE($F201, ",", REPT(" ", 100)), (COLUMNS($AH$2:AX201)-1)*100+1, 100))</f>
        <v/>
      </c>
      <c r="AY201" t="str">
        <f>TRIM(MID(SUBSTITUTE($F201, ",", REPT(" ", 100)), (COLUMNS($AH$2:AY201)-1)*100+1, 100))</f>
        <v/>
      </c>
      <c r="AZ201" t="str">
        <f>TRIM(MID(SUBSTITUTE($F201, ",", REPT(" ", 100)), (COLUMNS($AH$2:AZ201)-1)*100+1, 100))</f>
        <v/>
      </c>
      <c r="BA201" t="str">
        <f>TRIM(MID(SUBSTITUTE($F201, ",", REPT(" ", 100)), (COLUMNS($AH$2:BA201)-1)*100+1, 100))</f>
        <v/>
      </c>
    </row>
    <row r="202" spans="1:53" x14ac:dyDescent="0.5">
      <c r="A202" s="1">
        <v>45858</v>
      </c>
      <c r="B202" s="2">
        <v>6</v>
      </c>
      <c r="C202" s="272"/>
      <c r="D202" s="295"/>
      <c r="E202" s="58">
        <v>0</v>
      </c>
      <c r="F202" s="38" t="s">
        <v>194</v>
      </c>
      <c r="AJ202" t="str">
        <f>TRIM(MID(SUBSTITUTE($F202, ",", REPT(" ", 100)), (COLUMNS($AH$2:AJ202)-1)*100+1, 100))</f>
        <v/>
      </c>
      <c r="AK202" s="1">
        <v>45858</v>
      </c>
      <c r="AL202" s="2">
        <v>6</v>
      </c>
      <c r="AM202" s="2">
        <v>8</v>
      </c>
      <c r="AO202" t="str">
        <f>TRIM(MID(SUBSTITUTE($F202, ",", REPT(" ", 100)), (COLUMNS($AH$2:AO202)-1)*100+1, 100))</f>
        <v/>
      </c>
      <c r="AP202" t="str">
        <f>TRIM(MID(SUBSTITUTE($F202, ",", REPT(" ", 100)), (COLUMNS($AH$2:AP202)-1)*100+1, 100))</f>
        <v/>
      </c>
      <c r="AQ202" t="str">
        <f>TRIM(MID(SUBSTITUTE($F202, ",", REPT(" ", 100)), (COLUMNS($AH$2:AQ202)-1)*100+1, 100))</f>
        <v/>
      </c>
      <c r="AR202" t="str">
        <f>TRIM(MID(SUBSTITUTE($F202, ",", REPT(" ", 100)), (COLUMNS($AH$2:AR202)-1)*100+1, 100))</f>
        <v/>
      </c>
      <c r="AS202" t="str">
        <f>TRIM(MID(SUBSTITUTE($F202, ",", REPT(" ", 100)), (COLUMNS($AH$2:AS202)-1)*100+1, 100))</f>
        <v/>
      </c>
      <c r="AT202" t="str">
        <f>TRIM(MID(SUBSTITUTE($F202, ",", REPT(" ", 100)), (COLUMNS($AH$2:AT202)-1)*100+1, 100))</f>
        <v/>
      </c>
      <c r="AU202" t="str">
        <f>TRIM(MID(SUBSTITUTE($F202, ",", REPT(" ", 100)), (COLUMNS($AH$2:AU202)-1)*100+1, 100))</f>
        <v/>
      </c>
      <c r="AV202" t="str">
        <f>TRIM(MID(SUBSTITUTE($F202, ",", REPT(" ", 100)), (COLUMNS($AH$2:AV202)-1)*100+1, 100))</f>
        <v/>
      </c>
      <c r="AW202" t="str">
        <f>TRIM(MID(SUBSTITUTE($F202, ",", REPT(" ", 100)), (COLUMNS($AH$2:AW202)-1)*100+1, 100))</f>
        <v/>
      </c>
      <c r="AX202" t="str">
        <f>TRIM(MID(SUBSTITUTE($F202, ",", REPT(" ", 100)), (COLUMNS($AH$2:AX202)-1)*100+1, 100))</f>
        <v/>
      </c>
      <c r="AY202" t="str">
        <f>TRIM(MID(SUBSTITUTE($F202, ",", REPT(" ", 100)), (COLUMNS($AH$2:AY202)-1)*100+1, 100))</f>
        <v/>
      </c>
      <c r="AZ202" t="str">
        <f>TRIM(MID(SUBSTITUTE($F202, ",", REPT(" ", 100)), (COLUMNS($AH$2:AZ202)-1)*100+1, 100))</f>
        <v/>
      </c>
      <c r="BA202" t="str">
        <f>TRIM(MID(SUBSTITUTE($F202, ",", REPT(" ", 100)), (COLUMNS($AH$2:BA202)-1)*100+1, 100))</f>
        <v/>
      </c>
    </row>
    <row r="203" spans="1:53" x14ac:dyDescent="0.5">
      <c r="A203" s="1">
        <v>45859</v>
      </c>
      <c r="B203" s="2">
        <v>4</v>
      </c>
      <c r="C203" s="272"/>
      <c r="D203" s="295"/>
      <c r="E203" s="58">
        <v>1</v>
      </c>
      <c r="F203" s="38" t="s">
        <v>194</v>
      </c>
      <c r="AJ203" t="str">
        <f>TRIM(MID(SUBSTITUTE($F203, ",", REPT(" ", 100)), (COLUMNS($AH$2:AJ203)-1)*100+1, 100))</f>
        <v/>
      </c>
      <c r="AK203" s="1">
        <v>45859</v>
      </c>
      <c r="AL203" s="2">
        <v>4</v>
      </c>
      <c r="AM203" s="2">
        <v>6</v>
      </c>
      <c r="AO203" t="str">
        <f>TRIM(MID(SUBSTITUTE($F203, ",", REPT(" ", 100)), (COLUMNS($AH$2:AO203)-1)*100+1, 100))</f>
        <v/>
      </c>
      <c r="AP203" t="str">
        <f>TRIM(MID(SUBSTITUTE($F203, ",", REPT(" ", 100)), (COLUMNS($AH$2:AP203)-1)*100+1, 100))</f>
        <v/>
      </c>
      <c r="AQ203" t="str">
        <f>TRIM(MID(SUBSTITUTE($F203, ",", REPT(" ", 100)), (COLUMNS($AH$2:AQ203)-1)*100+1, 100))</f>
        <v/>
      </c>
      <c r="AR203" t="str">
        <f>TRIM(MID(SUBSTITUTE($F203, ",", REPT(" ", 100)), (COLUMNS($AH$2:AR203)-1)*100+1, 100))</f>
        <v/>
      </c>
      <c r="AS203" t="str">
        <f>TRIM(MID(SUBSTITUTE($F203, ",", REPT(" ", 100)), (COLUMNS($AH$2:AS203)-1)*100+1, 100))</f>
        <v/>
      </c>
      <c r="AT203" t="str">
        <f>TRIM(MID(SUBSTITUTE($F203, ",", REPT(" ", 100)), (COLUMNS($AH$2:AT203)-1)*100+1, 100))</f>
        <v/>
      </c>
      <c r="AU203" t="str">
        <f>TRIM(MID(SUBSTITUTE($F203, ",", REPT(" ", 100)), (COLUMNS($AH$2:AU203)-1)*100+1, 100))</f>
        <v/>
      </c>
      <c r="AV203" t="str">
        <f>TRIM(MID(SUBSTITUTE($F203, ",", REPT(" ", 100)), (COLUMNS($AH$2:AV203)-1)*100+1, 100))</f>
        <v/>
      </c>
      <c r="AW203" t="str">
        <f>TRIM(MID(SUBSTITUTE($F203, ",", REPT(" ", 100)), (COLUMNS($AH$2:AW203)-1)*100+1, 100))</f>
        <v/>
      </c>
      <c r="AX203" t="str">
        <f>TRIM(MID(SUBSTITUTE($F203, ",", REPT(" ", 100)), (COLUMNS($AH$2:AX203)-1)*100+1, 100))</f>
        <v/>
      </c>
      <c r="AY203" t="str">
        <f>TRIM(MID(SUBSTITUTE($F203, ",", REPT(" ", 100)), (COLUMNS($AH$2:AY203)-1)*100+1, 100))</f>
        <v/>
      </c>
      <c r="AZ203" t="str">
        <f>TRIM(MID(SUBSTITUTE($F203, ",", REPT(" ", 100)), (COLUMNS($AH$2:AZ203)-1)*100+1, 100))</f>
        <v/>
      </c>
      <c r="BA203" t="str">
        <f>TRIM(MID(SUBSTITUTE($F203, ",", REPT(" ", 100)), (COLUMNS($AH$2:BA203)-1)*100+1, 100))</f>
        <v/>
      </c>
    </row>
    <row r="204" spans="1:53" x14ac:dyDescent="0.5">
      <c r="A204" s="1">
        <v>45860</v>
      </c>
      <c r="B204" s="2">
        <v>3.5</v>
      </c>
      <c r="C204" s="272"/>
      <c r="D204" s="295"/>
      <c r="E204" s="58">
        <v>1</v>
      </c>
      <c r="F204" s="38" t="s">
        <v>194</v>
      </c>
      <c r="AJ204" t="str">
        <f>TRIM(MID(SUBSTITUTE($F204, ",", REPT(" ", 100)), (COLUMNS($AH$2:AJ204)-1)*100+1, 100))</f>
        <v/>
      </c>
      <c r="AK204" s="1">
        <v>45860</v>
      </c>
      <c r="AL204" s="2">
        <v>3.5</v>
      </c>
      <c r="AM204" s="2">
        <v>4</v>
      </c>
      <c r="AO204" t="str">
        <f>TRIM(MID(SUBSTITUTE($F204, ",", REPT(" ", 100)), (COLUMNS($AH$2:AO204)-1)*100+1, 100))</f>
        <v/>
      </c>
      <c r="AP204" t="str">
        <f>TRIM(MID(SUBSTITUTE($F204, ",", REPT(" ", 100)), (COLUMNS($AH$2:AP204)-1)*100+1, 100))</f>
        <v/>
      </c>
      <c r="AQ204" t="str">
        <f>TRIM(MID(SUBSTITUTE($F204, ",", REPT(" ", 100)), (COLUMNS($AH$2:AQ204)-1)*100+1, 100))</f>
        <v/>
      </c>
      <c r="AR204" t="str">
        <f>TRIM(MID(SUBSTITUTE($F204, ",", REPT(" ", 100)), (COLUMNS($AH$2:AR204)-1)*100+1, 100))</f>
        <v/>
      </c>
      <c r="AS204" t="str">
        <f>TRIM(MID(SUBSTITUTE($F204, ",", REPT(" ", 100)), (COLUMNS($AH$2:AS204)-1)*100+1, 100))</f>
        <v/>
      </c>
      <c r="AT204" t="str">
        <f>TRIM(MID(SUBSTITUTE($F204, ",", REPT(" ", 100)), (COLUMNS($AH$2:AT204)-1)*100+1, 100))</f>
        <v/>
      </c>
      <c r="AU204" t="str">
        <f>TRIM(MID(SUBSTITUTE($F204, ",", REPT(" ", 100)), (COLUMNS($AH$2:AU204)-1)*100+1, 100))</f>
        <v/>
      </c>
      <c r="AV204" t="str">
        <f>TRIM(MID(SUBSTITUTE($F204, ",", REPT(" ", 100)), (COLUMNS($AH$2:AV204)-1)*100+1, 100))</f>
        <v/>
      </c>
      <c r="AW204" t="str">
        <f>TRIM(MID(SUBSTITUTE($F204, ",", REPT(" ", 100)), (COLUMNS($AH$2:AW204)-1)*100+1, 100))</f>
        <v/>
      </c>
      <c r="AX204" t="str">
        <f>TRIM(MID(SUBSTITUTE($F204, ",", REPT(" ", 100)), (COLUMNS($AH$2:AX204)-1)*100+1, 100))</f>
        <v/>
      </c>
      <c r="AY204" t="str">
        <f>TRIM(MID(SUBSTITUTE($F204, ",", REPT(" ", 100)), (COLUMNS($AH$2:AY204)-1)*100+1, 100))</f>
        <v/>
      </c>
      <c r="AZ204" t="str">
        <f>TRIM(MID(SUBSTITUTE($F204, ",", REPT(" ", 100)), (COLUMNS($AH$2:AZ204)-1)*100+1, 100))</f>
        <v/>
      </c>
      <c r="BA204" t="str">
        <f>TRIM(MID(SUBSTITUTE($F204, ",", REPT(" ", 100)), (COLUMNS($AH$2:BA204)-1)*100+1, 100))</f>
        <v/>
      </c>
    </row>
    <row r="205" spans="1:53" x14ac:dyDescent="0.5">
      <c r="A205" s="1">
        <v>45861</v>
      </c>
      <c r="B205" s="2">
        <v>4</v>
      </c>
      <c r="C205" s="272"/>
      <c r="D205" s="295"/>
      <c r="E205" s="58">
        <v>0</v>
      </c>
      <c r="F205" s="38" t="s">
        <v>194</v>
      </c>
      <c r="AJ205" t="str">
        <f>TRIM(MID(SUBSTITUTE($F205, ",", REPT(" ", 100)), (COLUMNS($AH$2:AJ205)-1)*100+1, 100))</f>
        <v/>
      </c>
      <c r="AK205" s="1">
        <v>45861</v>
      </c>
      <c r="AL205" s="2">
        <v>4</v>
      </c>
      <c r="AM205" s="2">
        <v>4</v>
      </c>
      <c r="AO205" t="str">
        <f>TRIM(MID(SUBSTITUTE($F205, ",", REPT(" ", 100)), (COLUMNS($AH$2:AO205)-1)*100+1, 100))</f>
        <v/>
      </c>
      <c r="AP205" t="str">
        <f>TRIM(MID(SUBSTITUTE($F205, ",", REPT(" ", 100)), (COLUMNS($AH$2:AP205)-1)*100+1, 100))</f>
        <v/>
      </c>
      <c r="AQ205" t="str">
        <f>TRIM(MID(SUBSTITUTE($F205, ",", REPT(" ", 100)), (COLUMNS($AH$2:AQ205)-1)*100+1, 100))</f>
        <v/>
      </c>
      <c r="AR205" t="str">
        <f>TRIM(MID(SUBSTITUTE($F205, ",", REPT(" ", 100)), (COLUMNS($AH$2:AR205)-1)*100+1, 100))</f>
        <v/>
      </c>
      <c r="AS205" t="str">
        <f>TRIM(MID(SUBSTITUTE($F205, ",", REPT(" ", 100)), (COLUMNS($AH$2:AS205)-1)*100+1, 100))</f>
        <v/>
      </c>
      <c r="AT205" t="str">
        <f>TRIM(MID(SUBSTITUTE($F205, ",", REPT(" ", 100)), (COLUMNS($AH$2:AT205)-1)*100+1, 100))</f>
        <v/>
      </c>
      <c r="AU205" t="str">
        <f>TRIM(MID(SUBSTITUTE($F205, ",", REPT(" ", 100)), (COLUMNS($AH$2:AU205)-1)*100+1, 100))</f>
        <v/>
      </c>
      <c r="AV205" t="str">
        <f>TRIM(MID(SUBSTITUTE($F205, ",", REPT(" ", 100)), (COLUMNS($AH$2:AV205)-1)*100+1, 100))</f>
        <v/>
      </c>
      <c r="AW205" t="str">
        <f>TRIM(MID(SUBSTITUTE($F205, ",", REPT(" ", 100)), (COLUMNS($AH$2:AW205)-1)*100+1, 100))</f>
        <v/>
      </c>
      <c r="AX205" t="str">
        <f>TRIM(MID(SUBSTITUTE($F205, ",", REPT(" ", 100)), (COLUMNS($AH$2:AX205)-1)*100+1, 100))</f>
        <v/>
      </c>
      <c r="AY205" t="str">
        <f>TRIM(MID(SUBSTITUTE($F205, ",", REPT(" ", 100)), (COLUMNS($AH$2:AY205)-1)*100+1, 100))</f>
        <v/>
      </c>
      <c r="AZ205" t="str">
        <f>TRIM(MID(SUBSTITUTE($F205, ",", REPT(" ", 100)), (COLUMNS($AH$2:AZ205)-1)*100+1, 100))</f>
        <v/>
      </c>
      <c r="BA205" t="str">
        <f>TRIM(MID(SUBSTITUTE($F205, ",", REPT(" ", 100)), (COLUMNS($AH$2:BA205)-1)*100+1, 100))</f>
        <v/>
      </c>
    </row>
    <row r="206" spans="1:53" x14ac:dyDescent="0.5">
      <c r="A206" s="1">
        <v>45862</v>
      </c>
      <c r="B206" s="2">
        <v>4.5</v>
      </c>
      <c r="C206" s="272"/>
      <c r="D206" s="295"/>
      <c r="E206" s="58">
        <v>0</v>
      </c>
      <c r="F206" s="38" t="s">
        <v>194</v>
      </c>
      <c r="AJ206" t="str">
        <f>TRIM(MID(SUBSTITUTE($F206, ",", REPT(" ", 100)), (COLUMNS($AH$2:AJ206)-1)*100+1, 100))</f>
        <v/>
      </c>
      <c r="AK206" s="1">
        <v>45862</v>
      </c>
      <c r="AL206" s="2">
        <v>4.5</v>
      </c>
      <c r="AM206" s="2">
        <v>2</v>
      </c>
      <c r="AO206" t="str">
        <f>TRIM(MID(SUBSTITUTE($F206, ",", REPT(" ", 100)), (COLUMNS($AH$2:AO206)-1)*100+1, 100))</f>
        <v/>
      </c>
      <c r="AP206" t="str">
        <f>TRIM(MID(SUBSTITUTE($F206, ",", REPT(" ", 100)), (COLUMNS($AH$2:AP206)-1)*100+1, 100))</f>
        <v/>
      </c>
      <c r="AQ206" t="str">
        <f>TRIM(MID(SUBSTITUTE($F206, ",", REPT(" ", 100)), (COLUMNS($AH$2:AQ206)-1)*100+1, 100))</f>
        <v/>
      </c>
      <c r="AR206" t="str">
        <f>TRIM(MID(SUBSTITUTE($F206, ",", REPT(" ", 100)), (COLUMNS($AH$2:AR206)-1)*100+1, 100))</f>
        <v/>
      </c>
      <c r="AS206" t="str">
        <f>TRIM(MID(SUBSTITUTE($F206, ",", REPT(" ", 100)), (COLUMNS($AH$2:AS206)-1)*100+1, 100))</f>
        <v/>
      </c>
      <c r="AT206" t="str">
        <f>TRIM(MID(SUBSTITUTE($F206, ",", REPT(" ", 100)), (COLUMNS($AH$2:AT206)-1)*100+1, 100))</f>
        <v/>
      </c>
      <c r="AU206" t="str">
        <f>TRIM(MID(SUBSTITUTE($F206, ",", REPT(" ", 100)), (COLUMNS($AH$2:AU206)-1)*100+1, 100))</f>
        <v/>
      </c>
      <c r="AV206" t="str">
        <f>TRIM(MID(SUBSTITUTE($F206, ",", REPT(" ", 100)), (COLUMNS($AH$2:AV206)-1)*100+1, 100))</f>
        <v/>
      </c>
      <c r="AW206" t="str">
        <f>TRIM(MID(SUBSTITUTE($F206, ",", REPT(" ", 100)), (COLUMNS($AH$2:AW206)-1)*100+1, 100))</f>
        <v/>
      </c>
      <c r="AX206" t="str">
        <f>TRIM(MID(SUBSTITUTE($F206, ",", REPT(" ", 100)), (COLUMNS($AH$2:AX206)-1)*100+1, 100))</f>
        <v/>
      </c>
      <c r="AY206" t="str">
        <f>TRIM(MID(SUBSTITUTE($F206, ",", REPT(" ", 100)), (COLUMNS($AH$2:AY206)-1)*100+1, 100))</f>
        <v/>
      </c>
      <c r="AZ206" t="str">
        <f>TRIM(MID(SUBSTITUTE($F206, ",", REPT(" ", 100)), (COLUMNS($AH$2:AZ206)-1)*100+1, 100))</f>
        <v/>
      </c>
      <c r="BA206" t="str">
        <f>TRIM(MID(SUBSTITUTE($F206, ",", REPT(" ", 100)), (COLUMNS($AH$2:BA206)-1)*100+1, 100))</f>
        <v/>
      </c>
    </row>
    <row r="207" spans="1:53" x14ac:dyDescent="0.5">
      <c r="A207" s="1">
        <v>45863</v>
      </c>
      <c r="B207" s="2">
        <v>4.5999999999999996</v>
      </c>
      <c r="C207" s="272"/>
      <c r="D207" s="295"/>
      <c r="E207" s="58">
        <v>0</v>
      </c>
      <c r="F207" s="38" t="s">
        <v>194</v>
      </c>
      <c r="AJ207" t="str">
        <f>TRIM(MID(SUBSTITUTE($F207, ",", REPT(" ", 100)), (COLUMNS($AH$2:AJ207)-1)*100+1, 100))</f>
        <v/>
      </c>
      <c r="AK207" s="1">
        <v>45863</v>
      </c>
      <c r="AL207" s="2">
        <v>4.5999999999999996</v>
      </c>
      <c r="AM207" s="2">
        <v>4</v>
      </c>
      <c r="AO207" t="str">
        <f>TRIM(MID(SUBSTITUTE($F207, ",", REPT(" ", 100)), (COLUMNS($AH$2:AO207)-1)*100+1, 100))</f>
        <v/>
      </c>
      <c r="AP207" t="str">
        <f>TRIM(MID(SUBSTITUTE($F207, ",", REPT(" ", 100)), (COLUMNS($AH$2:AP207)-1)*100+1, 100))</f>
        <v/>
      </c>
      <c r="AQ207" t="str">
        <f>TRIM(MID(SUBSTITUTE($F207, ",", REPT(" ", 100)), (COLUMNS($AH$2:AQ207)-1)*100+1, 100))</f>
        <v/>
      </c>
      <c r="AR207" t="str">
        <f>TRIM(MID(SUBSTITUTE($F207, ",", REPT(" ", 100)), (COLUMNS($AH$2:AR207)-1)*100+1, 100))</f>
        <v/>
      </c>
      <c r="AS207" t="str">
        <f>TRIM(MID(SUBSTITUTE($F207, ",", REPT(" ", 100)), (COLUMNS($AH$2:AS207)-1)*100+1, 100))</f>
        <v/>
      </c>
      <c r="AT207" t="str">
        <f>TRIM(MID(SUBSTITUTE($F207, ",", REPT(" ", 100)), (COLUMNS($AH$2:AT207)-1)*100+1, 100))</f>
        <v/>
      </c>
      <c r="AU207" t="str">
        <f>TRIM(MID(SUBSTITUTE($F207, ",", REPT(" ", 100)), (COLUMNS($AH$2:AU207)-1)*100+1, 100))</f>
        <v/>
      </c>
      <c r="AV207" t="str">
        <f>TRIM(MID(SUBSTITUTE($F207, ",", REPT(" ", 100)), (COLUMNS($AH$2:AV207)-1)*100+1, 100))</f>
        <v/>
      </c>
      <c r="AW207" t="str">
        <f>TRIM(MID(SUBSTITUTE($F207, ",", REPT(" ", 100)), (COLUMNS($AH$2:AW207)-1)*100+1, 100))</f>
        <v/>
      </c>
      <c r="AX207" t="str">
        <f>TRIM(MID(SUBSTITUTE($F207, ",", REPT(" ", 100)), (COLUMNS($AH$2:AX207)-1)*100+1, 100))</f>
        <v/>
      </c>
      <c r="AY207" t="str">
        <f>TRIM(MID(SUBSTITUTE($F207, ",", REPT(" ", 100)), (COLUMNS($AH$2:AY207)-1)*100+1, 100))</f>
        <v/>
      </c>
      <c r="AZ207" t="str">
        <f>TRIM(MID(SUBSTITUTE($F207, ",", REPT(" ", 100)), (COLUMNS($AH$2:AZ207)-1)*100+1, 100))</f>
        <v/>
      </c>
      <c r="BA207" t="str">
        <f>TRIM(MID(SUBSTITUTE($F207, ",", REPT(" ", 100)), (COLUMNS($AH$2:BA207)-1)*100+1, 100))</f>
        <v/>
      </c>
    </row>
    <row r="208" spans="1:53" x14ac:dyDescent="0.5">
      <c r="A208" s="1">
        <v>45864</v>
      </c>
      <c r="B208" s="2">
        <v>8</v>
      </c>
      <c r="C208" s="272"/>
      <c r="D208" s="295"/>
      <c r="E208" s="58">
        <v>1</v>
      </c>
      <c r="F208" s="38" t="s">
        <v>194</v>
      </c>
      <c r="AJ208" t="str">
        <f>TRIM(MID(SUBSTITUTE($F208, ",", REPT(" ", 100)), (COLUMNS($AH$2:AJ208)-1)*100+1, 100))</f>
        <v/>
      </c>
      <c r="AK208" s="1">
        <v>45864</v>
      </c>
      <c r="AL208" s="2">
        <v>8</v>
      </c>
      <c r="AM208" s="2">
        <v>4</v>
      </c>
      <c r="AO208" t="str">
        <f>TRIM(MID(SUBSTITUTE($F208, ",", REPT(" ", 100)), (COLUMNS($AH$2:AO208)-1)*100+1, 100))</f>
        <v/>
      </c>
      <c r="AP208" t="str">
        <f>TRIM(MID(SUBSTITUTE($F208, ",", REPT(" ", 100)), (COLUMNS($AH$2:AP208)-1)*100+1, 100))</f>
        <v/>
      </c>
      <c r="AQ208" t="str">
        <f>TRIM(MID(SUBSTITUTE($F208, ",", REPT(" ", 100)), (COLUMNS($AH$2:AQ208)-1)*100+1, 100))</f>
        <v/>
      </c>
      <c r="AR208" t="str">
        <f>TRIM(MID(SUBSTITUTE($F208, ",", REPT(" ", 100)), (COLUMNS($AH$2:AR208)-1)*100+1, 100))</f>
        <v/>
      </c>
      <c r="AS208" t="str">
        <f>TRIM(MID(SUBSTITUTE($F208, ",", REPT(" ", 100)), (COLUMNS($AH$2:AS208)-1)*100+1, 100))</f>
        <v/>
      </c>
      <c r="AT208" t="str">
        <f>TRIM(MID(SUBSTITUTE($F208, ",", REPT(" ", 100)), (COLUMNS($AH$2:AT208)-1)*100+1, 100))</f>
        <v/>
      </c>
      <c r="AU208" t="str">
        <f>TRIM(MID(SUBSTITUTE($F208, ",", REPT(" ", 100)), (COLUMNS($AH$2:AU208)-1)*100+1, 100))</f>
        <v/>
      </c>
      <c r="AV208" t="str">
        <f>TRIM(MID(SUBSTITUTE($F208, ",", REPT(" ", 100)), (COLUMNS($AH$2:AV208)-1)*100+1, 100))</f>
        <v/>
      </c>
      <c r="AW208" t="str">
        <f>TRIM(MID(SUBSTITUTE($F208, ",", REPT(" ", 100)), (COLUMNS($AH$2:AW208)-1)*100+1, 100))</f>
        <v/>
      </c>
      <c r="AX208" t="str">
        <f>TRIM(MID(SUBSTITUTE($F208, ",", REPT(" ", 100)), (COLUMNS($AH$2:AX208)-1)*100+1, 100))</f>
        <v/>
      </c>
      <c r="AY208" t="str">
        <f>TRIM(MID(SUBSTITUTE($F208, ",", REPT(" ", 100)), (COLUMNS($AH$2:AY208)-1)*100+1, 100))</f>
        <v/>
      </c>
      <c r="AZ208" t="str">
        <f>TRIM(MID(SUBSTITUTE($F208, ",", REPT(" ", 100)), (COLUMNS($AH$2:AZ208)-1)*100+1, 100))</f>
        <v/>
      </c>
      <c r="BA208" t="str">
        <f>TRIM(MID(SUBSTITUTE($F208, ",", REPT(" ", 100)), (COLUMNS($AH$2:BA208)-1)*100+1, 100))</f>
        <v/>
      </c>
    </row>
    <row r="209" spans="1:53" x14ac:dyDescent="0.5">
      <c r="A209" s="1">
        <v>45865</v>
      </c>
      <c r="B209" s="2">
        <v>7.5</v>
      </c>
      <c r="C209" s="272"/>
      <c r="D209" s="295"/>
      <c r="E209" s="58">
        <v>0</v>
      </c>
      <c r="F209" s="38" t="s">
        <v>278</v>
      </c>
      <c r="AJ209" t="str">
        <f>TRIM(MID(SUBSTITUTE($F209, ",", REPT(" ", 100)), (COLUMNS($AH$2:AJ209)-1)*100+1, 100))</f>
        <v/>
      </c>
      <c r="AK209" s="1">
        <v>45865</v>
      </c>
      <c r="AL209" s="2">
        <v>7.5</v>
      </c>
      <c r="AM209" s="2">
        <v>6</v>
      </c>
      <c r="AO209" t="str">
        <f>TRIM(MID(SUBSTITUTE($F209, ",", REPT(" ", 100)), (COLUMNS($AH$2:AO209)-1)*100+1, 100))</f>
        <v/>
      </c>
      <c r="AP209" t="str">
        <f>TRIM(MID(SUBSTITUTE($F209, ",", REPT(" ", 100)), (COLUMNS($AH$2:AP209)-1)*100+1, 100))</f>
        <v/>
      </c>
      <c r="AQ209" t="str">
        <f>TRIM(MID(SUBSTITUTE($F209, ",", REPT(" ", 100)), (COLUMNS($AH$2:AQ209)-1)*100+1, 100))</f>
        <v/>
      </c>
      <c r="AR209" t="str">
        <f>TRIM(MID(SUBSTITUTE($F209, ",", REPT(" ", 100)), (COLUMNS($AH$2:AR209)-1)*100+1, 100))</f>
        <v/>
      </c>
      <c r="AS209" t="str">
        <f>TRIM(MID(SUBSTITUTE($F209, ",", REPT(" ", 100)), (COLUMNS($AH$2:AS209)-1)*100+1, 100))</f>
        <v/>
      </c>
      <c r="AT209" t="str">
        <f>TRIM(MID(SUBSTITUTE($F209, ",", REPT(" ", 100)), (COLUMNS($AH$2:AT209)-1)*100+1, 100))</f>
        <v/>
      </c>
      <c r="AU209" t="str">
        <f>TRIM(MID(SUBSTITUTE($F209, ",", REPT(" ", 100)), (COLUMNS($AH$2:AU209)-1)*100+1, 100))</f>
        <v/>
      </c>
      <c r="AV209" t="str">
        <f>TRIM(MID(SUBSTITUTE($F209, ",", REPT(" ", 100)), (COLUMNS($AH$2:AV209)-1)*100+1, 100))</f>
        <v/>
      </c>
      <c r="AW209" t="str">
        <f>TRIM(MID(SUBSTITUTE($F209, ",", REPT(" ", 100)), (COLUMNS($AH$2:AW209)-1)*100+1, 100))</f>
        <v/>
      </c>
      <c r="AX209" t="str">
        <f>TRIM(MID(SUBSTITUTE($F209, ",", REPT(" ", 100)), (COLUMNS($AH$2:AX209)-1)*100+1, 100))</f>
        <v/>
      </c>
      <c r="AY209" t="str">
        <f>TRIM(MID(SUBSTITUTE($F209, ",", REPT(" ", 100)), (COLUMNS($AH$2:AY209)-1)*100+1, 100))</f>
        <v/>
      </c>
      <c r="AZ209" t="str">
        <f>TRIM(MID(SUBSTITUTE($F209, ",", REPT(" ", 100)), (COLUMNS($AH$2:AZ209)-1)*100+1, 100))</f>
        <v/>
      </c>
      <c r="BA209" t="str">
        <f>TRIM(MID(SUBSTITUTE($F209, ",", REPT(" ", 100)), (COLUMNS($AH$2:BA209)-1)*100+1, 100))</f>
        <v/>
      </c>
    </row>
    <row r="210" spans="1:53" x14ac:dyDescent="0.5">
      <c r="A210" s="1">
        <v>45866</v>
      </c>
      <c r="B210" s="2">
        <v>4.5</v>
      </c>
      <c r="C210" s="272"/>
      <c r="D210" s="295"/>
      <c r="E210" s="58">
        <v>0</v>
      </c>
      <c r="F210" s="38" t="s">
        <v>194</v>
      </c>
      <c r="AJ210" t="str">
        <f>TRIM(MID(SUBSTITUTE($F210, ",", REPT(" ", 100)), (COLUMNS($AH$2:AJ210)-1)*100+1, 100))</f>
        <v/>
      </c>
      <c r="AK210" s="1">
        <v>45866</v>
      </c>
      <c r="AL210" s="2">
        <v>4.5</v>
      </c>
      <c r="AM210" s="2">
        <v>6</v>
      </c>
      <c r="AO210" t="str">
        <f>TRIM(MID(SUBSTITUTE($F210, ",", REPT(" ", 100)), (COLUMNS($AH$2:AO210)-1)*100+1, 100))</f>
        <v/>
      </c>
      <c r="AP210" t="str">
        <f>TRIM(MID(SUBSTITUTE($F210, ",", REPT(" ", 100)), (COLUMNS($AH$2:AP210)-1)*100+1, 100))</f>
        <v/>
      </c>
      <c r="AQ210" t="str">
        <f>TRIM(MID(SUBSTITUTE($F210, ",", REPT(" ", 100)), (COLUMNS($AH$2:AQ210)-1)*100+1, 100))</f>
        <v/>
      </c>
      <c r="AR210" t="str">
        <f>TRIM(MID(SUBSTITUTE($F210, ",", REPT(" ", 100)), (COLUMNS($AH$2:AR210)-1)*100+1, 100))</f>
        <v/>
      </c>
      <c r="AS210" t="str">
        <f>TRIM(MID(SUBSTITUTE($F210, ",", REPT(" ", 100)), (COLUMNS($AH$2:AS210)-1)*100+1, 100))</f>
        <v/>
      </c>
      <c r="AT210" t="str">
        <f>TRIM(MID(SUBSTITUTE($F210, ",", REPT(" ", 100)), (COLUMNS($AH$2:AT210)-1)*100+1, 100))</f>
        <v/>
      </c>
      <c r="AU210" t="str">
        <f>TRIM(MID(SUBSTITUTE($F210, ",", REPT(" ", 100)), (COLUMNS($AH$2:AU210)-1)*100+1, 100))</f>
        <v/>
      </c>
      <c r="AV210" t="str">
        <f>TRIM(MID(SUBSTITUTE($F210, ",", REPT(" ", 100)), (COLUMNS($AH$2:AV210)-1)*100+1, 100))</f>
        <v/>
      </c>
      <c r="AW210" t="str">
        <f>TRIM(MID(SUBSTITUTE($F210, ",", REPT(" ", 100)), (COLUMNS($AH$2:AW210)-1)*100+1, 100))</f>
        <v/>
      </c>
      <c r="AX210" t="str">
        <f>TRIM(MID(SUBSTITUTE($F210, ",", REPT(" ", 100)), (COLUMNS($AH$2:AX210)-1)*100+1, 100))</f>
        <v/>
      </c>
      <c r="AY210" t="str">
        <f>TRIM(MID(SUBSTITUTE($F210, ",", REPT(" ", 100)), (COLUMNS($AH$2:AY210)-1)*100+1, 100))</f>
        <v/>
      </c>
      <c r="AZ210" t="str">
        <f>TRIM(MID(SUBSTITUTE($F210, ",", REPT(" ", 100)), (COLUMNS($AH$2:AZ210)-1)*100+1, 100))</f>
        <v/>
      </c>
      <c r="BA210" t="str">
        <f>TRIM(MID(SUBSTITUTE($F210, ",", REPT(" ", 100)), (COLUMNS($AH$2:BA210)-1)*100+1, 100))</f>
        <v/>
      </c>
    </row>
    <row r="211" spans="1:53" x14ac:dyDescent="0.5">
      <c r="A211" s="1">
        <v>45867</v>
      </c>
      <c r="B211" s="2">
        <v>5</v>
      </c>
      <c r="C211" s="272"/>
      <c r="D211" s="295"/>
      <c r="E211" s="58">
        <v>0</v>
      </c>
      <c r="F211" s="38" t="s">
        <v>194</v>
      </c>
      <c r="AJ211" t="str">
        <f>TRIM(MID(SUBSTITUTE($F211, ",", REPT(" ", 100)), (COLUMNS($AH$2:AJ211)-1)*100+1, 100))</f>
        <v/>
      </c>
      <c r="AK211" s="1">
        <v>45867</v>
      </c>
      <c r="AL211" s="2">
        <v>5</v>
      </c>
      <c r="AM211" s="2">
        <v>6</v>
      </c>
      <c r="AO211" t="str">
        <f>TRIM(MID(SUBSTITUTE($F211, ",", REPT(" ", 100)), (COLUMNS($AH$2:AO211)-1)*100+1, 100))</f>
        <v/>
      </c>
      <c r="AP211" t="str">
        <f>TRIM(MID(SUBSTITUTE($F211, ",", REPT(" ", 100)), (COLUMNS($AH$2:AP211)-1)*100+1, 100))</f>
        <v/>
      </c>
      <c r="AQ211" t="str">
        <f>TRIM(MID(SUBSTITUTE($F211, ",", REPT(" ", 100)), (COLUMNS($AH$2:AQ211)-1)*100+1, 100))</f>
        <v/>
      </c>
      <c r="AR211" t="str">
        <f>TRIM(MID(SUBSTITUTE($F211, ",", REPT(" ", 100)), (COLUMNS($AH$2:AR211)-1)*100+1, 100))</f>
        <v/>
      </c>
      <c r="AS211" t="str">
        <f>TRIM(MID(SUBSTITUTE($F211, ",", REPT(" ", 100)), (COLUMNS($AH$2:AS211)-1)*100+1, 100))</f>
        <v/>
      </c>
      <c r="AT211" t="str">
        <f>TRIM(MID(SUBSTITUTE($F211, ",", REPT(" ", 100)), (COLUMNS($AH$2:AT211)-1)*100+1, 100))</f>
        <v/>
      </c>
      <c r="AU211" t="str">
        <f>TRIM(MID(SUBSTITUTE($F211, ",", REPT(" ", 100)), (COLUMNS($AH$2:AU211)-1)*100+1, 100))</f>
        <v/>
      </c>
      <c r="AV211" t="str">
        <f>TRIM(MID(SUBSTITUTE($F211, ",", REPT(" ", 100)), (COLUMNS($AH$2:AV211)-1)*100+1, 100))</f>
        <v/>
      </c>
      <c r="AW211" t="str">
        <f>TRIM(MID(SUBSTITUTE($F211, ",", REPT(" ", 100)), (COLUMNS($AH$2:AW211)-1)*100+1, 100))</f>
        <v/>
      </c>
      <c r="AX211" t="str">
        <f>TRIM(MID(SUBSTITUTE($F211, ",", REPT(" ", 100)), (COLUMNS($AH$2:AX211)-1)*100+1, 100))</f>
        <v/>
      </c>
      <c r="AY211" t="str">
        <f>TRIM(MID(SUBSTITUTE($F211, ",", REPT(" ", 100)), (COLUMNS($AH$2:AY211)-1)*100+1, 100))</f>
        <v/>
      </c>
      <c r="AZ211" t="str">
        <f>TRIM(MID(SUBSTITUTE($F211, ",", REPT(" ", 100)), (COLUMNS($AH$2:AZ211)-1)*100+1, 100))</f>
        <v/>
      </c>
      <c r="BA211" t="str">
        <f>TRIM(MID(SUBSTITUTE($F211, ",", REPT(" ", 100)), (COLUMNS($AH$2:BA211)-1)*100+1, 100))</f>
        <v/>
      </c>
    </row>
    <row r="212" spans="1:53" x14ac:dyDescent="0.5">
      <c r="A212" s="1">
        <v>45868</v>
      </c>
      <c r="B212" s="2">
        <v>3.5</v>
      </c>
      <c r="C212" s="272"/>
      <c r="D212" s="295"/>
      <c r="E212" s="58">
        <v>0</v>
      </c>
      <c r="F212" s="38" t="s">
        <v>194</v>
      </c>
      <c r="AJ212" t="str">
        <f>TRIM(MID(SUBSTITUTE($F212, ",", REPT(" ", 100)), (COLUMNS($AH$2:AJ212)-1)*100+1, 100))</f>
        <v/>
      </c>
      <c r="AK212" s="1">
        <v>45868</v>
      </c>
      <c r="AL212" s="2">
        <v>3.5</v>
      </c>
      <c r="AM212" s="2">
        <v>6</v>
      </c>
      <c r="AO212" t="str">
        <f>TRIM(MID(SUBSTITUTE($F212, ",", REPT(" ", 100)), (COLUMNS($AH$2:AO212)-1)*100+1, 100))</f>
        <v/>
      </c>
      <c r="AP212" t="str">
        <f>TRIM(MID(SUBSTITUTE($F212, ",", REPT(" ", 100)), (COLUMNS($AH$2:AP212)-1)*100+1, 100))</f>
        <v/>
      </c>
      <c r="AQ212" t="str">
        <f>TRIM(MID(SUBSTITUTE($F212, ",", REPT(" ", 100)), (COLUMNS($AH$2:AQ212)-1)*100+1, 100))</f>
        <v/>
      </c>
      <c r="AR212" t="str">
        <f>TRIM(MID(SUBSTITUTE($F212, ",", REPT(" ", 100)), (COLUMNS($AH$2:AR212)-1)*100+1, 100))</f>
        <v/>
      </c>
      <c r="AS212" t="str">
        <f>TRIM(MID(SUBSTITUTE($F212, ",", REPT(" ", 100)), (COLUMNS($AH$2:AS212)-1)*100+1, 100))</f>
        <v/>
      </c>
      <c r="AT212" t="str">
        <f>TRIM(MID(SUBSTITUTE($F212, ",", REPT(" ", 100)), (COLUMNS($AH$2:AT212)-1)*100+1, 100))</f>
        <v/>
      </c>
      <c r="AU212" t="str">
        <f>TRIM(MID(SUBSTITUTE($F212, ",", REPT(" ", 100)), (COLUMNS($AH$2:AU212)-1)*100+1, 100))</f>
        <v/>
      </c>
      <c r="AV212" t="str">
        <f>TRIM(MID(SUBSTITUTE($F212, ",", REPT(" ", 100)), (COLUMNS($AH$2:AV212)-1)*100+1, 100))</f>
        <v/>
      </c>
      <c r="AW212" t="str">
        <f>TRIM(MID(SUBSTITUTE($F212, ",", REPT(" ", 100)), (COLUMNS($AH$2:AW212)-1)*100+1, 100))</f>
        <v/>
      </c>
      <c r="AX212" t="str">
        <f>TRIM(MID(SUBSTITUTE($F212, ",", REPT(" ", 100)), (COLUMNS($AH$2:AX212)-1)*100+1, 100))</f>
        <v/>
      </c>
      <c r="AY212" t="str">
        <f>TRIM(MID(SUBSTITUTE($F212, ",", REPT(" ", 100)), (COLUMNS($AH$2:AY212)-1)*100+1, 100))</f>
        <v/>
      </c>
      <c r="AZ212" t="str">
        <f>TRIM(MID(SUBSTITUTE($F212, ",", REPT(" ", 100)), (COLUMNS($AH$2:AZ212)-1)*100+1, 100))</f>
        <v/>
      </c>
      <c r="BA212" t="str">
        <f>TRIM(MID(SUBSTITUTE($F212, ",", REPT(" ", 100)), (COLUMNS($AH$2:BA212)-1)*100+1, 100))</f>
        <v/>
      </c>
    </row>
    <row r="213" spans="1:53" x14ac:dyDescent="0.5">
      <c r="A213" s="1">
        <v>45869</v>
      </c>
      <c r="B213" s="2">
        <v>10</v>
      </c>
      <c r="C213" s="272"/>
      <c r="D213" s="295"/>
      <c r="E213" s="58">
        <v>1</v>
      </c>
      <c r="F213" s="38" t="s">
        <v>195</v>
      </c>
      <c r="G213" s="38" t="s">
        <v>344</v>
      </c>
      <c r="AJ213" t="str">
        <f>TRIM(MID(SUBSTITUTE($F213, ",", REPT(" ", 100)), (COLUMNS($AH$2:AJ213)-1)*100+1, 100))</f>
        <v/>
      </c>
      <c r="AK213" s="1">
        <v>45869</v>
      </c>
      <c r="AL213" s="2">
        <v>10</v>
      </c>
      <c r="AM213" s="2">
        <v>6</v>
      </c>
      <c r="AO213" t="str">
        <f>TRIM(MID(SUBSTITUTE($F213, ",", REPT(" ", 100)), (COLUMNS($AH$2:AO213)-1)*100+1, 100))</f>
        <v/>
      </c>
      <c r="AP213" t="str">
        <f>TRIM(MID(SUBSTITUTE($F213, ",", REPT(" ", 100)), (COLUMNS($AH$2:AP213)-1)*100+1, 100))</f>
        <v/>
      </c>
      <c r="AQ213" t="str">
        <f>TRIM(MID(SUBSTITUTE($F213, ",", REPT(" ", 100)), (COLUMNS($AH$2:AQ213)-1)*100+1, 100))</f>
        <v/>
      </c>
      <c r="AR213" t="str">
        <f>TRIM(MID(SUBSTITUTE($F213, ",", REPT(" ", 100)), (COLUMNS($AH$2:AR213)-1)*100+1, 100))</f>
        <v/>
      </c>
      <c r="AS213" t="str">
        <f>TRIM(MID(SUBSTITUTE($F213, ",", REPT(" ", 100)), (COLUMNS($AH$2:AS213)-1)*100+1, 100))</f>
        <v/>
      </c>
      <c r="AT213" t="str">
        <f>TRIM(MID(SUBSTITUTE($F213, ",", REPT(" ", 100)), (COLUMNS($AH$2:AT213)-1)*100+1, 100))</f>
        <v/>
      </c>
      <c r="AU213" t="str">
        <f>TRIM(MID(SUBSTITUTE($F213, ",", REPT(" ", 100)), (COLUMNS($AH$2:AU213)-1)*100+1, 100))</f>
        <v/>
      </c>
      <c r="AV213" t="str">
        <f>TRIM(MID(SUBSTITUTE($F213, ",", REPT(" ", 100)), (COLUMNS($AH$2:AV213)-1)*100+1, 100))</f>
        <v/>
      </c>
      <c r="AW213" t="str">
        <f>TRIM(MID(SUBSTITUTE($F213, ",", REPT(" ", 100)), (COLUMNS($AH$2:AW213)-1)*100+1, 100))</f>
        <v/>
      </c>
      <c r="AX213" t="str">
        <f>TRIM(MID(SUBSTITUTE($F213, ",", REPT(" ", 100)), (COLUMNS($AH$2:AX213)-1)*100+1, 100))</f>
        <v/>
      </c>
      <c r="AY213" t="str">
        <f>TRIM(MID(SUBSTITUTE($F213, ",", REPT(" ", 100)), (COLUMNS($AH$2:AY213)-1)*100+1, 100))</f>
        <v/>
      </c>
      <c r="AZ213" t="str">
        <f>TRIM(MID(SUBSTITUTE($F213, ",", REPT(" ", 100)), (COLUMNS($AH$2:AZ213)-1)*100+1, 100))</f>
        <v/>
      </c>
      <c r="BA213" t="str">
        <f>TRIM(MID(SUBSTITUTE($F213, ",", REPT(" ", 100)), (COLUMNS($AH$2:BA213)-1)*100+1, 100))</f>
        <v/>
      </c>
    </row>
    <row r="214" spans="1:53" x14ac:dyDescent="0.5">
      <c r="A214" s="1">
        <v>45870</v>
      </c>
      <c r="B214" s="2">
        <v>7</v>
      </c>
      <c r="C214" s="272">
        <f>AVERAGE(B214:B244)</f>
        <v>4.5548387096774192</v>
      </c>
      <c r="D214" s="295"/>
      <c r="E214" s="58">
        <v>1</v>
      </c>
      <c r="F214" s="38" t="s">
        <v>194</v>
      </c>
      <c r="AJ214" t="str">
        <f>TRIM(MID(SUBSTITUTE($F214, ",", REPT(" ", 100)), (COLUMNS($AH$2:AJ214)-1)*100+1, 100))</f>
        <v/>
      </c>
      <c r="AK214" s="1">
        <v>45870</v>
      </c>
      <c r="AL214" s="2">
        <v>7</v>
      </c>
      <c r="AM214" s="2">
        <v>6</v>
      </c>
      <c r="AO214" t="str">
        <f>TRIM(MID(SUBSTITUTE($F214, ",", REPT(" ", 100)), (COLUMNS($AH$2:AO214)-1)*100+1, 100))</f>
        <v/>
      </c>
      <c r="AP214" t="str">
        <f>TRIM(MID(SUBSTITUTE($F214, ",", REPT(" ", 100)), (COLUMNS($AH$2:AP214)-1)*100+1, 100))</f>
        <v/>
      </c>
      <c r="AQ214" t="str">
        <f>TRIM(MID(SUBSTITUTE($F214, ",", REPT(" ", 100)), (COLUMNS($AH$2:AQ214)-1)*100+1, 100))</f>
        <v/>
      </c>
      <c r="AR214" t="str">
        <f>TRIM(MID(SUBSTITUTE($F214, ",", REPT(" ", 100)), (COLUMNS($AH$2:AR214)-1)*100+1, 100))</f>
        <v/>
      </c>
      <c r="AS214" t="str">
        <f>TRIM(MID(SUBSTITUTE($F214, ",", REPT(" ", 100)), (COLUMNS($AH$2:AS214)-1)*100+1, 100))</f>
        <v/>
      </c>
      <c r="AT214" t="str">
        <f>TRIM(MID(SUBSTITUTE($F214, ",", REPT(" ", 100)), (COLUMNS($AH$2:AT214)-1)*100+1, 100))</f>
        <v/>
      </c>
      <c r="AU214" t="str">
        <f>TRIM(MID(SUBSTITUTE($F214, ",", REPT(" ", 100)), (COLUMNS($AH$2:AU214)-1)*100+1, 100))</f>
        <v/>
      </c>
      <c r="AV214" t="str">
        <f>TRIM(MID(SUBSTITUTE($F214, ",", REPT(" ", 100)), (COLUMNS($AH$2:AV214)-1)*100+1, 100))</f>
        <v/>
      </c>
      <c r="AW214" t="str">
        <f>TRIM(MID(SUBSTITUTE($F214, ",", REPT(" ", 100)), (COLUMNS($AH$2:AW214)-1)*100+1, 100))</f>
        <v/>
      </c>
      <c r="AX214" t="str">
        <f>TRIM(MID(SUBSTITUTE($F214, ",", REPT(" ", 100)), (COLUMNS($AH$2:AX214)-1)*100+1, 100))</f>
        <v/>
      </c>
      <c r="AY214" t="str">
        <f>TRIM(MID(SUBSTITUTE($F214, ",", REPT(" ", 100)), (COLUMNS($AH$2:AY214)-1)*100+1, 100))</f>
        <v/>
      </c>
      <c r="AZ214" t="str">
        <f>TRIM(MID(SUBSTITUTE($F214, ",", REPT(" ", 100)), (COLUMNS($AH$2:AZ214)-1)*100+1, 100))</f>
        <v/>
      </c>
      <c r="BA214" t="str">
        <f>TRIM(MID(SUBSTITUTE($F214, ",", REPT(" ", 100)), (COLUMNS($AH$2:BA214)-1)*100+1, 100))</f>
        <v/>
      </c>
    </row>
    <row r="215" spans="1:53" x14ac:dyDescent="0.5">
      <c r="A215" s="1">
        <v>45871</v>
      </c>
      <c r="B215" s="2">
        <v>4</v>
      </c>
      <c r="C215" s="272"/>
      <c r="D215" s="295"/>
      <c r="E215" s="58">
        <v>1</v>
      </c>
      <c r="F215" s="38" t="s">
        <v>341</v>
      </c>
      <c r="G215" s="38" t="s">
        <v>123</v>
      </c>
      <c r="AJ215" t="str">
        <f>TRIM(MID(SUBSTITUTE($F215, ",", REPT(" ", 100)), (COLUMNS($AH$2:AJ215)-1)*100+1, 100))</f>
        <v>Kochi</v>
      </c>
      <c r="AK215" s="1">
        <v>45871</v>
      </c>
      <c r="AL215" s="2">
        <v>4</v>
      </c>
      <c r="AM215" s="2">
        <v>6</v>
      </c>
      <c r="AO215" t="str">
        <f>TRIM(MID(SUBSTITUTE($F215, ",", REPT(" ", 100)), (COLUMNS($AH$2:AO215)-1)*100+1, 100))</f>
        <v/>
      </c>
      <c r="AP215" t="str">
        <f>TRIM(MID(SUBSTITUTE($F215, ",", REPT(" ", 100)), (COLUMNS($AH$2:AP215)-1)*100+1, 100))</f>
        <v/>
      </c>
      <c r="AQ215" t="str">
        <f>TRIM(MID(SUBSTITUTE($F215, ",", REPT(" ", 100)), (COLUMNS($AH$2:AQ215)-1)*100+1, 100))</f>
        <v/>
      </c>
      <c r="AR215" t="str">
        <f>TRIM(MID(SUBSTITUTE($F215, ",", REPT(" ", 100)), (COLUMNS($AH$2:AR215)-1)*100+1, 100))</f>
        <v/>
      </c>
      <c r="AS215" t="str">
        <f>TRIM(MID(SUBSTITUTE($F215, ",", REPT(" ", 100)), (COLUMNS($AH$2:AS215)-1)*100+1, 100))</f>
        <v/>
      </c>
      <c r="AT215" t="str">
        <f>TRIM(MID(SUBSTITUTE($F215, ",", REPT(" ", 100)), (COLUMNS($AH$2:AT215)-1)*100+1, 100))</f>
        <v/>
      </c>
      <c r="AU215" t="str">
        <f>TRIM(MID(SUBSTITUTE($F215, ",", REPT(" ", 100)), (COLUMNS($AH$2:AU215)-1)*100+1, 100))</f>
        <v/>
      </c>
      <c r="AV215" t="str">
        <f>TRIM(MID(SUBSTITUTE($F215, ",", REPT(" ", 100)), (COLUMNS($AH$2:AV215)-1)*100+1, 100))</f>
        <v/>
      </c>
      <c r="AW215" t="str">
        <f>TRIM(MID(SUBSTITUTE($F215, ",", REPT(" ", 100)), (COLUMNS($AH$2:AW215)-1)*100+1, 100))</f>
        <v/>
      </c>
      <c r="AX215" t="str">
        <f>TRIM(MID(SUBSTITUTE($F215, ",", REPT(" ", 100)), (COLUMNS($AH$2:AX215)-1)*100+1, 100))</f>
        <v/>
      </c>
      <c r="AY215" t="str">
        <f>TRIM(MID(SUBSTITUTE($F215, ",", REPT(" ", 100)), (COLUMNS($AH$2:AY215)-1)*100+1, 100))</f>
        <v/>
      </c>
      <c r="AZ215" t="str">
        <f>TRIM(MID(SUBSTITUTE($F215, ",", REPT(" ", 100)), (COLUMNS($AH$2:AZ215)-1)*100+1, 100))</f>
        <v/>
      </c>
      <c r="BA215" t="str">
        <f>TRIM(MID(SUBSTITUTE($F215, ",", REPT(" ", 100)), (COLUMNS($AH$2:BA215)-1)*100+1, 100))</f>
        <v/>
      </c>
    </row>
    <row r="216" spans="1:53" x14ac:dyDescent="0.5">
      <c r="A216" s="1">
        <v>45872</v>
      </c>
      <c r="B216" s="2">
        <v>2</v>
      </c>
      <c r="C216" s="272"/>
      <c r="D216" s="295"/>
      <c r="E216" s="58">
        <v>1</v>
      </c>
      <c r="F216" s="38" t="s">
        <v>176</v>
      </c>
      <c r="AJ216" t="str">
        <f>TRIM(MID(SUBSTITUTE($F216, ",", REPT(" ", 100)), (COLUMNS($AH$2:AJ216)-1)*100+1, 100))</f>
        <v/>
      </c>
      <c r="AK216" s="1">
        <v>45872</v>
      </c>
      <c r="AL216" s="2">
        <v>2</v>
      </c>
      <c r="AM216" s="2">
        <v>6</v>
      </c>
      <c r="AO216" t="str">
        <f>TRIM(MID(SUBSTITUTE($F216, ",", REPT(" ", 100)), (COLUMNS($AH$2:AO216)-1)*100+1, 100))</f>
        <v/>
      </c>
      <c r="AP216" t="str">
        <f>TRIM(MID(SUBSTITUTE($F216, ",", REPT(" ", 100)), (COLUMNS($AH$2:AP216)-1)*100+1, 100))</f>
        <v/>
      </c>
      <c r="AQ216" t="str">
        <f>TRIM(MID(SUBSTITUTE($F216, ",", REPT(" ", 100)), (COLUMNS($AH$2:AQ216)-1)*100+1, 100))</f>
        <v/>
      </c>
      <c r="AR216" t="str">
        <f>TRIM(MID(SUBSTITUTE($F216, ",", REPT(" ", 100)), (COLUMNS($AH$2:AR216)-1)*100+1, 100))</f>
        <v/>
      </c>
      <c r="AS216" t="str">
        <f>TRIM(MID(SUBSTITUTE($F216, ",", REPT(" ", 100)), (COLUMNS($AH$2:AS216)-1)*100+1, 100))</f>
        <v/>
      </c>
      <c r="AT216" t="str">
        <f>TRIM(MID(SUBSTITUTE($F216, ",", REPT(" ", 100)), (COLUMNS($AH$2:AT216)-1)*100+1, 100))</f>
        <v/>
      </c>
      <c r="AU216" t="str">
        <f>TRIM(MID(SUBSTITUTE($F216, ",", REPT(" ", 100)), (COLUMNS($AH$2:AU216)-1)*100+1, 100))</f>
        <v/>
      </c>
      <c r="AV216" t="str">
        <f>TRIM(MID(SUBSTITUTE($F216, ",", REPT(" ", 100)), (COLUMNS($AH$2:AV216)-1)*100+1, 100))</f>
        <v/>
      </c>
      <c r="AW216" t="str">
        <f>TRIM(MID(SUBSTITUTE($F216, ",", REPT(" ", 100)), (COLUMNS($AH$2:AW216)-1)*100+1, 100))</f>
        <v/>
      </c>
      <c r="AX216" t="str">
        <f>TRIM(MID(SUBSTITUTE($F216, ",", REPT(" ", 100)), (COLUMNS($AH$2:AX216)-1)*100+1, 100))</f>
        <v/>
      </c>
      <c r="AY216" t="str">
        <f>TRIM(MID(SUBSTITUTE($F216, ",", REPT(" ", 100)), (COLUMNS($AH$2:AY216)-1)*100+1, 100))</f>
        <v/>
      </c>
      <c r="AZ216" t="str">
        <f>TRIM(MID(SUBSTITUTE($F216, ",", REPT(" ", 100)), (COLUMNS($AH$2:AZ216)-1)*100+1, 100))</f>
        <v/>
      </c>
      <c r="BA216" t="str">
        <f>TRIM(MID(SUBSTITUTE($F216, ",", REPT(" ", 100)), (COLUMNS($AH$2:BA216)-1)*100+1, 100))</f>
        <v/>
      </c>
    </row>
    <row r="217" spans="1:53" x14ac:dyDescent="0.5">
      <c r="A217" s="1">
        <v>45873</v>
      </c>
      <c r="B217" s="2">
        <v>4</v>
      </c>
      <c r="C217" s="272"/>
      <c r="D217" s="295"/>
      <c r="E217" s="58">
        <v>1</v>
      </c>
      <c r="F217" s="38" t="s">
        <v>176</v>
      </c>
      <c r="AJ217" t="str">
        <f>TRIM(MID(SUBSTITUTE($F217, ",", REPT(" ", 100)), (COLUMNS($AH$2:AJ217)-1)*100+1, 100))</f>
        <v/>
      </c>
      <c r="AK217" s="1">
        <v>45873</v>
      </c>
      <c r="AL217" s="2">
        <v>4</v>
      </c>
      <c r="AM217" s="2">
        <v>8</v>
      </c>
      <c r="AO217" t="str">
        <f>TRIM(MID(SUBSTITUTE($F217, ",", REPT(" ", 100)), (COLUMNS($AH$2:AO217)-1)*100+1, 100))</f>
        <v/>
      </c>
      <c r="AP217" t="str">
        <f>TRIM(MID(SUBSTITUTE($F217, ",", REPT(" ", 100)), (COLUMNS($AH$2:AP217)-1)*100+1, 100))</f>
        <v/>
      </c>
      <c r="AQ217" t="str">
        <f>TRIM(MID(SUBSTITUTE($F217, ",", REPT(" ", 100)), (COLUMNS($AH$2:AQ217)-1)*100+1, 100))</f>
        <v/>
      </c>
      <c r="AR217" t="str">
        <f>TRIM(MID(SUBSTITUTE($F217, ",", REPT(" ", 100)), (COLUMNS($AH$2:AR217)-1)*100+1, 100))</f>
        <v/>
      </c>
      <c r="AS217" t="str">
        <f>TRIM(MID(SUBSTITUTE($F217, ",", REPT(" ", 100)), (COLUMNS($AH$2:AS217)-1)*100+1, 100))</f>
        <v/>
      </c>
      <c r="AT217" t="str">
        <f>TRIM(MID(SUBSTITUTE($F217, ",", REPT(" ", 100)), (COLUMNS($AH$2:AT217)-1)*100+1, 100))</f>
        <v/>
      </c>
      <c r="AU217" t="str">
        <f>TRIM(MID(SUBSTITUTE($F217, ",", REPT(" ", 100)), (COLUMNS($AH$2:AU217)-1)*100+1, 100))</f>
        <v/>
      </c>
      <c r="AV217" t="str">
        <f>TRIM(MID(SUBSTITUTE($F217, ",", REPT(" ", 100)), (COLUMNS($AH$2:AV217)-1)*100+1, 100))</f>
        <v/>
      </c>
      <c r="AW217" t="str">
        <f>TRIM(MID(SUBSTITUTE($F217, ",", REPT(" ", 100)), (COLUMNS($AH$2:AW217)-1)*100+1, 100))</f>
        <v/>
      </c>
      <c r="AX217" t="str">
        <f>TRIM(MID(SUBSTITUTE($F217, ",", REPT(" ", 100)), (COLUMNS($AH$2:AX217)-1)*100+1, 100))</f>
        <v/>
      </c>
      <c r="AY217" t="str">
        <f>TRIM(MID(SUBSTITUTE($F217, ",", REPT(" ", 100)), (COLUMNS($AH$2:AY217)-1)*100+1, 100))</f>
        <v/>
      </c>
      <c r="AZ217" t="str">
        <f>TRIM(MID(SUBSTITUTE($F217, ",", REPT(" ", 100)), (COLUMNS($AH$2:AZ217)-1)*100+1, 100))</f>
        <v/>
      </c>
      <c r="BA217" t="str">
        <f>TRIM(MID(SUBSTITUTE($F217, ",", REPT(" ", 100)), (COLUMNS($AH$2:BA217)-1)*100+1, 100))</f>
        <v/>
      </c>
    </row>
    <row r="218" spans="1:53" x14ac:dyDescent="0.5">
      <c r="A218" s="1">
        <v>45874</v>
      </c>
      <c r="B218" s="2">
        <v>3.9</v>
      </c>
      <c r="C218" s="272"/>
      <c r="D218" s="295"/>
      <c r="E218" s="58">
        <v>1</v>
      </c>
      <c r="F218" s="38" t="s">
        <v>176</v>
      </c>
      <c r="AJ218" t="str">
        <f>TRIM(MID(SUBSTITUTE($F218, ",", REPT(" ", 100)), (COLUMNS($AH$2:AJ218)-1)*100+1, 100))</f>
        <v/>
      </c>
      <c r="AK218" s="1">
        <v>45874</v>
      </c>
      <c r="AL218" s="2">
        <v>3.9</v>
      </c>
      <c r="AM218" s="2">
        <v>4</v>
      </c>
      <c r="AO218" t="str">
        <f>TRIM(MID(SUBSTITUTE($F218, ",", REPT(" ", 100)), (COLUMNS($AH$2:AO218)-1)*100+1, 100))</f>
        <v/>
      </c>
      <c r="AP218" t="str">
        <f>TRIM(MID(SUBSTITUTE($F218, ",", REPT(" ", 100)), (COLUMNS($AH$2:AP218)-1)*100+1, 100))</f>
        <v/>
      </c>
      <c r="AQ218" t="str">
        <f>TRIM(MID(SUBSTITUTE($F218, ",", REPT(" ", 100)), (COLUMNS($AH$2:AQ218)-1)*100+1, 100))</f>
        <v/>
      </c>
      <c r="AR218" t="str">
        <f>TRIM(MID(SUBSTITUTE($F218, ",", REPT(" ", 100)), (COLUMNS($AH$2:AR218)-1)*100+1, 100))</f>
        <v/>
      </c>
      <c r="AS218" t="str">
        <f>TRIM(MID(SUBSTITUTE($F218, ",", REPT(" ", 100)), (COLUMNS($AH$2:AS218)-1)*100+1, 100))</f>
        <v/>
      </c>
      <c r="AT218" t="str">
        <f>TRIM(MID(SUBSTITUTE($F218, ",", REPT(" ", 100)), (COLUMNS($AH$2:AT218)-1)*100+1, 100))</f>
        <v/>
      </c>
      <c r="AU218" t="str">
        <f>TRIM(MID(SUBSTITUTE($F218, ",", REPT(" ", 100)), (COLUMNS($AH$2:AU218)-1)*100+1, 100))</f>
        <v/>
      </c>
      <c r="AV218" t="str">
        <f>TRIM(MID(SUBSTITUTE($F218, ",", REPT(" ", 100)), (COLUMNS($AH$2:AV218)-1)*100+1, 100))</f>
        <v/>
      </c>
      <c r="AW218" t="str">
        <f>TRIM(MID(SUBSTITUTE($F218, ",", REPT(" ", 100)), (COLUMNS($AH$2:AW218)-1)*100+1, 100))</f>
        <v/>
      </c>
      <c r="AX218" t="str">
        <f>TRIM(MID(SUBSTITUTE($F218, ",", REPT(" ", 100)), (COLUMNS($AH$2:AX218)-1)*100+1, 100))</f>
        <v/>
      </c>
      <c r="AY218" t="str">
        <f>TRIM(MID(SUBSTITUTE($F218, ",", REPT(" ", 100)), (COLUMNS($AH$2:AY218)-1)*100+1, 100))</f>
        <v/>
      </c>
      <c r="AZ218" t="str">
        <f>TRIM(MID(SUBSTITUTE($F218, ",", REPT(" ", 100)), (COLUMNS($AH$2:AZ218)-1)*100+1, 100))</f>
        <v/>
      </c>
      <c r="BA218" t="str">
        <f>TRIM(MID(SUBSTITUTE($F218, ",", REPT(" ", 100)), (COLUMNS($AH$2:BA218)-1)*100+1, 100))</f>
        <v/>
      </c>
    </row>
    <row r="219" spans="1:53" x14ac:dyDescent="0.5">
      <c r="A219" s="1">
        <v>45875</v>
      </c>
      <c r="B219" s="2">
        <v>4</v>
      </c>
      <c r="C219" s="272"/>
      <c r="D219" s="295"/>
      <c r="E219" s="58">
        <v>1</v>
      </c>
      <c r="F219" s="38" t="s">
        <v>176</v>
      </c>
      <c r="AJ219" t="str">
        <f>TRIM(MID(SUBSTITUTE($F219, ",", REPT(" ", 100)), (COLUMNS($AH$2:AJ219)-1)*100+1, 100))</f>
        <v/>
      </c>
      <c r="AK219" s="1">
        <v>45875</v>
      </c>
      <c r="AL219" s="2">
        <v>4</v>
      </c>
      <c r="AM219" s="2">
        <v>4</v>
      </c>
      <c r="AO219" t="str">
        <f>TRIM(MID(SUBSTITUTE($F219, ",", REPT(" ", 100)), (COLUMNS($AH$2:AO219)-1)*100+1, 100))</f>
        <v/>
      </c>
      <c r="AP219" t="str">
        <f>TRIM(MID(SUBSTITUTE($F219, ",", REPT(" ", 100)), (COLUMNS($AH$2:AP219)-1)*100+1, 100))</f>
        <v/>
      </c>
      <c r="AQ219" t="str">
        <f>TRIM(MID(SUBSTITUTE($F219, ",", REPT(" ", 100)), (COLUMNS($AH$2:AQ219)-1)*100+1, 100))</f>
        <v/>
      </c>
      <c r="AR219" t="str">
        <f>TRIM(MID(SUBSTITUTE($F219, ",", REPT(" ", 100)), (COLUMNS($AH$2:AR219)-1)*100+1, 100))</f>
        <v/>
      </c>
      <c r="AS219" t="str">
        <f>TRIM(MID(SUBSTITUTE($F219, ",", REPT(" ", 100)), (COLUMNS($AH$2:AS219)-1)*100+1, 100))</f>
        <v/>
      </c>
      <c r="AT219" t="str">
        <f>TRIM(MID(SUBSTITUTE($F219, ",", REPT(" ", 100)), (COLUMNS($AH$2:AT219)-1)*100+1, 100))</f>
        <v/>
      </c>
      <c r="AU219" t="str">
        <f>TRIM(MID(SUBSTITUTE($F219, ",", REPT(" ", 100)), (COLUMNS($AH$2:AU219)-1)*100+1, 100))</f>
        <v/>
      </c>
      <c r="AV219" t="str">
        <f>TRIM(MID(SUBSTITUTE($F219, ",", REPT(" ", 100)), (COLUMNS($AH$2:AV219)-1)*100+1, 100))</f>
        <v/>
      </c>
      <c r="AW219" t="str">
        <f>TRIM(MID(SUBSTITUTE($F219, ",", REPT(" ", 100)), (COLUMNS($AH$2:AW219)-1)*100+1, 100))</f>
        <v/>
      </c>
      <c r="AX219" t="str">
        <f>TRIM(MID(SUBSTITUTE($F219, ",", REPT(" ", 100)), (COLUMNS($AH$2:AX219)-1)*100+1, 100))</f>
        <v/>
      </c>
      <c r="AY219" t="str">
        <f>TRIM(MID(SUBSTITUTE($F219, ",", REPT(" ", 100)), (COLUMNS($AH$2:AY219)-1)*100+1, 100))</f>
        <v/>
      </c>
      <c r="AZ219" t="str">
        <f>TRIM(MID(SUBSTITUTE($F219, ",", REPT(" ", 100)), (COLUMNS($AH$2:AZ219)-1)*100+1, 100))</f>
        <v/>
      </c>
      <c r="BA219" t="str">
        <f>TRIM(MID(SUBSTITUTE($F219, ",", REPT(" ", 100)), (COLUMNS($AH$2:BA219)-1)*100+1, 100))</f>
        <v/>
      </c>
    </row>
    <row r="220" spans="1:53" x14ac:dyDescent="0.5">
      <c r="A220" s="1">
        <v>45876</v>
      </c>
      <c r="B220" s="2">
        <v>5.5</v>
      </c>
      <c r="C220" s="272"/>
      <c r="D220" s="295"/>
      <c r="E220" s="58">
        <v>1</v>
      </c>
      <c r="F220" s="38" t="s">
        <v>176</v>
      </c>
      <c r="AJ220" t="str">
        <f>TRIM(MID(SUBSTITUTE($F220, ",", REPT(" ", 100)), (COLUMNS($AH$2:AJ220)-1)*100+1, 100))</f>
        <v/>
      </c>
      <c r="AK220" s="1">
        <v>45876</v>
      </c>
      <c r="AL220" s="2">
        <v>5.5</v>
      </c>
      <c r="AM220" s="2">
        <v>6</v>
      </c>
      <c r="AO220" t="str">
        <f>TRIM(MID(SUBSTITUTE($F220, ",", REPT(" ", 100)), (COLUMNS($AH$2:AO220)-1)*100+1, 100))</f>
        <v/>
      </c>
      <c r="AP220" t="str">
        <f>TRIM(MID(SUBSTITUTE($F220, ",", REPT(" ", 100)), (COLUMNS($AH$2:AP220)-1)*100+1, 100))</f>
        <v/>
      </c>
      <c r="AQ220" t="str">
        <f>TRIM(MID(SUBSTITUTE($F220, ",", REPT(" ", 100)), (COLUMNS($AH$2:AQ220)-1)*100+1, 100))</f>
        <v/>
      </c>
      <c r="AR220" t="str">
        <f>TRIM(MID(SUBSTITUTE($F220, ",", REPT(" ", 100)), (COLUMNS($AH$2:AR220)-1)*100+1, 100))</f>
        <v/>
      </c>
      <c r="AS220" t="str">
        <f>TRIM(MID(SUBSTITUTE($F220, ",", REPT(" ", 100)), (COLUMNS($AH$2:AS220)-1)*100+1, 100))</f>
        <v/>
      </c>
      <c r="AT220" t="str">
        <f>TRIM(MID(SUBSTITUTE($F220, ",", REPT(" ", 100)), (COLUMNS($AH$2:AT220)-1)*100+1, 100))</f>
        <v/>
      </c>
      <c r="AU220" t="str">
        <f>TRIM(MID(SUBSTITUTE($F220, ",", REPT(" ", 100)), (COLUMNS($AH$2:AU220)-1)*100+1, 100))</f>
        <v/>
      </c>
      <c r="AV220" t="str">
        <f>TRIM(MID(SUBSTITUTE($F220, ",", REPT(" ", 100)), (COLUMNS($AH$2:AV220)-1)*100+1, 100))</f>
        <v/>
      </c>
      <c r="AW220" t="str">
        <f>TRIM(MID(SUBSTITUTE($F220, ",", REPT(" ", 100)), (COLUMNS($AH$2:AW220)-1)*100+1, 100))</f>
        <v/>
      </c>
      <c r="AX220" t="str">
        <f>TRIM(MID(SUBSTITUTE($F220, ",", REPT(" ", 100)), (COLUMNS($AH$2:AX220)-1)*100+1, 100))</f>
        <v/>
      </c>
      <c r="AY220" t="str">
        <f>TRIM(MID(SUBSTITUTE($F220, ",", REPT(" ", 100)), (COLUMNS($AH$2:AY220)-1)*100+1, 100))</f>
        <v/>
      </c>
      <c r="AZ220" t="str">
        <f>TRIM(MID(SUBSTITUTE($F220, ",", REPT(" ", 100)), (COLUMNS($AH$2:AZ220)-1)*100+1, 100))</f>
        <v/>
      </c>
      <c r="BA220" t="str">
        <f>TRIM(MID(SUBSTITUTE($F220, ",", REPT(" ", 100)), (COLUMNS($AH$2:BA220)-1)*100+1, 100))</f>
        <v/>
      </c>
    </row>
    <row r="221" spans="1:53" x14ac:dyDescent="0.5">
      <c r="A221" s="1">
        <v>45877</v>
      </c>
      <c r="B221" s="2">
        <v>6</v>
      </c>
      <c r="C221" s="272"/>
      <c r="D221" s="295"/>
      <c r="E221" s="58">
        <v>1</v>
      </c>
      <c r="F221" s="38" t="s">
        <v>176</v>
      </c>
      <c r="AJ221" t="str">
        <f>TRIM(MID(SUBSTITUTE($F221, ",", REPT(" ", 100)), (COLUMNS($AH$2:AJ221)-1)*100+1, 100))</f>
        <v/>
      </c>
      <c r="AK221" s="1">
        <v>45877</v>
      </c>
      <c r="AL221" s="2">
        <v>6</v>
      </c>
      <c r="AM221" s="2">
        <v>4</v>
      </c>
      <c r="AO221" t="str">
        <f>TRIM(MID(SUBSTITUTE($F221, ",", REPT(" ", 100)), (COLUMNS($AH$2:AO221)-1)*100+1, 100))</f>
        <v/>
      </c>
      <c r="AP221" t="str">
        <f>TRIM(MID(SUBSTITUTE($F221, ",", REPT(" ", 100)), (COLUMNS($AH$2:AP221)-1)*100+1, 100))</f>
        <v/>
      </c>
      <c r="AQ221" t="str">
        <f>TRIM(MID(SUBSTITUTE($F221, ",", REPT(" ", 100)), (COLUMNS($AH$2:AQ221)-1)*100+1, 100))</f>
        <v/>
      </c>
      <c r="AR221" t="str">
        <f>TRIM(MID(SUBSTITUTE($F221, ",", REPT(" ", 100)), (COLUMNS($AH$2:AR221)-1)*100+1, 100))</f>
        <v/>
      </c>
      <c r="AS221" t="str">
        <f>TRIM(MID(SUBSTITUTE($F221, ",", REPT(" ", 100)), (COLUMNS($AH$2:AS221)-1)*100+1, 100))</f>
        <v/>
      </c>
      <c r="AT221" t="str">
        <f>TRIM(MID(SUBSTITUTE($F221, ",", REPT(" ", 100)), (COLUMNS($AH$2:AT221)-1)*100+1, 100))</f>
        <v/>
      </c>
      <c r="AU221" t="str">
        <f>TRIM(MID(SUBSTITUTE($F221, ",", REPT(" ", 100)), (COLUMNS($AH$2:AU221)-1)*100+1, 100))</f>
        <v/>
      </c>
      <c r="AV221" t="str">
        <f>TRIM(MID(SUBSTITUTE($F221, ",", REPT(" ", 100)), (COLUMNS($AH$2:AV221)-1)*100+1, 100))</f>
        <v/>
      </c>
      <c r="AW221" t="str">
        <f>TRIM(MID(SUBSTITUTE($F221, ",", REPT(" ", 100)), (COLUMNS($AH$2:AW221)-1)*100+1, 100))</f>
        <v/>
      </c>
      <c r="AX221" t="str">
        <f>TRIM(MID(SUBSTITUTE($F221, ",", REPT(" ", 100)), (COLUMNS($AH$2:AX221)-1)*100+1, 100))</f>
        <v/>
      </c>
      <c r="AY221" t="str">
        <f>TRIM(MID(SUBSTITUTE($F221, ",", REPT(" ", 100)), (COLUMNS($AH$2:AY221)-1)*100+1, 100))</f>
        <v/>
      </c>
      <c r="AZ221" t="str">
        <f>TRIM(MID(SUBSTITUTE($F221, ",", REPT(" ", 100)), (COLUMNS($AH$2:AZ221)-1)*100+1, 100))</f>
        <v/>
      </c>
      <c r="BA221" t="str">
        <f>TRIM(MID(SUBSTITUTE($F221, ",", REPT(" ", 100)), (COLUMNS($AH$2:BA221)-1)*100+1, 100))</f>
        <v/>
      </c>
    </row>
    <row r="222" spans="1:53" x14ac:dyDescent="0.5">
      <c r="A222" s="1">
        <v>45878</v>
      </c>
      <c r="B222" s="2">
        <v>5.8</v>
      </c>
      <c r="C222" s="272"/>
      <c r="D222" s="295"/>
      <c r="E222" s="58">
        <v>1</v>
      </c>
      <c r="F222" s="38" t="s">
        <v>176</v>
      </c>
      <c r="AJ222" t="str">
        <f>TRIM(MID(SUBSTITUTE($F222, ",", REPT(" ", 100)), (COLUMNS($AH$2:AJ222)-1)*100+1, 100))</f>
        <v/>
      </c>
      <c r="AK222" s="1">
        <v>45878</v>
      </c>
      <c r="AL222" s="2">
        <v>5.8</v>
      </c>
      <c r="AM222" s="2">
        <v>6</v>
      </c>
      <c r="AO222" t="str">
        <f>TRIM(MID(SUBSTITUTE($F222, ",", REPT(" ", 100)), (COLUMNS($AH$2:AO222)-1)*100+1, 100))</f>
        <v/>
      </c>
      <c r="AP222" t="str">
        <f>TRIM(MID(SUBSTITUTE($F222, ",", REPT(" ", 100)), (COLUMNS($AH$2:AP222)-1)*100+1, 100))</f>
        <v/>
      </c>
      <c r="AQ222" t="str">
        <f>TRIM(MID(SUBSTITUTE($F222, ",", REPT(" ", 100)), (COLUMNS($AH$2:AQ222)-1)*100+1, 100))</f>
        <v/>
      </c>
      <c r="AR222" t="str">
        <f>TRIM(MID(SUBSTITUTE($F222, ",", REPT(" ", 100)), (COLUMNS($AH$2:AR222)-1)*100+1, 100))</f>
        <v/>
      </c>
      <c r="AS222" t="str">
        <f>TRIM(MID(SUBSTITUTE($F222, ",", REPT(" ", 100)), (COLUMNS($AH$2:AS222)-1)*100+1, 100))</f>
        <v/>
      </c>
      <c r="AT222" t="str">
        <f>TRIM(MID(SUBSTITUTE($F222, ",", REPT(" ", 100)), (COLUMNS($AH$2:AT222)-1)*100+1, 100))</f>
        <v/>
      </c>
      <c r="AU222" t="str">
        <f>TRIM(MID(SUBSTITUTE($F222, ",", REPT(" ", 100)), (COLUMNS($AH$2:AU222)-1)*100+1, 100))</f>
        <v/>
      </c>
      <c r="AV222" t="str">
        <f>TRIM(MID(SUBSTITUTE($F222, ",", REPT(" ", 100)), (COLUMNS($AH$2:AV222)-1)*100+1, 100))</f>
        <v/>
      </c>
      <c r="AW222" t="str">
        <f>TRIM(MID(SUBSTITUTE($F222, ",", REPT(" ", 100)), (COLUMNS($AH$2:AW222)-1)*100+1, 100))</f>
        <v/>
      </c>
      <c r="AX222" t="str">
        <f>TRIM(MID(SUBSTITUTE($F222, ",", REPT(" ", 100)), (COLUMNS($AH$2:AX222)-1)*100+1, 100))</f>
        <v/>
      </c>
      <c r="AY222" t="str">
        <f>TRIM(MID(SUBSTITUTE($F222, ",", REPT(" ", 100)), (COLUMNS($AH$2:AY222)-1)*100+1, 100))</f>
        <v/>
      </c>
      <c r="AZ222" t="str">
        <f>TRIM(MID(SUBSTITUTE($F222, ",", REPT(" ", 100)), (COLUMNS($AH$2:AZ222)-1)*100+1, 100))</f>
        <v/>
      </c>
      <c r="BA222" t="str">
        <f>TRIM(MID(SUBSTITUTE($F222, ",", REPT(" ", 100)), (COLUMNS($AH$2:BA222)-1)*100+1, 100))</f>
        <v/>
      </c>
    </row>
    <row r="223" spans="1:53" x14ac:dyDescent="0.5">
      <c r="A223" s="1">
        <v>45879</v>
      </c>
      <c r="B223" s="2">
        <v>4</v>
      </c>
      <c r="C223" s="272"/>
      <c r="D223" s="295"/>
      <c r="E223" s="58">
        <v>1</v>
      </c>
      <c r="F223" s="38" t="s">
        <v>176</v>
      </c>
      <c r="AJ223" t="str">
        <f>TRIM(MID(SUBSTITUTE($F223, ",", REPT(" ", 100)), (COLUMNS($AH$2:AJ223)-1)*100+1, 100))</f>
        <v/>
      </c>
      <c r="AK223" s="1">
        <v>45879</v>
      </c>
      <c r="AL223" s="2">
        <v>4</v>
      </c>
      <c r="AM223" s="2">
        <v>6</v>
      </c>
      <c r="AO223" t="str">
        <f>TRIM(MID(SUBSTITUTE($F223, ",", REPT(" ", 100)), (COLUMNS($AH$2:AO223)-1)*100+1, 100))</f>
        <v/>
      </c>
      <c r="AP223" t="str">
        <f>TRIM(MID(SUBSTITUTE($F223, ",", REPT(" ", 100)), (COLUMNS($AH$2:AP223)-1)*100+1, 100))</f>
        <v/>
      </c>
      <c r="AQ223" t="str">
        <f>TRIM(MID(SUBSTITUTE($F223, ",", REPT(" ", 100)), (COLUMNS($AH$2:AQ223)-1)*100+1, 100))</f>
        <v/>
      </c>
      <c r="AR223" t="str">
        <f>TRIM(MID(SUBSTITUTE($F223, ",", REPT(" ", 100)), (COLUMNS($AH$2:AR223)-1)*100+1, 100))</f>
        <v/>
      </c>
      <c r="AS223" t="str">
        <f>TRIM(MID(SUBSTITUTE($F223, ",", REPT(" ", 100)), (COLUMNS($AH$2:AS223)-1)*100+1, 100))</f>
        <v/>
      </c>
      <c r="AT223" t="str">
        <f>TRIM(MID(SUBSTITUTE($F223, ",", REPT(" ", 100)), (COLUMNS($AH$2:AT223)-1)*100+1, 100))</f>
        <v/>
      </c>
      <c r="AU223" t="str">
        <f>TRIM(MID(SUBSTITUTE($F223, ",", REPT(" ", 100)), (COLUMNS($AH$2:AU223)-1)*100+1, 100))</f>
        <v/>
      </c>
      <c r="AV223" t="str">
        <f>TRIM(MID(SUBSTITUTE($F223, ",", REPT(" ", 100)), (COLUMNS($AH$2:AV223)-1)*100+1, 100))</f>
        <v/>
      </c>
      <c r="AW223" t="str">
        <f>TRIM(MID(SUBSTITUTE($F223, ",", REPT(" ", 100)), (COLUMNS($AH$2:AW223)-1)*100+1, 100))</f>
        <v/>
      </c>
      <c r="AX223" t="str">
        <f>TRIM(MID(SUBSTITUTE($F223, ",", REPT(" ", 100)), (COLUMNS($AH$2:AX223)-1)*100+1, 100))</f>
        <v/>
      </c>
      <c r="AY223" t="str">
        <f>TRIM(MID(SUBSTITUTE($F223, ",", REPT(" ", 100)), (COLUMNS($AH$2:AY223)-1)*100+1, 100))</f>
        <v/>
      </c>
      <c r="AZ223" t="str">
        <f>TRIM(MID(SUBSTITUTE($F223, ",", REPT(" ", 100)), (COLUMNS($AH$2:AZ223)-1)*100+1, 100))</f>
        <v/>
      </c>
      <c r="BA223" t="str">
        <f>TRIM(MID(SUBSTITUTE($F223, ",", REPT(" ", 100)), (COLUMNS($AH$2:BA223)-1)*100+1, 100))</f>
        <v/>
      </c>
    </row>
    <row r="224" spans="1:53" x14ac:dyDescent="0.5">
      <c r="A224" s="1">
        <v>45880</v>
      </c>
      <c r="B224" s="2">
        <v>5</v>
      </c>
      <c r="C224" s="272"/>
      <c r="D224" s="295"/>
      <c r="E224" s="58">
        <v>1</v>
      </c>
      <c r="F224" s="38" t="s">
        <v>176</v>
      </c>
      <c r="AJ224" t="str">
        <f>TRIM(MID(SUBSTITUTE($F224, ",", REPT(" ", 100)), (COLUMNS($AH$2:AJ224)-1)*100+1, 100))</f>
        <v/>
      </c>
      <c r="AK224" s="1">
        <v>45880</v>
      </c>
      <c r="AL224" s="2">
        <v>5</v>
      </c>
      <c r="AM224" s="2">
        <v>6</v>
      </c>
      <c r="AO224" t="str">
        <f>TRIM(MID(SUBSTITUTE($F224, ",", REPT(" ", 100)), (COLUMNS($AH$2:AO224)-1)*100+1, 100))</f>
        <v/>
      </c>
      <c r="AP224" t="str">
        <f>TRIM(MID(SUBSTITUTE($F224, ",", REPT(" ", 100)), (COLUMNS($AH$2:AP224)-1)*100+1, 100))</f>
        <v/>
      </c>
      <c r="AQ224" t="str">
        <f>TRIM(MID(SUBSTITUTE($F224, ",", REPT(" ", 100)), (COLUMNS($AH$2:AQ224)-1)*100+1, 100))</f>
        <v/>
      </c>
      <c r="AR224" t="str">
        <f>TRIM(MID(SUBSTITUTE($F224, ",", REPT(" ", 100)), (COLUMNS($AH$2:AR224)-1)*100+1, 100))</f>
        <v/>
      </c>
      <c r="AS224" t="str">
        <f>TRIM(MID(SUBSTITUTE($F224, ",", REPT(" ", 100)), (COLUMNS($AH$2:AS224)-1)*100+1, 100))</f>
        <v/>
      </c>
      <c r="AT224" t="str">
        <f>TRIM(MID(SUBSTITUTE($F224, ",", REPT(" ", 100)), (COLUMNS($AH$2:AT224)-1)*100+1, 100))</f>
        <v/>
      </c>
      <c r="AU224" t="str">
        <f>TRIM(MID(SUBSTITUTE($F224, ",", REPT(" ", 100)), (COLUMNS($AH$2:AU224)-1)*100+1, 100))</f>
        <v/>
      </c>
      <c r="AV224" t="str">
        <f>TRIM(MID(SUBSTITUTE($F224, ",", REPT(" ", 100)), (COLUMNS($AH$2:AV224)-1)*100+1, 100))</f>
        <v/>
      </c>
      <c r="AW224" t="str">
        <f>TRIM(MID(SUBSTITUTE($F224, ",", REPT(" ", 100)), (COLUMNS($AH$2:AW224)-1)*100+1, 100))</f>
        <v/>
      </c>
      <c r="AX224" t="str">
        <f>TRIM(MID(SUBSTITUTE($F224, ",", REPT(" ", 100)), (COLUMNS($AH$2:AX224)-1)*100+1, 100))</f>
        <v/>
      </c>
      <c r="AY224" t="str">
        <f>TRIM(MID(SUBSTITUTE($F224, ",", REPT(" ", 100)), (COLUMNS($AH$2:AY224)-1)*100+1, 100))</f>
        <v/>
      </c>
      <c r="AZ224" t="str">
        <f>TRIM(MID(SUBSTITUTE($F224, ",", REPT(" ", 100)), (COLUMNS($AH$2:AZ224)-1)*100+1, 100))</f>
        <v/>
      </c>
      <c r="BA224" t="str">
        <f>TRIM(MID(SUBSTITUTE($F224, ",", REPT(" ", 100)), (COLUMNS($AH$2:BA224)-1)*100+1, 100))</f>
        <v/>
      </c>
    </row>
    <row r="225" spans="1:53" x14ac:dyDescent="0.5">
      <c r="A225" s="1">
        <v>45881</v>
      </c>
      <c r="B225" s="2">
        <v>5.5</v>
      </c>
      <c r="C225" s="272"/>
      <c r="D225" s="295"/>
      <c r="E225" s="58">
        <v>1</v>
      </c>
      <c r="F225" s="38" t="s">
        <v>176</v>
      </c>
      <c r="AJ225" t="str">
        <f>TRIM(MID(SUBSTITUTE($F225, ",", REPT(" ", 100)), (COLUMNS($AH$2:AJ225)-1)*100+1, 100))</f>
        <v/>
      </c>
      <c r="AK225" s="1">
        <v>45881</v>
      </c>
      <c r="AL225" s="2">
        <v>5.5</v>
      </c>
      <c r="AM225" s="2">
        <v>6</v>
      </c>
      <c r="AO225" t="str">
        <f>TRIM(MID(SUBSTITUTE($F225, ",", REPT(" ", 100)), (COLUMNS($AH$2:AO225)-1)*100+1, 100))</f>
        <v/>
      </c>
      <c r="AP225" t="str">
        <f>TRIM(MID(SUBSTITUTE($F225, ",", REPT(" ", 100)), (COLUMNS($AH$2:AP225)-1)*100+1, 100))</f>
        <v/>
      </c>
      <c r="AQ225" t="str">
        <f>TRIM(MID(SUBSTITUTE($F225, ",", REPT(" ", 100)), (COLUMNS($AH$2:AQ225)-1)*100+1, 100))</f>
        <v/>
      </c>
      <c r="AR225" t="str">
        <f>TRIM(MID(SUBSTITUTE($F225, ",", REPT(" ", 100)), (COLUMNS($AH$2:AR225)-1)*100+1, 100))</f>
        <v/>
      </c>
      <c r="AS225" t="str">
        <f>TRIM(MID(SUBSTITUTE($F225, ",", REPT(" ", 100)), (COLUMNS($AH$2:AS225)-1)*100+1, 100))</f>
        <v/>
      </c>
      <c r="AT225" t="str">
        <f>TRIM(MID(SUBSTITUTE($F225, ",", REPT(" ", 100)), (COLUMNS($AH$2:AT225)-1)*100+1, 100))</f>
        <v/>
      </c>
      <c r="AU225" t="str">
        <f>TRIM(MID(SUBSTITUTE($F225, ",", REPT(" ", 100)), (COLUMNS($AH$2:AU225)-1)*100+1, 100))</f>
        <v/>
      </c>
      <c r="AV225" t="str">
        <f>TRIM(MID(SUBSTITUTE($F225, ",", REPT(" ", 100)), (COLUMNS($AH$2:AV225)-1)*100+1, 100))</f>
        <v/>
      </c>
      <c r="AW225" t="str">
        <f>TRIM(MID(SUBSTITUTE($F225, ",", REPT(" ", 100)), (COLUMNS($AH$2:AW225)-1)*100+1, 100))</f>
        <v/>
      </c>
      <c r="AX225" t="str">
        <f>TRIM(MID(SUBSTITUTE($F225, ",", REPT(" ", 100)), (COLUMNS($AH$2:AX225)-1)*100+1, 100))</f>
        <v/>
      </c>
      <c r="AY225" t="str">
        <f>TRIM(MID(SUBSTITUTE($F225, ",", REPT(" ", 100)), (COLUMNS($AH$2:AY225)-1)*100+1, 100))</f>
        <v/>
      </c>
      <c r="AZ225" t="str">
        <f>TRIM(MID(SUBSTITUTE($F225, ",", REPT(" ", 100)), (COLUMNS($AH$2:AZ225)-1)*100+1, 100))</f>
        <v/>
      </c>
      <c r="BA225" t="str">
        <f>TRIM(MID(SUBSTITUTE($F225, ",", REPT(" ", 100)), (COLUMNS($AH$2:BA225)-1)*100+1, 100))</f>
        <v/>
      </c>
    </row>
    <row r="226" spans="1:53" x14ac:dyDescent="0.5">
      <c r="A226" s="1">
        <v>45882</v>
      </c>
      <c r="B226" s="2">
        <v>7.5</v>
      </c>
      <c r="C226" s="272"/>
      <c r="D226" s="295"/>
      <c r="E226" s="58">
        <v>0.9</v>
      </c>
      <c r="F226" s="38" t="s">
        <v>176</v>
      </c>
      <c r="AJ226" t="str">
        <f>TRIM(MID(SUBSTITUTE($F226, ",", REPT(" ", 100)), (COLUMNS($AH$2:AJ226)-1)*100+1, 100))</f>
        <v/>
      </c>
      <c r="AK226" s="1">
        <v>45882</v>
      </c>
      <c r="AL226" s="2">
        <v>7.5</v>
      </c>
      <c r="AM226" s="2">
        <v>4</v>
      </c>
      <c r="AO226" t="str">
        <f>TRIM(MID(SUBSTITUTE($F226, ",", REPT(" ", 100)), (COLUMNS($AH$2:AO226)-1)*100+1, 100))</f>
        <v/>
      </c>
      <c r="AP226" t="str">
        <f>TRIM(MID(SUBSTITUTE($F226, ",", REPT(" ", 100)), (COLUMNS($AH$2:AP226)-1)*100+1, 100))</f>
        <v/>
      </c>
      <c r="AQ226" t="str">
        <f>TRIM(MID(SUBSTITUTE($F226, ",", REPT(" ", 100)), (COLUMNS($AH$2:AQ226)-1)*100+1, 100))</f>
        <v/>
      </c>
      <c r="AR226" t="str">
        <f>TRIM(MID(SUBSTITUTE($F226, ",", REPT(" ", 100)), (COLUMNS($AH$2:AR226)-1)*100+1, 100))</f>
        <v/>
      </c>
      <c r="AS226" t="str">
        <f>TRIM(MID(SUBSTITUTE($F226, ",", REPT(" ", 100)), (COLUMNS($AH$2:AS226)-1)*100+1, 100))</f>
        <v/>
      </c>
      <c r="AT226" t="str">
        <f>TRIM(MID(SUBSTITUTE($F226, ",", REPT(" ", 100)), (COLUMNS($AH$2:AT226)-1)*100+1, 100))</f>
        <v/>
      </c>
      <c r="AU226" t="str">
        <f>TRIM(MID(SUBSTITUTE($F226, ",", REPT(" ", 100)), (COLUMNS($AH$2:AU226)-1)*100+1, 100))</f>
        <v/>
      </c>
      <c r="AV226" t="str">
        <f>TRIM(MID(SUBSTITUTE($F226, ",", REPT(" ", 100)), (COLUMNS($AH$2:AV226)-1)*100+1, 100))</f>
        <v/>
      </c>
      <c r="AW226" t="str">
        <f>TRIM(MID(SUBSTITUTE($F226, ",", REPT(" ", 100)), (COLUMNS($AH$2:AW226)-1)*100+1, 100))</f>
        <v/>
      </c>
      <c r="AX226" t="str">
        <f>TRIM(MID(SUBSTITUTE($F226, ",", REPT(" ", 100)), (COLUMNS($AH$2:AX226)-1)*100+1, 100))</f>
        <v/>
      </c>
      <c r="AY226" t="str">
        <f>TRIM(MID(SUBSTITUTE($F226, ",", REPT(" ", 100)), (COLUMNS($AH$2:AY226)-1)*100+1, 100))</f>
        <v/>
      </c>
      <c r="AZ226" t="str">
        <f>TRIM(MID(SUBSTITUTE($F226, ",", REPT(" ", 100)), (COLUMNS($AH$2:AZ226)-1)*100+1, 100))</f>
        <v/>
      </c>
      <c r="BA226" t="str">
        <f>TRIM(MID(SUBSTITUTE($F226, ",", REPT(" ", 100)), (COLUMNS($AH$2:BA226)-1)*100+1, 100))</f>
        <v/>
      </c>
    </row>
    <row r="227" spans="1:53" x14ac:dyDescent="0.5">
      <c r="A227" s="1">
        <v>45883</v>
      </c>
      <c r="B227" s="2">
        <v>5</v>
      </c>
      <c r="C227" s="272"/>
      <c r="D227" s="295"/>
      <c r="E227" s="58">
        <v>0.9</v>
      </c>
      <c r="F227" s="38" t="s">
        <v>176</v>
      </c>
      <c r="AJ227" t="str">
        <f>TRIM(MID(SUBSTITUTE($F227, ",", REPT(" ", 100)), (COLUMNS($AH$2:AJ227)-1)*100+1, 100))</f>
        <v/>
      </c>
      <c r="AK227" s="1">
        <v>45883</v>
      </c>
      <c r="AL227" s="2">
        <v>5</v>
      </c>
      <c r="AM227" s="2">
        <v>2</v>
      </c>
      <c r="AO227" t="str">
        <f>TRIM(MID(SUBSTITUTE($F227, ",", REPT(" ", 100)), (COLUMNS($AH$2:AO227)-1)*100+1, 100))</f>
        <v/>
      </c>
      <c r="AP227" t="str">
        <f>TRIM(MID(SUBSTITUTE($F227, ",", REPT(" ", 100)), (COLUMNS($AH$2:AP227)-1)*100+1, 100))</f>
        <v/>
      </c>
      <c r="AQ227" t="str">
        <f>TRIM(MID(SUBSTITUTE($F227, ",", REPT(" ", 100)), (COLUMNS($AH$2:AQ227)-1)*100+1, 100))</f>
        <v/>
      </c>
      <c r="AR227" t="str">
        <f>TRIM(MID(SUBSTITUTE($F227, ",", REPT(" ", 100)), (COLUMNS($AH$2:AR227)-1)*100+1, 100))</f>
        <v/>
      </c>
      <c r="AS227" t="str">
        <f>TRIM(MID(SUBSTITUTE($F227, ",", REPT(" ", 100)), (COLUMNS($AH$2:AS227)-1)*100+1, 100))</f>
        <v/>
      </c>
      <c r="AT227" t="str">
        <f>TRIM(MID(SUBSTITUTE($F227, ",", REPT(" ", 100)), (COLUMNS($AH$2:AT227)-1)*100+1, 100))</f>
        <v/>
      </c>
      <c r="AU227" t="str">
        <f>TRIM(MID(SUBSTITUTE($F227, ",", REPT(" ", 100)), (COLUMNS($AH$2:AU227)-1)*100+1, 100))</f>
        <v/>
      </c>
      <c r="AV227" t="str">
        <f>TRIM(MID(SUBSTITUTE($F227, ",", REPT(" ", 100)), (COLUMNS($AH$2:AV227)-1)*100+1, 100))</f>
        <v/>
      </c>
      <c r="AW227" t="str">
        <f>TRIM(MID(SUBSTITUTE($F227, ",", REPT(" ", 100)), (COLUMNS($AH$2:AW227)-1)*100+1, 100))</f>
        <v/>
      </c>
      <c r="AX227" t="str">
        <f>TRIM(MID(SUBSTITUTE($F227, ",", REPT(" ", 100)), (COLUMNS($AH$2:AX227)-1)*100+1, 100))</f>
        <v/>
      </c>
      <c r="AY227" t="str">
        <f>TRIM(MID(SUBSTITUTE($F227, ",", REPT(" ", 100)), (COLUMNS($AH$2:AY227)-1)*100+1, 100))</f>
        <v/>
      </c>
      <c r="AZ227" t="str">
        <f>TRIM(MID(SUBSTITUTE($F227, ",", REPT(" ", 100)), (COLUMNS($AH$2:AZ227)-1)*100+1, 100))</f>
        <v/>
      </c>
      <c r="BA227" t="str">
        <f>TRIM(MID(SUBSTITUTE($F227, ",", REPT(" ", 100)), (COLUMNS($AH$2:BA227)-1)*100+1, 100))</f>
        <v/>
      </c>
    </row>
    <row r="228" spans="1:53" x14ac:dyDescent="0.5">
      <c r="A228" s="1">
        <v>45884</v>
      </c>
      <c r="B228" s="2">
        <v>5</v>
      </c>
      <c r="C228" s="272"/>
      <c r="D228" s="295"/>
      <c r="E228" s="58">
        <v>1</v>
      </c>
      <c r="F228" s="38" t="s">
        <v>176</v>
      </c>
      <c r="AJ228" t="str">
        <f>TRIM(MID(SUBSTITUTE($F228, ",", REPT(" ", 100)), (COLUMNS($AH$2:AJ228)-1)*100+1, 100))</f>
        <v/>
      </c>
      <c r="AK228" s="1">
        <v>45884</v>
      </c>
      <c r="AL228" s="2">
        <v>5</v>
      </c>
      <c r="AM228" s="2">
        <v>2</v>
      </c>
      <c r="AO228" t="str">
        <f>TRIM(MID(SUBSTITUTE($F228, ",", REPT(" ", 100)), (COLUMNS($AH$2:AO228)-1)*100+1, 100))</f>
        <v/>
      </c>
      <c r="AP228" t="str">
        <f>TRIM(MID(SUBSTITUTE($F228, ",", REPT(" ", 100)), (COLUMNS($AH$2:AP228)-1)*100+1, 100))</f>
        <v/>
      </c>
      <c r="AQ228" t="str">
        <f>TRIM(MID(SUBSTITUTE($F228, ",", REPT(" ", 100)), (COLUMNS($AH$2:AQ228)-1)*100+1, 100))</f>
        <v/>
      </c>
      <c r="AR228" t="str">
        <f>TRIM(MID(SUBSTITUTE($F228, ",", REPT(" ", 100)), (COLUMNS($AH$2:AR228)-1)*100+1, 100))</f>
        <v/>
      </c>
      <c r="AS228" t="str">
        <f>TRIM(MID(SUBSTITUTE($F228, ",", REPT(" ", 100)), (COLUMNS($AH$2:AS228)-1)*100+1, 100))</f>
        <v/>
      </c>
      <c r="AT228" t="str">
        <f>TRIM(MID(SUBSTITUTE($F228, ",", REPT(" ", 100)), (COLUMNS($AH$2:AT228)-1)*100+1, 100))</f>
        <v/>
      </c>
      <c r="AU228" t="str">
        <f>TRIM(MID(SUBSTITUTE($F228, ",", REPT(" ", 100)), (COLUMNS($AH$2:AU228)-1)*100+1, 100))</f>
        <v/>
      </c>
      <c r="AV228" t="str">
        <f>TRIM(MID(SUBSTITUTE($F228, ",", REPT(" ", 100)), (COLUMNS($AH$2:AV228)-1)*100+1, 100))</f>
        <v/>
      </c>
      <c r="AW228" t="str">
        <f>TRIM(MID(SUBSTITUTE($F228, ",", REPT(" ", 100)), (COLUMNS($AH$2:AW228)-1)*100+1, 100))</f>
        <v/>
      </c>
      <c r="AX228" t="str">
        <f>TRIM(MID(SUBSTITUTE($F228, ",", REPT(" ", 100)), (COLUMNS($AH$2:AX228)-1)*100+1, 100))</f>
        <v/>
      </c>
      <c r="AY228" t="str">
        <f>TRIM(MID(SUBSTITUTE($F228, ",", REPT(" ", 100)), (COLUMNS($AH$2:AY228)-1)*100+1, 100))</f>
        <v/>
      </c>
      <c r="AZ228" t="str">
        <f>TRIM(MID(SUBSTITUTE($F228, ",", REPT(" ", 100)), (COLUMNS($AH$2:AZ228)-1)*100+1, 100))</f>
        <v/>
      </c>
      <c r="BA228" t="str">
        <f>TRIM(MID(SUBSTITUTE($F228, ",", REPT(" ", 100)), (COLUMNS($AH$2:BA228)-1)*100+1, 100))</f>
        <v/>
      </c>
    </row>
    <row r="229" spans="1:53" x14ac:dyDescent="0.5">
      <c r="A229" s="1">
        <v>45885</v>
      </c>
      <c r="B229" s="2">
        <v>6</v>
      </c>
      <c r="C229" s="272"/>
      <c r="D229" s="295"/>
      <c r="E229" s="58">
        <v>1</v>
      </c>
      <c r="F229" s="38" t="s">
        <v>176</v>
      </c>
      <c r="AJ229" t="str">
        <f>TRIM(MID(SUBSTITUTE($F229, ",", REPT(" ", 100)), (COLUMNS($AH$2:AJ229)-1)*100+1, 100))</f>
        <v/>
      </c>
      <c r="AK229" s="1">
        <v>45885</v>
      </c>
      <c r="AL229" s="2">
        <v>6</v>
      </c>
      <c r="AM229" s="2">
        <v>4</v>
      </c>
      <c r="AO229" t="str">
        <f>TRIM(MID(SUBSTITUTE($F229, ",", REPT(" ", 100)), (COLUMNS($AH$2:AO229)-1)*100+1, 100))</f>
        <v/>
      </c>
      <c r="AP229" t="str">
        <f>TRIM(MID(SUBSTITUTE($F229, ",", REPT(" ", 100)), (COLUMNS($AH$2:AP229)-1)*100+1, 100))</f>
        <v/>
      </c>
      <c r="AQ229" t="str">
        <f>TRIM(MID(SUBSTITUTE($F229, ",", REPT(" ", 100)), (COLUMNS($AH$2:AQ229)-1)*100+1, 100))</f>
        <v/>
      </c>
      <c r="AR229" t="str">
        <f>TRIM(MID(SUBSTITUTE($F229, ",", REPT(" ", 100)), (COLUMNS($AH$2:AR229)-1)*100+1, 100))</f>
        <v/>
      </c>
      <c r="AS229" t="str">
        <f>TRIM(MID(SUBSTITUTE($F229, ",", REPT(" ", 100)), (COLUMNS($AH$2:AS229)-1)*100+1, 100))</f>
        <v/>
      </c>
      <c r="AT229" t="str">
        <f>TRIM(MID(SUBSTITUTE($F229, ",", REPT(" ", 100)), (COLUMNS($AH$2:AT229)-1)*100+1, 100))</f>
        <v/>
      </c>
      <c r="AU229" t="str">
        <f>TRIM(MID(SUBSTITUTE($F229, ",", REPT(" ", 100)), (COLUMNS($AH$2:AU229)-1)*100+1, 100))</f>
        <v/>
      </c>
      <c r="AV229" t="str">
        <f>TRIM(MID(SUBSTITUTE($F229, ",", REPT(" ", 100)), (COLUMNS($AH$2:AV229)-1)*100+1, 100))</f>
        <v/>
      </c>
      <c r="AW229" t="str">
        <f>TRIM(MID(SUBSTITUTE($F229, ",", REPT(" ", 100)), (COLUMNS($AH$2:AW229)-1)*100+1, 100))</f>
        <v/>
      </c>
      <c r="AX229" t="str">
        <f>TRIM(MID(SUBSTITUTE($F229, ",", REPT(" ", 100)), (COLUMNS($AH$2:AX229)-1)*100+1, 100))</f>
        <v/>
      </c>
      <c r="AY229" t="str">
        <f>TRIM(MID(SUBSTITUTE($F229, ",", REPT(" ", 100)), (COLUMNS($AH$2:AY229)-1)*100+1, 100))</f>
        <v/>
      </c>
      <c r="AZ229" t="str">
        <f>TRIM(MID(SUBSTITUTE($F229, ",", REPT(" ", 100)), (COLUMNS($AH$2:AZ229)-1)*100+1, 100))</f>
        <v/>
      </c>
      <c r="BA229" t="str">
        <f>TRIM(MID(SUBSTITUTE($F229, ",", REPT(" ", 100)), (COLUMNS($AH$2:BA229)-1)*100+1, 100))</f>
        <v/>
      </c>
    </row>
    <row r="230" spans="1:53" x14ac:dyDescent="0.5">
      <c r="A230" s="1">
        <v>45886</v>
      </c>
      <c r="B230" s="2">
        <v>7</v>
      </c>
      <c r="C230" s="272"/>
      <c r="D230" s="295"/>
      <c r="E230" s="58">
        <v>0</v>
      </c>
      <c r="F230" s="38" t="s">
        <v>176</v>
      </c>
      <c r="AJ230" t="str">
        <f>TRIM(MID(SUBSTITUTE($F230, ",", REPT(" ", 100)), (COLUMNS($AH$2:AJ230)-1)*100+1, 100))</f>
        <v/>
      </c>
      <c r="AK230" s="1">
        <v>45886</v>
      </c>
      <c r="AL230" s="2">
        <v>7</v>
      </c>
      <c r="AM230" s="2">
        <v>6</v>
      </c>
      <c r="AO230" t="str">
        <f>TRIM(MID(SUBSTITUTE($F230, ",", REPT(" ", 100)), (COLUMNS($AH$2:AO230)-1)*100+1, 100))</f>
        <v/>
      </c>
      <c r="AP230" t="str">
        <f>TRIM(MID(SUBSTITUTE($F230, ",", REPT(" ", 100)), (COLUMNS($AH$2:AP230)-1)*100+1, 100))</f>
        <v/>
      </c>
      <c r="AQ230" t="str">
        <f>TRIM(MID(SUBSTITUTE($F230, ",", REPT(" ", 100)), (COLUMNS($AH$2:AQ230)-1)*100+1, 100))</f>
        <v/>
      </c>
      <c r="AR230" t="str">
        <f>TRIM(MID(SUBSTITUTE($F230, ",", REPT(" ", 100)), (COLUMNS($AH$2:AR230)-1)*100+1, 100))</f>
        <v/>
      </c>
      <c r="AS230" t="str">
        <f>TRIM(MID(SUBSTITUTE($F230, ",", REPT(" ", 100)), (COLUMNS($AH$2:AS230)-1)*100+1, 100))</f>
        <v/>
      </c>
      <c r="AT230" t="str">
        <f>TRIM(MID(SUBSTITUTE($F230, ",", REPT(" ", 100)), (COLUMNS($AH$2:AT230)-1)*100+1, 100))</f>
        <v/>
      </c>
      <c r="AU230" t="str">
        <f>TRIM(MID(SUBSTITUTE($F230, ",", REPT(" ", 100)), (COLUMNS($AH$2:AU230)-1)*100+1, 100))</f>
        <v/>
      </c>
      <c r="AV230" t="str">
        <f>TRIM(MID(SUBSTITUTE($F230, ",", REPT(" ", 100)), (COLUMNS($AH$2:AV230)-1)*100+1, 100))</f>
        <v/>
      </c>
      <c r="AW230" t="str">
        <f>TRIM(MID(SUBSTITUTE($F230, ",", REPT(" ", 100)), (COLUMNS($AH$2:AW230)-1)*100+1, 100))</f>
        <v/>
      </c>
      <c r="AX230" t="str">
        <f>TRIM(MID(SUBSTITUTE($F230, ",", REPT(" ", 100)), (COLUMNS($AH$2:AX230)-1)*100+1, 100))</f>
        <v/>
      </c>
      <c r="AY230" t="str">
        <f>TRIM(MID(SUBSTITUTE($F230, ",", REPT(" ", 100)), (COLUMNS($AH$2:AY230)-1)*100+1, 100))</f>
        <v/>
      </c>
      <c r="AZ230" t="str">
        <f>TRIM(MID(SUBSTITUTE($F230, ",", REPT(" ", 100)), (COLUMNS($AH$2:AZ230)-1)*100+1, 100))</f>
        <v/>
      </c>
      <c r="BA230" t="str">
        <f>TRIM(MID(SUBSTITUTE($F230, ",", REPT(" ", 100)), (COLUMNS($AH$2:BA230)-1)*100+1, 100))</f>
        <v/>
      </c>
    </row>
    <row r="231" spans="1:53" x14ac:dyDescent="0.5">
      <c r="A231" s="1">
        <v>45887</v>
      </c>
      <c r="B231" s="2">
        <v>4</v>
      </c>
      <c r="C231" s="272"/>
      <c r="D231" s="295"/>
      <c r="E231" s="58">
        <v>0</v>
      </c>
      <c r="F231" s="38" t="s">
        <v>176</v>
      </c>
      <c r="AJ231" t="str">
        <f>TRIM(MID(SUBSTITUTE($F231, ",", REPT(" ", 100)), (COLUMNS($AH$2:AJ231)-1)*100+1, 100))</f>
        <v/>
      </c>
      <c r="AK231" s="1">
        <v>45887</v>
      </c>
      <c r="AL231" s="2">
        <v>4</v>
      </c>
      <c r="AM231" s="2">
        <v>8</v>
      </c>
      <c r="AO231" t="str">
        <f>TRIM(MID(SUBSTITUTE($F231, ",", REPT(" ", 100)), (COLUMNS($AH$2:AO231)-1)*100+1, 100))</f>
        <v/>
      </c>
      <c r="AP231" t="str">
        <f>TRIM(MID(SUBSTITUTE($F231, ",", REPT(" ", 100)), (COLUMNS($AH$2:AP231)-1)*100+1, 100))</f>
        <v/>
      </c>
      <c r="AQ231" t="str">
        <f>TRIM(MID(SUBSTITUTE($F231, ",", REPT(" ", 100)), (COLUMNS($AH$2:AQ231)-1)*100+1, 100))</f>
        <v/>
      </c>
      <c r="AR231" t="str">
        <f>TRIM(MID(SUBSTITUTE($F231, ",", REPT(" ", 100)), (COLUMNS($AH$2:AR231)-1)*100+1, 100))</f>
        <v/>
      </c>
      <c r="AS231" t="str">
        <f>TRIM(MID(SUBSTITUTE($F231, ",", REPT(" ", 100)), (COLUMNS($AH$2:AS231)-1)*100+1, 100))</f>
        <v/>
      </c>
      <c r="AT231" t="str">
        <f>TRIM(MID(SUBSTITUTE($F231, ",", REPT(" ", 100)), (COLUMNS($AH$2:AT231)-1)*100+1, 100))</f>
        <v/>
      </c>
      <c r="AU231" t="str">
        <f>TRIM(MID(SUBSTITUTE($F231, ",", REPT(" ", 100)), (COLUMNS($AH$2:AU231)-1)*100+1, 100))</f>
        <v/>
      </c>
      <c r="AV231" t="str">
        <f>TRIM(MID(SUBSTITUTE($F231, ",", REPT(" ", 100)), (COLUMNS($AH$2:AV231)-1)*100+1, 100))</f>
        <v/>
      </c>
      <c r="AW231" t="str">
        <f>TRIM(MID(SUBSTITUTE($F231, ",", REPT(" ", 100)), (COLUMNS($AH$2:AW231)-1)*100+1, 100))</f>
        <v/>
      </c>
      <c r="AX231" t="str">
        <f>TRIM(MID(SUBSTITUTE($F231, ",", REPT(" ", 100)), (COLUMNS($AH$2:AX231)-1)*100+1, 100))</f>
        <v/>
      </c>
      <c r="AY231" t="str">
        <f>TRIM(MID(SUBSTITUTE($F231, ",", REPT(" ", 100)), (COLUMNS($AH$2:AY231)-1)*100+1, 100))</f>
        <v/>
      </c>
      <c r="AZ231" t="str">
        <f>TRIM(MID(SUBSTITUTE($F231, ",", REPT(" ", 100)), (COLUMNS($AH$2:AZ231)-1)*100+1, 100))</f>
        <v/>
      </c>
      <c r="BA231" t="str">
        <f>TRIM(MID(SUBSTITUTE($F231, ",", REPT(" ", 100)), (COLUMNS($AH$2:BA231)-1)*100+1, 100))</f>
        <v/>
      </c>
    </row>
    <row r="232" spans="1:53" x14ac:dyDescent="0.5">
      <c r="A232" s="1">
        <v>45888</v>
      </c>
      <c r="B232" s="2">
        <v>2</v>
      </c>
      <c r="C232" s="272"/>
      <c r="D232" s="295"/>
      <c r="E232" s="58">
        <v>1</v>
      </c>
      <c r="F232" s="38" t="s">
        <v>176</v>
      </c>
      <c r="AJ232" t="str">
        <f>TRIM(MID(SUBSTITUTE($F232, ",", REPT(" ", 100)), (COLUMNS($AH$2:AJ232)-1)*100+1, 100))</f>
        <v/>
      </c>
      <c r="AK232" s="1">
        <v>45888</v>
      </c>
      <c r="AL232" s="2">
        <v>2</v>
      </c>
      <c r="AM232" s="2">
        <v>4</v>
      </c>
      <c r="AO232" t="str">
        <f>TRIM(MID(SUBSTITUTE($F232, ",", REPT(" ", 100)), (COLUMNS($AH$2:AO232)-1)*100+1, 100))</f>
        <v/>
      </c>
      <c r="AP232" t="str">
        <f>TRIM(MID(SUBSTITUTE($F232, ",", REPT(" ", 100)), (COLUMNS($AH$2:AP232)-1)*100+1, 100))</f>
        <v/>
      </c>
      <c r="AQ232" t="str">
        <f>TRIM(MID(SUBSTITUTE($F232, ",", REPT(" ", 100)), (COLUMNS($AH$2:AQ232)-1)*100+1, 100))</f>
        <v/>
      </c>
      <c r="AR232" t="str">
        <f>TRIM(MID(SUBSTITUTE($F232, ",", REPT(" ", 100)), (COLUMNS($AH$2:AR232)-1)*100+1, 100))</f>
        <v/>
      </c>
      <c r="AS232" t="str">
        <f>TRIM(MID(SUBSTITUTE($F232, ",", REPT(" ", 100)), (COLUMNS($AH$2:AS232)-1)*100+1, 100))</f>
        <v/>
      </c>
      <c r="AT232" t="str">
        <f>TRIM(MID(SUBSTITUTE($F232, ",", REPT(" ", 100)), (COLUMNS($AH$2:AT232)-1)*100+1, 100))</f>
        <v/>
      </c>
      <c r="AU232" t="str">
        <f>TRIM(MID(SUBSTITUTE($F232, ",", REPT(" ", 100)), (COLUMNS($AH$2:AU232)-1)*100+1, 100))</f>
        <v/>
      </c>
      <c r="AV232" t="str">
        <f>TRIM(MID(SUBSTITUTE($F232, ",", REPT(" ", 100)), (COLUMNS($AH$2:AV232)-1)*100+1, 100))</f>
        <v/>
      </c>
      <c r="AW232" t="str">
        <f>TRIM(MID(SUBSTITUTE($F232, ",", REPT(" ", 100)), (COLUMNS($AH$2:AW232)-1)*100+1, 100))</f>
        <v/>
      </c>
      <c r="AX232" t="str">
        <f>TRIM(MID(SUBSTITUTE($F232, ",", REPT(" ", 100)), (COLUMNS($AH$2:AX232)-1)*100+1, 100))</f>
        <v/>
      </c>
      <c r="AY232" t="str">
        <f>TRIM(MID(SUBSTITUTE($F232, ",", REPT(" ", 100)), (COLUMNS($AH$2:AY232)-1)*100+1, 100))</f>
        <v/>
      </c>
      <c r="AZ232" t="str">
        <f>TRIM(MID(SUBSTITUTE($F232, ",", REPT(" ", 100)), (COLUMNS($AH$2:AZ232)-1)*100+1, 100))</f>
        <v/>
      </c>
      <c r="BA232" t="str">
        <f>TRIM(MID(SUBSTITUTE($F232, ",", REPT(" ", 100)), (COLUMNS($AH$2:BA232)-1)*100+1, 100))</f>
        <v/>
      </c>
    </row>
    <row r="233" spans="1:53" x14ac:dyDescent="0.5">
      <c r="A233" s="1">
        <v>45889</v>
      </c>
      <c r="B233" s="2">
        <v>4</v>
      </c>
      <c r="C233" s="272"/>
      <c r="D233" s="295"/>
      <c r="E233" s="58">
        <v>1</v>
      </c>
      <c r="F233" s="38" t="s">
        <v>176</v>
      </c>
      <c r="AJ233" t="str">
        <f>TRIM(MID(SUBSTITUTE($F233, ",", REPT(" ", 100)), (COLUMNS($AH$2:AJ233)-1)*100+1, 100))</f>
        <v/>
      </c>
      <c r="AK233" s="1">
        <v>45889</v>
      </c>
      <c r="AL233" s="2">
        <v>4</v>
      </c>
      <c r="AM233" s="2">
        <v>4</v>
      </c>
      <c r="AO233" t="str">
        <f>TRIM(MID(SUBSTITUTE($F233, ",", REPT(" ", 100)), (COLUMNS($AH$2:AO233)-1)*100+1, 100))</f>
        <v/>
      </c>
      <c r="AP233" t="str">
        <f>TRIM(MID(SUBSTITUTE($F233, ",", REPT(" ", 100)), (COLUMNS($AH$2:AP233)-1)*100+1, 100))</f>
        <v/>
      </c>
      <c r="AQ233" t="str">
        <f>TRIM(MID(SUBSTITUTE($F233, ",", REPT(" ", 100)), (COLUMNS($AH$2:AQ233)-1)*100+1, 100))</f>
        <v/>
      </c>
      <c r="AR233" t="str">
        <f>TRIM(MID(SUBSTITUTE($F233, ",", REPT(" ", 100)), (COLUMNS($AH$2:AR233)-1)*100+1, 100))</f>
        <v/>
      </c>
      <c r="AS233" t="str">
        <f>TRIM(MID(SUBSTITUTE($F233, ",", REPT(" ", 100)), (COLUMNS($AH$2:AS233)-1)*100+1, 100))</f>
        <v/>
      </c>
      <c r="AT233" t="str">
        <f>TRIM(MID(SUBSTITUTE($F233, ",", REPT(" ", 100)), (COLUMNS($AH$2:AT233)-1)*100+1, 100))</f>
        <v/>
      </c>
      <c r="AU233" t="str">
        <f>TRIM(MID(SUBSTITUTE($F233, ",", REPT(" ", 100)), (COLUMNS($AH$2:AU233)-1)*100+1, 100))</f>
        <v/>
      </c>
      <c r="AV233" t="str">
        <f>TRIM(MID(SUBSTITUTE($F233, ",", REPT(" ", 100)), (COLUMNS($AH$2:AV233)-1)*100+1, 100))</f>
        <v/>
      </c>
      <c r="AW233" t="str">
        <f>TRIM(MID(SUBSTITUTE($F233, ",", REPT(" ", 100)), (COLUMNS($AH$2:AW233)-1)*100+1, 100))</f>
        <v/>
      </c>
      <c r="AX233" t="str">
        <f>TRIM(MID(SUBSTITUTE($F233, ",", REPT(" ", 100)), (COLUMNS($AH$2:AX233)-1)*100+1, 100))</f>
        <v/>
      </c>
      <c r="AY233" t="str">
        <f>TRIM(MID(SUBSTITUTE($F233, ",", REPT(" ", 100)), (COLUMNS($AH$2:AY233)-1)*100+1, 100))</f>
        <v/>
      </c>
      <c r="AZ233" t="str">
        <f>TRIM(MID(SUBSTITUTE($F233, ",", REPT(" ", 100)), (COLUMNS($AH$2:AZ233)-1)*100+1, 100))</f>
        <v/>
      </c>
      <c r="BA233" t="str">
        <f>TRIM(MID(SUBSTITUTE($F233, ",", REPT(" ", 100)), (COLUMNS($AH$2:BA233)-1)*100+1, 100))</f>
        <v/>
      </c>
    </row>
    <row r="234" spans="1:53" x14ac:dyDescent="0.5">
      <c r="A234" s="1">
        <v>45890</v>
      </c>
      <c r="B234" s="2">
        <v>4</v>
      </c>
      <c r="C234" s="272"/>
      <c r="D234" s="295"/>
      <c r="E234" s="58">
        <v>1</v>
      </c>
      <c r="F234" s="38" t="s">
        <v>176</v>
      </c>
      <c r="AJ234" t="str">
        <f>TRIM(MID(SUBSTITUTE($F234, ",", REPT(" ", 100)), (COLUMNS($AH$2:AJ234)-1)*100+1, 100))</f>
        <v/>
      </c>
      <c r="AK234" s="1">
        <v>45890</v>
      </c>
      <c r="AL234" s="2">
        <v>4</v>
      </c>
      <c r="AM234" s="2">
        <v>4</v>
      </c>
      <c r="AO234" t="str">
        <f>TRIM(MID(SUBSTITUTE($F234, ",", REPT(" ", 100)), (COLUMNS($AH$2:AO234)-1)*100+1, 100))</f>
        <v/>
      </c>
      <c r="AP234" t="str">
        <f>TRIM(MID(SUBSTITUTE($F234, ",", REPT(" ", 100)), (COLUMNS($AH$2:AP234)-1)*100+1, 100))</f>
        <v/>
      </c>
      <c r="AQ234" t="str">
        <f>TRIM(MID(SUBSTITUTE($F234, ",", REPT(" ", 100)), (COLUMNS($AH$2:AQ234)-1)*100+1, 100))</f>
        <v/>
      </c>
      <c r="AR234" t="str">
        <f>TRIM(MID(SUBSTITUTE($F234, ",", REPT(" ", 100)), (COLUMNS($AH$2:AR234)-1)*100+1, 100))</f>
        <v/>
      </c>
      <c r="AS234" t="str">
        <f>TRIM(MID(SUBSTITUTE($F234, ",", REPT(" ", 100)), (COLUMNS($AH$2:AS234)-1)*100+1, 100))</f>
        <v/>
      </c>
      <c r="AT234" t="str">
        <f>TRIM(MID(SUBSTITUTE($F234, ",", REPT(" ", 100)), (COLUMNS($AH$2:AT234)-1)*100+1, 100))</f>
        <v/>
      </c>
      <c r="AU234" t="str">
        <f>TRIM(MID(SUBSTITUTE($F234, ",", REPT(" ", 100)), (COLUMNS($AH$2:AU234)-1)*100+1, 100))</f>
        <v/>
      </c>
      <c r="AV234" t="str">
        <f>TRIM(MID(SUBSTITUTE($F234, ",", REPT(" ", 100)), (COLUMNS($AH$2:AV234)-1)*100+1, 100))</f>
        <v/>
      </c>
      <c r="AW234" t="str">
        <f>TRIM(MID(SUBSTITUTE($F234, ",", REPT(" ", 100)), (COLUMNS($AH$2:AW234)-1)*100+1, 100))</f>
        <v/>
      </c>
      <c r="AX234" t="str">
        <f>TRIM(MID(SUBSTITUTE($F234, ",", REPT(" ", 100)), (COLUMNS($AH$2:AX234)-1)*100+1, 100))</f>
        <v/>
      </c>
      <c r="AY234" t="str">
        <f>TRIM(MID(SUBSTITUTE($F234, ",", REPT(" ", 100)), (COLUMNS($AH$2:AY234)-1)*100+1, 100))</f>
        <v/>
      </c>
      <c r="AZ234" t="str">
        <f>TRIM(MID(SUBSTITUTE($F234, ",", REPT(" ", 100)), (COLUMNS($AH$2:AZ234)-1)*100+1, 100))</f>
        <v/>
      </c>
      <c r="BA234" t="str">
        <f>TRIM(MID(SUBSTITUTE($F234, ",", REPT(" ", 100)), (COLUMNS($AH$2:BA234)-1)*100+1, 100))</f>
        <v/>
      </c>
    </row>
    <row r="235" spans="1:53" x14ac:dyDescent="0.5">
      <c r="A235" s="1">
        <v>45891</v>
      </c>
      <c r="B235" s="2">
        <v>5</v>
      </c>
      <c r="C235" s="272"/>
      <c r="D235" s="295"/>
      <c r="E235" s="58">
        <v>0</v>
      </c>
      <c r="F235" s="38" t="s">
        <v>176</v>
      </c>
      <c r="AJ235" t="str">
        <f>TRIM(MID(SUBSTITUTE($F235, ",", REPT(" ", 100)), (COLUMNS($AH$2:AJ235)-1)*100+1, 100))</f>
        <v/>
      </c>
      <c r="AK235" s="1">
        <v>45891</v>
      </c>
      <c r="AL235" s="2">
        <v>5</v>
      </c>
      <c r="AM235" s="2">
        <v>4</v>
      </c>
      <c r="AO235" t="str">
        <f>TRIM(MID(SUBSTITUTE($F235, ",", REPT(" ", 100)), (COLUMNS($AH$2:AO235)-1)*100+1, 100))</f>
        <v/>
      </c>
      <c r="AP235" t="str">
        <f>TRIM(MID(SUBSTITUTE($F235, ",", REPT(" ", 100)), (COLUMNS($AH$2:AP235)-1)*100+1, 100))</f>
        <v/>
      </c>
      <c r="AQ235" t="str">
        <f>TRIM(MID(SUBSTITUTE($F235, ",", REPT(" ", 100)), (COLUMNS($AH$2:AQ235)-1)*100+1, 100))</f>
        <v/>
      </c>
      <c r="AR235" t="str">
        <f>TRIM(MID(SUBSTITUTE($F235, ",", REPT(" ", 100)), (COLUMNS($AH$2:AR235)-1)*100+1, 100))</f>
        <v/>
      </c>
      <c r="AS235" t="str">
        <f>TRIM(MID(SUBSTITUTE($F235, ",", REPT(" ", 100)), (COLUMNS($AH$2:AS235)-1)*100+1, 100))</f>
        <v/>
      </c>
      <c r="AT235" t="str">
        <f>TRIM(MID(SUBSTITUTE($F235, ",", REPT(" ", 100)), (COLUMNS($AH$2:AT235)-1)*100+1, 100))</f>
        <v/>
      </c>
      <c r="AU235" t="str">
        <f>TRIM(MID(SUBSTITUTE($F235, ",", REPT(" ", 100)), (COLUMNS($AH$2:AU235)-1)*100+1, 100))</f>
        <v/>
      </c>
      <c r="AV235" t="str">
        <f>TRIM(MID(SUBSTITUTE($F235, ",", REPT(" ", 100)), (COLUMNS($AH$2:AV235)-1)*100+1, 100))</f>
        <v/>
      </c>
      <c r="AW235" t="str">
        <f>TRIM(MID(SUBSTITUTE($F235, ",", REPT(" ", 100)), (COLUMNS($AH$2:AW235)-1)*100+1, 100))</f>
        <v/>
      </c>
      <c r="AX235" t="str">
        <f>TRIM(MID(SUBSTITUTE($F235, ",", REPT(" ", 100)), (COLUMNS($AH$2:AX235)-1)*100+1, 100))</f>
        <v/>
      </c>
      <c r="AY235" t="str">
        <f>TRIM(MID(SUBSTITUTE($F235, ",", REPT(" ", 100)), (COLUMNS($AH$2:AY235)-1)*100+1, 100))</f>
        <v/>
      </c>
      <c r="AZ235" t="str">
        <f>TRIM(MID(SUBSTITUTE($F235, ",", REPT(" ", 100)), (COLUMNS($AH$2:AZ235)-1)*100+1, 100))</f>
        <v/>
      </c>
      <c r="BA235" t="str">
        <f>TRIM(MID(SUBSTITUTE($F235, ",", REPT(" ", 100)), (COLUMNS($AH$2:BA235)-1)*100+1, 100))</f>
        <v/>
      </c>
    </row>
    <row r="236" spans="1:53" x14ac:dyDescent="0.5">
      <c r="A236" s="1">
        <v>45892</v>
      </c>
      <c r="B236" s="2">
        <v>7</v>
      </c>
      <c r="C236" s="272"/>
      <c r="D236" s="295"/>
      <c r="E236" s="58">
        <v>0</v>
      </c>
      <c r="F236" s="38" t="s">
        <v>176</v>
      </c>
      <c r="AJ236" t="str">
        <f>TRIM(MID(SUBSTITUTE($F236, ",", REPT(" ", 100)), (COLUMNS($AH$2:AJ236)-1)*100+1, 100))</f>
        <v/>
      </c>
      <c r="AK236" s="1">
        <v>45892</v>
      </c>
      <c r="AL236" s="2">
        <v>7</v>
      </c>
      <c r="AM236" s="2">
        <v>6</v>
      </c>
      <c r="AO236" t="str">
        <f>TRIM(MID(SUBSTITUTE($F236, ",", REPT(" ", 100)), (COLUMNS($AH$2:AO236)-1)*100+1, 100))</f>
        <v/>
      </c>
      <c r="AP236" t="str">
        <f>TRIM(MID(SUBSTITUTE($F236, ",", REPT(" ", 100)), (COLUMNS($AH$2:AP236)-1)*100+1, 100))</f>
        <v/>
      </c>
      <c r="AQ236" t="str">
        <f>TRIM(MID(SUBSTITUTE($F236, ",", REPT(" ", 100)), (COLUMNS($AH$2:AQ236)-1)*100+1, 100))</f>
        <v/>
      </c>
      <c r="AR236" t="str">
        <f>TRIM(MID(SUBSTITUTE($F236, ",", REPT(" ", 100)), (COLUMNS($AH$2:AR236)-1)*100+1, 100))</f>
        <v/>
      </c>
      <c r="AS236" t="str">
        <f>TRIM(MID(SUBSTITUTE($F236, ",", REPT(" ", 100)), (COLUMNS($AH$2:AS236)-1)*100+1, 100))</f>
        <v/>
      </c>
      <c r="AT236" t="str">
        <f>TRIM(MID(SUBSTITUTE($F236, ",", REPT(" ", 100)), (COLUMNS($AH$2:AT236)-1)*100+1, 100))</f>
        <v/>
      </c>
      <c r="AU236" t="str">
        <f>TRIM(MID(SUBSTITUTE($F236, ",", REPT(" ", 100)), (COLUMNS($AH$2:AU236)-1)*100+1, 100))</f>
        <v/>
      </c>
      <c r="AV236" t="str">
        <f>TRIM(MID(SUBSTITUTE($F236, ",", REPT(" ", 100)), (COLUMNS($AH$2:AV236)-1)*100+1, 100))</f>
        <v/>
      </c>
      <c r="AW236" t="str">
        <f>TRIM(MID(SUBSTITUTE($F236, ",", REPT(" ", 100)), (COLUMNS($AH$2:AW236)-1)*100+1, 100))</f>
        <v/>
      </c>
      <c r="AX236" t="str">
        <f>TRIM(MID(SUBSTITUTE($F236, ",", REPT(" ", 100)), (COLUMNS($AH$2:AX236)-1)*100+1, 100))</f>
        <v/>
      </c>
      <c r="AY236" t="str">
        <f>TRIM(MID(SUBSTITUTE($F236, ",", REPT(" ", 100)), (COLUMNS($AH$2:AY236)-1)*100+1, 100))</f>
        <v/>
      </c>
      <c r="AZ236" t="str">
        <f>TRIM(MID(SUBSTITUTE($F236, ",", REPT(" ", 100)), (COLUMNS($AH$2:AZ236)-1)*100+1, 100))</f>
        <v/>
      </c>
      <c r="BA236" t="str">
        <f>TRIM(MID(SUBSTITUTE($F236, ",", REPT(" ", 100)), (COLUMNS($AH$2:BA236)-1)*100+1, 100))</f>
        <v/>
      </c>
    </row>
    <row r="237" spans="1:53" x14ac:dyDescent="0.5">
      <c r="A237" s="1">
        <v>45893</v>
      </c>
      <c r="B237" s="2">
        <v>1</v>
      </c>
      <c r="C237" s="272"/>
      <c r="D237" s="295"/>
      <c r="E237" s="58">
        <v>1</v>
      </c>
      <c r="F237" s="38" t="s">
        <v>176</v>
      </c>
      <c r="G237" s="273" t="s">
        <v>353</v>
      </c>
      <c r="AJ237" t="str">
        <f>TRIM(MID(SUBSTITUTE($F237, ",", REPT(" ", 100)), (COLUMNS($AH$2:AJ237)-1)*100+1, 100))</f>
        <v/>
      </c>
      <c r="AK237" s="1">
        <v>45893</v>
      </c>
      <c r="AL237" s="2">
        <v>1</v>
      </c>
      <c r="AM237" s="2">
        <v>4</v>
      </c>
      <c r="AO237" t="str">
        <f>TRIM(MID(SUBSTITUTE($F237, ",", REPT(" ", 100)), (COLUMNS($AH$2:AO237)-1)*100+1, 100))</f>
        <v/>
      </c>
      <c r="AP237" t="str">
        <f>TRIM(MID(SUBSTITUTE($F237, ",", REPT(" ", 100)), (COLUMNS($AH$2:AP237)-1)*100+1, 100))</f>
        <v/>
      </c>
      <c r="AQ237" t="str">
        <f>TRIM(MID(SUBSTITUTE($F237, ",", REPT(" ", 100)), (COLUMNS($AH$2:AQ237)-1)*100+1, 100))</f>
        <v/>
      </c>
      <c r="AR237" t="str">
        <f>TRIM(MID(SUBSTITUTE($F237, ",", REPT(" ", 100)), (COLUMNS($AH$2:AR237)-1)*100+1, 100))</f>
        <v/>
      </c>
      <c r="AS237" t="str">
        <f>TRIM(MID(SUBSTITUTE($F237, ",", REPT(" ", 100)), (COLUMNS($AH$2:AS237)-1)*100+1, 100))</f>
        <v/>
      </c>
      <c r="AT237" t="str">
        <f>TRIM(MID(SUBSTITUTE($F237, ",", REPT(" ", 100)), (COLUMNS($AH$2:AT237)-1)*100+1, 100))</f>
        <v/>
      </c>
      <c r="AU237" t="str">
        <f>TRIM(MID(SUBSTITUTE($F237, ",", REPT(" ", 100)), (COLUMNS($AH$2:AU237)-1)*100+1, 100))</f>
        <v/>
      </c>
      <c r="AV237" t="str">
        <f>TRIM(MID(SUBSTITUTE($F237, ",", REPT(" ", 100)), (COLUMNS($AH$2:AV237)-1)*100+1, 100))</f>
        <v/>
      </c>
      <c r="AW237" t="str">
        <f>TRIM(MID(SUBSTITUTE($F237, ",", REPT(" ", 100)), (COLUMNS($AH$2:AW237)-1)*100+1, 100))</f>
        <v/>
      </c>
      <c r="AX237" t="str">
        <f>TRIM(MID(SUBSTITUTE($F237, ",", REPT(" ", 100)), (COLUMNS($AH$2:AX237)-1)*100+1, 100))</f>
        <v/>
      </c>
      <c r="AY237" t="str">
        <f>TRIM(MID(SUBSTITUTE($F237, ",", REPT(" ", 100)), (COLUMNS($AH$2:AY237)-1)*100+1, 100))</f>
        <v/>
      </c>
      <c r="AZ237" t="str">
        <f>TRIM(MID(SUBSTITUTE($F237, ",", REPT(" ", 100)), (COLUMNS($AH$2:AZ237)-1)*100+1, 100))</f>
        <v/>
      </c>
      <c r="BA237" t="str">
        <f>TRIM(MID(SUBSTITUTE($F237, ",", REPT(" ", 100)), (COLUMNS($AH$2:BA237)-1)*100+1, 100))</f>
        <v/>
      </c>
    </row>
    <row r="238" spans="1:53" x14ac:dyDescent="0.5">
      <c r="A238" s="1">
        <v>45894</v>
      </c>
      <c r="B238" s="2">
        <v>2</v>
      </c>
      <c r="C238" s="272"/>
      <c r="D238" s="295"/>
      <c r="E238" s="58">
        <v>1</v>
      </c>
      <c r="F238" s="38" t="s">
        <v>176</v>
      </c>
      <c r="G238" s="273"/>
      <c r="AJ238" t="str">
        <f>TRIM(MID(SUBSTITUTE($F238, ",", REPT(" ", 100)), (COLUMNS($AH$2:AJ238)-1)*100+1, 100))</f>
        <v/>
      </c>
      <c r="AK238" s="1">
        <v>45894</v>
      </c>
      <c r="AL238" s="2">
        <v>2</v>
      </c>
      <c r="AM238" s="2">
        <v>4</v>
      </c>
      <c r="AO238" t="str">
        <f>TRIM(MID(SUBSTITUTE($F238, ",", REPT(" ", 100)), (COLUMNS($AH$2:AO238)-1)*100+1, 100))</f>
        <v/>
      </c>
      <c r="AP238" t="str">
        <f>TRIM(MID(SUBSTITUTE($F238, ",", REPT(" ", 100)), (COLUMNS($AH$2:AP238)-1)*100+1, 100))</f>
        <v/>
      </c>
      <c r="AQ238" t="str">
        <f>TRIM(MID(SUBSTITUTE($F238, ",", REPT(" ", 100)), (COLUMNS($AH$2:AQ238)-1)*100+1, 100))</f>
        <v/>
      </c>
      <c r="AR238" t="str">
        <f>TRIM(MID(SUBSTITUTE($F238, ",", REPT(" ", 100)), (COLUMNS($AH$2:AR238)-1)*100+1, 100))</f>
        <v/>
      </c>
      <c r="AS238" t="str">
        <f>TRIM(MID(SUBSTITUTE($F238, ",", REPT(" ", 100)), (COLUMNS($AH$2:AS238)-1)*100+1, 100))</f>
        <v/>
      </c>
      <c r="AT238" t="str">
        <f>TRIM(MID(SUBSTITUTE($F238, ",", REPT(" ", 100)), (COLUMNS($AH$2:AT238)-1)*100+1, 100))</f>
        <v/>
      </c>
      <c r="AU238" t="str">
        <f>TRIM(MID(SUBSTITUTE($F238, ",", REPT(" ", 100)), (COLUMNS($AH$2:AU238)-1)*100+1, 100))</f>
        <v/>
      </c>
      <c r="AV238" t="str">
        <f>TRIM(MID(SUBSTITUTE($F238, ",", REPT(" ", 100)), (COLUMNS($AH$2:AV238)-1)*100+1, 100))</f>
        <v/>
      </c>
      <c r="AW238" t="str">
        <f>TRIM(MID(SUBSTITUTE($F238, ",", REPT(" ", 100)), (COLUMNS($AH$2:AW238)-1)*100+1, 100))</f>
        <v/>
      </c>
      <c r="AX238" t="str">
        <f>TRIM(MID(SUBSTITUTE($F238, ",", REPT(" ", 100)), (COLUMNS($AH$2:AX238)-1)*100+1, 100))</f>
        <v/>
      </c>
      <c r="AY238" t="str">
        <f>TRIM(MID(SUBSTITUTE($F238, ",", REPT(" ", 100)), (COLUMNS($AH$2:AY238)-1)*100+1, 100))</f>
        <v/>
      </c>
      <c r="AZ238" t="str">
        <f>TRIM(MID(SUBSTITUTE($F238, ",", REPT(" ", 100)), (COLUMNS($AH$2:AZ238)-1)*100+1, 100))</f>
        <v/>
      </c>
      <c r="BA238" t="str">
        <f>TRIM(MID(SUBSTITUTE($F238, ",", REPT(" ", 100)), (COLUMNS($AH$2:BA238)-1)*100+1, 100))</f>
        <v/>
      </c>
    </row>
    <row r="239" spans="1:53" x14ac:dyDescent="0.5">
      <c r="A239" s="1">
        <v>45895</v>
      </c>
      <c r="B239" s="2">
        <v>2</v>
      </c>
      <c r="C239" s="272"/>
      <c r="D239" s="295"/>
      <c r="E239" s="58">
        <v>1</v>
      </c>
      <c r="F239" s="38" t="s">
        <v>176</v>
      </c>
      <c r="G239" s="273"/>
      <c r="AJ239" t="str">
        <f>TRIM(MID(SUBSTITUTE($F239, ",", REPT(" ", 100)), (COLUMNS($AH$2:AJ239)-1)*100+1, 100))</f>
        <v/>
      </c>
      <c r="AK239" s="1">
        <v>45895</v>
      </c>
      <c r="AL239" s="2">
        <v>2</v>
      </c>
      <c r="AM239" s="2">
        <v>6</v>
      </c>
      <c r="AO239" t="str">
        <f>TRIM(MID(SUBSTITUTE($F239, ",", REPT(" ", 100)), (COLUMNS($AH$2:AO239)-1)*100+1, 100))</f>
        <v/>
      </c>
      <c r="AP239" t="str">
        <f>TRIM(MID(SUBSTITUTE($F239, ",", REPT(" ", 100)), (COLUMNS($AH$2:AP239)-1)*100+1, 100))</f>
        <v/>
      </c>
      <c r="AQ239" t="str">
        <f>TRIM(MID(SUBSTITUTE($F239, ",", REPT(" ", 100)), (COLUMNS($AH$2:AQ239)-1)*100+1, 100))</f>
        <v/>
      </c>
      <c r="AR239" t="str">
        <f>TRIM(MID(SUBSTITUTE($F239, ",", REPT(" ", 100)), (COLUMNS($AH$2:AR239)-1)*100+1, 100))</f>
        <v/>
      </c>
      <c r="AS239" t="str">
        <f>TRIM(MID(SUBSTITUTE($F239, ",", REPT(" ", 100)), (COLUMNS($AH$2:AS239)-1)*100+1, 100))</f>
        <v/>
      </c>
      <c r="AT239" t="str">
        <f>TRIM(MID(SUBSTITUTE($F239, ",", REPT(" ", 100)), (COLUMNS($AH$2:AT239)-1)*100+1, 100))</f>
        <v/>
      </c>
      <c r="AU239" t="str">
        <f>TRIM(MID(SUBSTITUTE($F239, ",", REPT(" ", 100)), (COLUMNS($AH$2:AU239)-1)*100+1, 100))</f>
        <v/>
      </c>
      <c r="AV239" t="str">
        <f>TRIM(MID(SUBSTITUTE($F239, ",", REPT(" ", 100)), (COLUMNS($AH$2:AV239)-1)*100+1, 100))</f>
        <v/>
      </c>
      <c r="AW239" t="str">
        <f>TRIM(MID(SUBSTITUTE($F239, ",", REPT(" ", 100)), (COLUMNS($AH$2:AW239)-1)*100+1, 100))</f>
        <v/>
      </c>
      <c r="AX239" t="str">
        <f>TRIM(MID(SUBSTITUTE($F239, ",", REPT(" ", 100)), (COLUMNS($AH$2:AX239)-1)*100+1, 100))</f>
        <v/>
      </c>
      <c r="AY239" t="str">
        <f>TRIM(MID(SUBSTITUTE($F239, ",", REPT(" ", 100)), (COLUMNS($AH$2:AY239)-1)*100+1, 100))</f>
        <v/>
      </c>
      <c r="AZ239" t="str">
        <f>TRIM(MID(SUBSTITUTE($F239, ",", REPT(" ", 100)), (COLUMNS($AH$2:AZ239)-1)*100+1, 100))</f>
        <v/>
      </c>
      <c r="BA239" t="str">
        <f>TRIM(MID(SUBSTITUTE($F239, ",", REPT(" ", 100)), (COLUMNS($AH$2:BA239)-1)*100+1, 100))</f>
        <v/>
      </c>
    </row>
    <row r="240" spans="1:53" x14ac:dyDescent="0.5">
      <c r="A240" s="1">
        <v>45896</v>
      </c>
      <c r="B240" s="2">
        <v>2</v>
      </c>
      <c r="C240" s="272"/>
      <c r="D240" s="295"/>
      <c r="E240" s="58">
        <v>1</v>
      </c>
      <c r="F240" s="38" t="s">
        <v>176</v>
      </c>
      <c r="G240" s="273"/>
      <c r="AJ240" t="str">
        <f>TRIM(MID(SUBSTITUTE($F240, ",", REPT(" ", 100)), (COLUMNS($AH$2:AJ240)-1)*100+1, 100))</f>
        <v/>
      </c>
      <c r="AK240" s="1">
        <v>45896</v>
      </c>
      <c r="AL240" s="2">
        <v>2</v>
      </c>
      <c r="AM240" s="2">
        <v>2</v>
      </c>
      <c r="AO240" t="str">
        <f>TRIM(MID(SUBSTITUTE($F240, ",", REPT(" ", 100)), (COLUMNS($AH$2:AO240)-1)*100+1, 100))</f>
        <v/>
      </c>
      <c r="AP240" t="str">
        <f>TRIM(MID(SUBSTITUTE($F240, ",", REPT(" ", 100)), (COLUMNS($AH$2:AP240)-1)*100+1, 100))</f>
        <v/>
      </c>
      <c r="AQ240" t="str">
        <f>TRIM(MID(SUBSTITUTE($F240, ",", REPT(" ", 100)), (COLUMNS($AH$2:AQ240)-1)*100+1, 100))</f>
        <v/>
      </c>
      <c r="AR240" t="str">
        <f>TRIM(MID(SUBSTITUTE($F240, ",", REPT(" ", 100)), (COLUMNS($AH$2:AR240)-1)*100+1, 100))</f>
        <v/>
      </c>
      <c r="AS240" t="str">
        <f>TRIM(MID(SUBSTITUTE($F240, ",", REPT(" ", 100)), (COLUMNS($AH$2:AS240)-1)*100+1, 100))</f>
        <v/>
      </c>
      <c r="AT240" t="str">
        <f>TRIM(MID(SUBSTITUTE($F240, ",", REPT(" ", 100)), (COLUMNS($AH$2:AT240)-1)*100+1, 100))</f>
        <v/>
      </c>
      <c r="AU240" t="str">
        <f>TRIM(MID(SUBSTITUTE($F240, ",", REPT(" ", 100)), (COLUMNS($AH$2:AU240)-1)*100+1, 100))</f>
        <v/>
      </c>
      <c r="AV240" t="str">
        <f>TRIM(MID(SUBSTITUTE($F240, ",", REPT(" ", 100)), (COLUMNS($AH$2:AV240)-1)*100+1, 100))</f>
        <v/>
      </c>
      <c r="AW240" t="str">
        <f>TRIM(MID(SUBSTITUTE($F240, ",", REPT(" ", 100)), (COLUMNS($AH$2:AW240)-1)*100+1, 100))</f>
        <v/>
      </c>
      <c r="AX240" t="str">
        <f>TRIM(MID(SUBSTITUTE($F240, ",", REPT(" ", 100)), (COLUMNS($AH$2:AX240)-1)*100+1, 100))</f>
        <v/>
      </c>
      <c r="AY240" t="str">
        <f>TRIM(MID(SUBSTITUTE($F240, ",", REPT(" ", 100)), (COLUMNS($AH$2:AY240)-1)*100+1, 100))</f>
        <v/>
      </c>
      <c r="AZ240" t="str">
        <f>TRIM(MID(SUBSTITUTE($F240, ",", REPT(" ", 100)), (COLUMNS($AH$2:AZ240)-1)*100+1, 100))</f>
        <v/>
      </c>
      <c r="BA240" t="str">
        <f>TRIM(MID(SUBSTITUTE($F240, ",", REPT(" ", 100)), (COLUMNS($AH$2:BA240)-1)*100+1, 100))</f>
        <v/>
      </c>
    </row>
    <row r="241" spans="1:53" x14ac:dyDescent="0.5">
      <c r="A241" s="1">
        <v>45897</v>
      </c>
      <c r="B241" s="2">
        <v>4</v>
      </c>
      <c r="C241" s="272"/>
      <c r="D241" s="295"/>
      <c r="E241" s="58">
        <v>1</v>
      </c>
      <c r="F241" s="38" t="s">
        <v>176</v>
      </c>
      <c r="G241" s="273"/>
      <c r="AJ241" t="str">
        <f>TRIM(MID(SUBSTITUTE($F241, ",", REPT(" ", 100)), (COLUMNS($AH$2:AJ241)-1)*100+1, 100))</f>
        <v/>
      </c>
      <c r="AK241" s="1">
        <v>45897</v>
      </c>
      <c r="AL241" s="2">
        <v>4</v>
      </c>
      <c r="AM241" s="2">
        <v>6</v>
      </c>
      <c r="AO241" t="str">
        <f>TRIM(MID(SUBSTITUTE($F241, ",", REPT(" ", 100)), (COLUMNS($AH$2:AO241)-1)*100+1, 100))</f>
        <v/>
      </c>
      <c r="AP241" t="str">
        <f>TRIM(MID(SUBSTITUTE($F241, ",", REPT(" ", 100)), (COLUMNS($AH$2:AP241)-1)*100+1, 100))</f>
        <v/>
      </c>
      <c r="AQ241" t="str">
        <f>TRIM(MID(SUBSTITUTE($F241, ",", REPT(" ", 100)), (COLUMNS($AH$2:AQ241)-1)*100+1, 100))</f>
        <v/>
      </c>
      <c r="AR241" t="str">
        <f>TRIM(MID(SUBSTITUTE($F241, ",", REPT(" ", 100)), (COLUMNS($AH$2:AR241)-1)*100+1, 100))</f>
        <v/>
      </c>
      <c r="AS241" t="str">
        <f>TRIM(MID(SUBSTITUTE($F241, ",", REPT(" ", 100)), (COLUMNS($AH$2:AS241)-1)*100+1, 100))</f>
        <v/>
      </c>
      <c r="AT241" t="str">
        <f>TRIM(MID(SUBSTITUTE($F241, ",", REPT(" ", 100)), (COLUMNS($AH$2:AT241)-1)*100+1, 100))</f>
        <v/>
      </c>
      <c r="AU241" t="str">
        <f>TRIM(MID(SUBSTITUTE($F241, ",", REPT(" ", 100)), (COLUMNS($AH$2:AU241)-1)*100+1, 100))</f>
        <v/>
      </c>
      <c r="AV241" t="str">
        <f>TRIM(MID(SUBSTITUTE($F241, ",", REPT(" ", 100)), (COLUMNS($AH$2:AV241)-1)*100+1, 100))</f>
        <v/>
      </c>
      <c r="AW241" t="str">
        <f>TRIM(MID(SUBSTITUTE($F241, ",", REPT(" ", 100)), (COLUMNS($AH$2:AW241)-1)*100+1, 100))</f>
        <v/>
      </c>
      <c r="AX241" t="str">
        <f>TRIM(MID(SUBSTITUTE($F241, ",", REPT(" ", 100)), (COLUMNS($AH$2:AX241)-1)*100+1, 100))</f>
        <v/>
      </c>
      <c r="AY241" t="str">
        <f>TRIM(MID(SUBSTITUTE($F241, ",", REPT(" ", 100)), (COLUMNS($AH$2:AY241)-1)*100+1, 100))</f>
        <v/>
      </c>
      <c r="AZ241" t="str">
        <f>TRIM(MID(SUBSTITUTE($F241, ",", REPT(" ", 100)), (COLUMNS($AH$2:AZ241)-1)*100+1, 100))</f>
        <v/>
      </c>
      <c r="BA241" t="str">
        <f>TRIM(MID(SUBSTITUTE($F241, ",", REPT(" ", 100)), (COLUMNS($AH$2:BA241)-1)*100+1, 100))</f>
        <v/>
      </c>
    </row>
    <row r="242" spans="1:53" x14ac:dyDescent="0.5">
      <c r="A242" s="1">
        <v>45898</v>
      </c>
      <c r="B242" s="2">
        <v>6</v>
      </c>
      <c r="C242" s="272"/>
      <c r="D242" s="295"/>
      <c r="E242" s="58">
        <v>1</v>
      </c>
      <c r="F242" s="38" t="s">
        <v>176</v>
      </c>
      <c r="AJ242" t="str">
        <f>TRIM(MID(SUBSTITUTE($F242, ",", REPT(" ", 100)), (COLUMNS($AH$2:AJ242)-1)*100+1, 100))</f>
        <v/>
      </c>
      <c r="AK242" s="1">
        <v>45898</v>
      </c>
      <c r="AL242" s="2">
        <v>6</v>
      </c>
      <c r="AM242" s="2">
        <v>6</v>
      </c>
      <c r="AO242" t="str">
        <f>TRIM(MID(SUBSTITUTE($F242, ",", REPT(" ", 100)), (COLUMNS($AH$2:AO242)-1)*100+1, 100))</f>
        <v/>
      </c>
      <c r="AP242" t="str">
        <f>TRIM(MID(SUBSTITUTE($F242, ",", REPT(" ", 100)), (COLUMNS($AH$2:AP242)-1)*100+1, 100))</f>
        <v/>
      </c>
      <c r="AQ242" t="str">
        <f>TRIM(MID(SUBSTITUTE($F242, ",", REPT(" ", 100)), (COLUMNS($AH$2:AQ242)-1)*100+1, 100))</f>
        <v/>
      </c>
      <c r="AR242" t="str">
        <f>TRIM(MID(SUBSTITUTE($F242, ",", REPT(" ", 100)), (COLUMNS($AH$2:AR242)-1)*100+1, 100))</f>
        <v/>
      </c>
      <c r="AS242" t="str">
        <f>TRIM(MID(SUBSTITUTE($F242, ",", REPT(" ", 100)), (COLUMNS($AH$2:AS242)-1)*100+1, 100))</f>
        <v/>
      </c>
      <c r="AT242" t="str">
        <f>TRIM(MID(SUBSTITUTE($F242, ",", REPT(" ", 100)), (COLUMNS($AH$2:AT242)-1)*100+1, 100))</f>
        <v/>
      </c>
      <c r="AU242" t="str">
        <f>TRIM(MID(SUBSTITUTE($F242, ",", REPT(" ", 100)), (COLUMNS($AH$2:AU242)-1)*100+1, 100))</f>
        <v/>
      </c>
      <c r="AV242" t="str">
        <f>TRIM(MID(SUBSTITUTE($F242, ",", REPT(" ", 100)), (COLUMNS($AH$2:AV242)-1)*100+1, 100))</f>
        <v/>
      </c>
      <c r="AW242" t="str">
        <f>TRIM(MID(SUBSTITUTE($F242, ",", REPT(" ", 100)), (COLUMNS($AH$2:AW242)-1)*100+1, 100))</f>
        <v/>
      </c>
      <c r="AX242" t="str">
        <f>TRIM(MID(SUBSTITUTE($F242, ",", REPT(" ", 100)), (COLUMNS($AH$2:AX242)-1)*100+1, 100))</f>
        <v/>
      </c>
      <c r="AY242" t="str">
        <f>TRIM(MID(SUBSTITUTE($F242, ",", REPT(" ", 100)), (COLUMNS($AH$2:AY242)-1)*100+1, 100))</f>
        <v/>
      </c>
      <c r="AZ242" t="str">
        <f>TRIM(MID(SUBSTITUTE($F242, ",", REPT(" ", 100)), (COLUMNS($AH$2:AZ242)-1)*100+1, 100))</f>
        <v/>
      </c>
      <c r="BA242" t="str">
        <f>TRIM(MID(SUBSTITUTE($F242, ",", REPT(" ", 100)), (COLUMNS($AH$2:BA242)-1)*100+1, 100))</f>
        <v/>
      </c>
    </row>
    <row r="243" spans="1:53" x14ac:dyDescent="0.5">
      <c r="A243" s="1">
        <v>45899</v>
      </c>
      <c r="B243" s="2">
        <v>6</v>
      </c>
      <c r="C243" s="272"/>
      <c r="D243" s="295"/>
      <c r="E243" s="58">
        <v>0</v>
      </c>
      <c r="F243" s="38" t="s">
        <v>176</v>
      </c>
      <c r="AJ243" t="str">
        <f>TRIM(MID(SUBSTITUTE($F243, ",", REPT(" ", 100)), (COLUMNS($AH$2:AJ243)-1)*100+1, 100))</f>
        <v/>
      </c>
      <c r="AK243" s="1">
        <v>45899</v>
      </c>
      <c r="AL243" s="2">
        <v>6</v>
      </c>
      <c r="AM243" s="2">
        <v>4</v>
      </c>
      <c r="AO243" t="str">
        <f>TRIM(MID(SUBSTITUTE($F243, ",", REPT(" ", 100)), (COLUMNS($AH$2:AO243)-1)*100+1, 100))</f>
        <v/>
      </c>
      <c r="AP243" t="str">
        <f>TRIM(MID(SUBSTITUTE($F243, ",", REPT(" ", 100)), (COLUMNS($AH$2:AP243)-1)*100+1, 100))</f>
        <v/>
      </c>
      <c r="AQ243" t="str">
        <f>TRIM(MID(SUBSTITUTE($F243, ",", REPT(" ", 100)), (COLUMNS($AH$2:AQ243)-1)*100+1, 100))</f>
        <v/>
      </c>
      <c r="AR243" t="str">
        <f>TRIM(MID(SUBSTITUTE($F243, ",", REPT(" ", 100)), (COLUMNS($AH$2:AR243)-1)*100+1, 100))</f>
        <v/>
      </c>
      <c r="AS243" t="str">
        <f>TRIM(MID(SUBSTITUTE($F243, ",", REPT(" ", 100)), (COLUMNS($AH$2:AS243)-1)*100+1, 100))</f>
        <v/>
      </c>
      <c r="AT243" t="str">
        <f>TRIM(MID(SUBSTITUTE($F243, ",", REPT(" ", 100)), (COLUMNS($AH$2:AT243)-1)*100+1, 100))</f>
        <v/>
      </c>
      <c r="AU243" t="str">
        <f>TRIM(MID(SUBSTITUTE($F243, ",", REPT(" ", 100)), (COLUMNS($AH$2:AU243)-1)*100+1, 100))</f>
        <v/>
      </c>
      <c r="AV243" t="str">
        <f>TRIM(MID(SUBSTITUTE($F243, ",", REPT(" ", 100)), (COLUMNS($AH$2:AV243)-1)*100+1, 100))</f>
        <v/>
      </c>
      <c r="AW243" t="str">
        <f>TRIM(MID(SUBSTITUTE($F243, ",", REPT(" ", 100)), (COLUMNS($AH$2:AW243)-1)*100+1, 100))</f>
        <v/>
      </c>
      <c r="AX243" t="str">
        <f>TRIM(MID(SUBSTITUTE($F243, ",", REPT(" ", 100)), (COLUMNS($AH$2:AX243)-1)*100+1, 100))</f>
        <v/>
      </c>
      <c r="AY243" t="str">
        <f>TRIM(MID(SUBSTITUTE($F243, ",", REPT(" ", 100)), (COLUMNS($AH$2:AY243)-1)*100+1, 100))</f>
        <v/>
      </c>
      <c r="AZ243" t="str">
        <f>TRIM(MID(SUBSTITUTE($F243, ",", REPT(" ", 100)), (COLUMNS($AH$2:AZ243)-1)*100+1, 100))</f>
        <v/>
      </c>
      <c r="BA243" t="str">
        <f>TRIM(MID(SUBSTITUTE($F243, ",", REPT(" ", 100)), (COLUMNS($AH$2:BA243)-1)*100+1, 100))</f>
        <v/>
      </c>
    </row>
    <row r="244" spans="1:53" x14ac:dyDescent="0.5">
      <c r="A244" s="1">
        <v>45900</v>
      </c>
      <c r="B244" s="2">
        <v>5</v>
      </c>
      <c r="C244" s="272"/>
      <c r="D244" s="295"/>
      <c r="E244" s="58">
        <v>1</v>
      </c>
      <c r="F244" s="38" t="s">
        <v>176</v>
      </c>
      <c r="AJ244" t="str">
        <f>TRIM(MID(SUBSTITUTE($F244, ",", REPT(" ", 100)), (COLUMNS($AH$2:AJ244)-1)*100+1, 100))</f>
        <v/>
      </c>
      <c r="AK244" s="1">
        <v>45900</v>
      </c>
      <c r="AL244" s="2">
        <v>5</v>
      </c>
      <c r="AM244" s="2">
        <v>6</v>
      </c>
      <c r="AO244" t="str">
        <f>TRIM(MID(SUBSTITUTE($F244, ",", REPT(" ", 100)), (COLUMNS($AH$2:AO244)-1)*100+1, 100))</f>
        <v/>
      </c>
      <c r="AP244" t="str">
        <f>TRIM(MID(SUBSTITUTE($F244, ",", REPT(" ", 100)), (COLUMNS($AH$2:AP244)-1)*100+1, 100))</f>
        <v/>
      </c>
      <c r="AQ244" t="str">
        <f>TRIM(MID(SUBSTITUTE($F244, ",", REPT(" ", 100)), (COLUMNS($AH$2:AQ244)-1)*100+1, 100))</f>
        <v/>
      </c>
      <c r="AR244" t="str">
        <f>TRIM(MID(SUBSTITUTE($F244, ",", REPT(" ", 100)), (COLUMNS($AH$2:AR244)-1)*100+1, 100))</f>
        <v/>
      </c>
      <c r="AS244" t="str">
        <f>TRIM(MID(SUBSTITUTE($F244, ",", REPT(" ", 100)), (COLUMNS($AH$2:AS244)-1)*100+1, 100))</f>
        <v/>
      </c>
      <c r="AT244" t="str">
        <f>TRIM(MID(SUBSTITUTE($F244, ",", REPT(" ", 100)), (COLUMNS($AH$2:AT244)-1)*100+1, 100))</f>
        <v/>
      </c>
      <c r="AU244" t="str">
        <f>TRIM(MID(SUBSTITUTE($F244, ",", REPT(" ", 100)), (COLUMNS($AH$2:AU244)-1)*100+1, 100))</f>
        <v/>
      </c>
      <c r="AV244" t="str">
        <f>TRIM(MID(SUBSTITUTE($F244, ",", REPT(" ", 100)), (COLUMNS($AH$2:AV244)-1)*100+1, 100))</f>
        <v/>
      </c>
      <c r="AW244" t="str">
        <f>TRIM(MID(SUBSTITUTE($F244, ",", REPT(" ", 100)), (COLUMNS($AH$2:AW244)-1)*100+1, 100))</f>
        <v/>
      </c>
      <c r="AX244" t="str">
        <f>TRIM(MID(SUBSTITUTE($F244, ",", REPT(" ", 100)), (COLUMNS($AH$2:AX244)-1)*100+1, 100))</f>
        <v/>
      </c>
      <c r="AY244" t="str">
        <f>TRIM(MID(SUBSTITUTE($F244, ",", REPT(" ", 100)), (COLUMNS($AH$2:AY244)-1)*100+1, 100))</f>
        <v/>
      </c>
      <c r="AZ244" t="str">
        <f>TRIM(MID(SUBSTITUTE($F244, ",", REPT(" ", 100)), (COLUMNS($AH$2:AZ244)-1)*100+1, 100))</f>
        <v/>
      </c>
      <c r="BA244" t="str">
        <f>TRIM(MID(SUBSTITUTE($F244, ",", REPT(" ", 100)), (COLUMNS($AH$2:BA244)-1)*100+1, 100))</f>
        <v/>
      </c>
    </row>
    <row r="245" spans="1:53" x14ac:dyDescent="0.5">
      <c r="A245" s="1">
        <v>45901</v>
      </c>
      <c r="B245" s="2">
        <v>5</v>
      </c>
      <c r="C245" s="272">
        <f>AVERAGE(B245:B274)</f>
        <v>5.8166666666666673</v>
      </c>
      <c r="D245" s="295"/>
      <c r="E245" s="58">
        <v>0</v>
      </c>
      <c r="F245" s="38" t="s">
        <v>176</v>
      </c>
      <c r="AJ245" t="str">
        <f>TRIM(MID(SUBSTITUTE($F245, ",", REPT(" ", 100)), (COLUMNS($AH$2:AJ245)-1)*100+1, 100))</f>
        <v/>
      </c>
      <c r="AK245" s="1">
        <v>45901</v>
      </c>
      <c r="AL245" s="2">
        <v>5</v>
      </c>
      <c r="AM245" s="2">
        <v>4</v>
      </c>
      <c r="AO245" t="str">
        <f>TRIM(MID(SUBSTITUTE($F245, ",", REPT(" ", 100)), (COLUMNS($AH$2:AO245)-1)*100+1, 100))</f>
        <v/>
      </c>
      <c r="AP245" t="str">
        <f>TRIM(MID(SUBSTITUTE($F245, ",", REPT(" ", 100)), (COLUMNS($AH$2:AP245)-1)*100+1, 100))</f>
        <v/>
      </c>
      <c r="AQ245" t="str">
        <f>TRIM(MID(SUBSTITUTE($F245, ",", REPT(" ", 100)), (COLUMNS($AH$2:AQ245)-1)*100+1, 100))</f>
        <v/>
      </c>
      <c r="AR245" t="str">
        <f>TRIM(MID(SUBSTITUTE($F245, ",", REPT(" ", 100)), (COLUMNS($AH$2:AR245)-1)*100+1, 100))</f>
        <v/>
      </c>
      <c r="AS245" t="str">
        <f>TRIM(MID(SUBSTITUTE($F245, ",", REPT(" ", 100)), (COLUMNS($AH$2:AS245)-1)*100+1, 100))</f>
        <v/>
      </c>
      <c r="AT245" t="str">
        <f>TRIM(MID(SUBSTITUTE($F245, ",", REPT(" ", 100)), (COLUMNS($AH$2:AT245)-1)*100+1, 100))</f>
        <v/>
      </c>
      <c r="AU245" t="str">
        <f>TRIM(MID(SUBSTITUTE($F245, ",", REPT(" ", 100)), (COLUMNS($AH$2:AU245)-1)*100+1, 100))</f>
        <v/>
      </c>
      <c r="AV245" t="str">
        <f>TRIM(MID(SUBSTITUTE($F245, ",", REPT(" ", 100)), (COLUMNS($AH$2:AV245)-1)*100+1, 100))</f>
        <v/>
      </c>
      <c r="AW245" t="str">
        <f>TRIM(MID(SUBSTITUTE($F245, ",", REPT(" ", 100)), (COLUMNS($AH$2:AW245)-1)*100+1, 100))</f>
        <v/>
      </c>
      <c r="AX245" t="str">
        <f>TRIM(MID(SUBSTITUTE($F245, ",", REPT(" ", 100)), (COLUMNS($AH$2:AX245)-1)*100+1, 100))</f>
        <v/>
      </c>
      <c r="AY245" t="str">
        <f>TRIM(MID(SUBSTITUTE($F245, ",", REPT(" ", 100)), (COLUMNS($AH$2:AY245)-1)*100+1, 100))</f>
        <v/>
      </c>
      <c r="AZ245" t="str">
        <f>TRIM(MID(SUBSTITUTE($F245, ",", REPT(" ", 100)), (COLUMNS($AH$2:AZ245)-1)*100+1, 100))</f>
        <v/>
      </c>
      <c r="BA245" t="str">
        <f>TRIM(MID(SUBSTITUTE($F245, ",", REPT(" ", 100)), (COLUMNS($AH$2:BA245)-1)*100+1, 100))</f>
        <v/>
      </c>
    </row>
    <row r="246" spans="1:53" x14ac:dyDescent="0.5">
      <c r="A246" s="1">
        <v>45902</v>
      </c>
      <c r="B246" s="2">
        <v>5</v>
      </c>
      <c r="C246" s="272"/>
      <c r="D246" s="295"/>
      <c r="E246" s="58">
        <v>1</v>
      </c>
      <c r="F246" s="38" t="s">
        <v>176</v>
      </c>
      <c r="AJ246" t="str">
        <f>TRIM(MID(SUBSTITUTE($F246, ",", REPT(" ", 100)), (COLUMNS($AH$2:AJ246)-1)*100+1, 100))</f>
        <v/>
      </c>
      <c r="AK246" s="1">
        <v>45902</v>
      </c>
      <c r="AL246" s="2">
        <v>5</v>
      </c>
      <c r="AM246" s="2">
        <v>4</v>
      </c>
      <c r="AO246" t="str">
        <f>TRIM(MID(SUBSTITUTE($F246, ",", REPT(" ", 100)), (COLUMNS($AH$2:AO246)-1)*100+1, 100))</f>
        <v/>
      </c>
      <c r="AP246" t="str">
        <f>TRIM(MID(SUBSTITUTE($F246, ",", REPT(" ", 100)), (COLUMNS($AH$2:AP246)-1)*100+1, 100))</f>
        <v/>
      </c>
      <c r="AQ246" t="str">
        <f>TRIM(MID(SUBSTITUTE($F246, ",", REPT(" ", 100)), (COLUMNS($AH$2:AQ246)-1)*100+1, 100))</f>
        <v/>
      </c>
      <c r="AR246" t="str">
        <f>TRIM(MID(SUBSTITUTE($F246, ",", REPT(" ", 100)), (COLUMNS($AH$2:AR246)-1)*100+1, 100))</f>
        <v/>
      </c>
      <c r="AS246" t="str">
        <f>TRIM(MID(SUBSTITUTE($F246, ",", REPT(" ", 100)), (COLUMNS($AH$2:AS246)-1)*100+1, 100))</f>
        <v/>
      </c>
      <c r="AT246" t="str">
        <f>TRIM(MID(SUBSTITUTE($F246, ",", REPT(" ", 100)), (COLUMNS($AH$2:AT246)-1)*100+1, 100))</f>
        <v/>
      </c>
      <c r="AU246" t="str">
        <f>TRIM(MID(SUBSTITUTE($F246, ",", REPT(" ", 100)), (COLUMNS($AH$2:AU246)-1)*100+1, 100))</f>
        <v/>
      </c>
      <c r="AV246" t="str">
        <f>TRIM(MID(SUBSTITUTE($F246, ",", REPT(" ", 100)), (COLUMNS($AH$2:AV246)-1)*100+1, 100))</f>
        <v/>
      </c>
      <c r="AW246" t="str">
        <f>TRIM(MID(SUBSTITUTE($F246, ",", REPT(" ", 100)), (COLUMNS($AH$2:AW246)-1)*100+1, 100))</f>
        <v/>
      </c>
      <c r="AX246" t="str">
        <f>TRIM(MID(SUBSTITUTE($F246, ",", REPT(" ", 100)), (COLUMNS($AH$2:AX246)-1)*100+1, 100))</f>
        <v/>
      </c>
      <c r="AY246" t="str">
        <f>TRIM(MID(SUBSTITUTE($F246, ",", REPT(" ", 100)), (COLUMNS($AH$2:AY246)-1)*100+1, 100))</f>
        <v/>
      </c>
      <c r="AZ246" t="str">
        <f>TRIM(MID(SUBSTITUTE($F246, ",", REPT(" ", 100)), (COLUMNS($AH$2:AZ246)-1)*100+1, 100))</f>
        <v/>
      </c>
      <c r="BA246" t="str">
        <f>TRIM(MID(SUBSTITUTE($F246, ",", REPT(" ", 100)), (COLUMNS($AH$2:BA246)-1)*100+1, 100))</f>
        <v/>
      </c>
    </row>
    <row r="247" spans="1:53" x14ac:dyDescent="0.5">
      <c r="A247" s="1">
        <v>45903</v>
      </c>
      <c r="B247" s="2">
        <v>4.5</v>
      </c>
      <c r="C247" s="272"/>
      <c r="D247" s="295"/>
      <c r="E247" s="58">
        <v>1</v>
      </c>
      <c r="F247" s="38" t="s">
        <v>176</v>
      </c>
      <c r="AJ247" t="str">
        <f>TRIM(MID(SUBSTITUTE($F247, ",", REPT(" ", 100)), (COLUMNS($AH$2:AJ247)-1)*100+1, 100))</f>
        <v/>
      </c>
      <c r="AK247" s="1">
        <v>45903</v>
      </c>
      <c r="AL247" s="2">
        <v>4.5</v>
      </c>
      <c r="AM247" s="2">
        <v>6</v>
      </c>
      <c r="AO247" t="str">
        <f>TRIM(MID(SUBSTITUTE($F247, ",", REPT(" ", 100)), (COLUMNS($AH$2:AO247)-1)*100+1, 100))</f>
        <v/>
      </c>
      <c r="AP247" t="str">
        <f>TRIM(MID(SUBSTITUTE($F247, ",", REPT(" ", 100)), (COLUMNS($AH$2:AP247)-1)*100+1, 100))</f>
        <v/>
      </c>
      <c r="AQ247" t="str">
        <f>TRIM(MID(SUBSTITUTE($F247, ",", REPT(" ", 100)), (COLUMNS($AH$2:AQ247)-1)*100+1, 100))</f>
        <v/>
      </c>
      <c r="AR247" t="str">
        <f>TRIM(MID(SUBSTITUTE($F247, ",", REPT(" ", 100)), (COLUMNS($AH$2:AR247)-1)*100+1, 100))</f>
        <v/>
      </c>
      <c r="AS247" t="str">
        <f>TRIM(MID(SUBSTITUTE($F247, ",", REPT(" ", 100)), (COLUMNS($AH$2:AS247)-1)*100+1, 100))</f>
        <v/>
      </c>
      <c r="AT247" t="str">
        <f>TRIM(MID(SUBSTITUTE($F247, ",", REPT(" ", 100)), (COLUMNS($AH$2:AT247)-1)*100+1, 100))</f>
        <v/>
      </c>
      <c r="AU247" t="str">
        <f>TRIM(MID(SUBSTITUTE($F247, ",", REPT(" ", 100)), (COLUMNS($AH$2:AU247)-1)*100+1, 100))</f>
        <v/>
      </c>
      <c r="AV247" t="str">
        <f>TRIM(MID(SUBSTITUTE($F247, ",", REPT(" ", 100)), (COLUMNS($AH$2:AV247)-1)*100+1, 100))</f>
        <v/>
      </c>
      <c r="AW247" t="str">
        <f>TRIM(MID(SUBSTITUTE($F247, ",", REPT(" ", 100)), (COLUMNS($AH$2:AW247)-1)*100+1, 100))</f>
        <v/>
      </c>
      <c r="AX247" t="str">
        <f>TRIM(MID(SUBSTITUTE($F247, ",", REPT(" ", 100)), (COLUMNS($AH$2:AX247)-1)*100+1, 100))</f>
        <v/>
      </c>
      <c r="AY247" t="str">
        <f>TRIM(MID(SUBSTITUTE($F247, ",", REPT(" ", 100)), (COLUMNS($AH$2:AY247)-1)*100+1, 100))</f>
        <v/>
      </c>
      <c r="AZ247" t="str">
        <f>TRIM(MID(SUBSTITUTE($F247, ",", REPT(" ", 100)), (COLUMNS($AH$2:AZ247)-1)*100+1, 100))</f>
        <v/>
      </c>
      <c r="BA247" t="str">
        <f>TRIM(MID(SUBSTITUTE($F247, ",", REPT(" ", 100)), (COLUMNS($AH$2:BA247)-1)*100+1, 100))</f>
        <v/>
      </c>
    </row>
    <row r="248" spans="1:53" x14ac:dyDescent="0.5">
      <c r="A248" s="1">
        <v>45904</v>
      </c>
      <c r="B248" s="2">
        <v>5</v>
      </c>
      <c r="C248" s="272"/>
      <c r="D248" s="295"/>
      <c r="E248" s="58">
        <v>0</v>
      </c>
      <c r="F248" s="38" t="s">
        <v>176</v>
      </c>
      <c r="AJ248" t="str">
        <f>TRIM(MID(SUBSTITUTE($F248, ",", REPT(" ", 100)), (COLUMNS($AH$2:AJ248)-1)*100+1, 100))</f>
        <v/>
      </c>
      <c r="AK248" s="1">
        <v>45904</v>
      </c>
      <c r="AL248" s="2">
        <v>5</v>
      </c>
      <c r="AM248" s="2">
        <v>4</v>
      </c>
      <c r="AO248" t="str">
        <f>TRIM(MID(SUBSTITUTE($F248, ",", REPT(" ", 100)), (COLUMNS($AH$2:AO248)-1)*100+1, 100))</f>
        <v/>
      </c>
      <c r="AP248" t="str">
        <f>TRIM(MID(SUBSTITUTE($F248, ",", REPT(" ", 100)), (COLUMNS($AH$2:AP248)-1)*100+1, 100))</f>
        <v/>
      </c>
      <c r="AQ248" t="str">
        <f>TRIM(MID(SUBSTITUTE($F248, ",", REPT(" ", 100)), (COLUMNS($AH$2:AQ248)-1)*100+1, 100))</f>
        <v/>
      </c>
      <c r="AR248" t="str">
        <f>TRIM(MID(SUBSTITUTE($F248, ",", REPT(" ", 100)), (COLUMNS($AH$2:AR248)-1)*100+1, 100))</f>
        <v/>
      </c>
      <c r="AS248" t="str">
        <f>TRIM(MID(SUBSTITUTE($F248, ",", REPT(" ", 100)), (COLUMNS($AH$2:AS248)-1)*100+1, 100))</f>
        <v/>
      </c>
      <c r="AT248" t="str">
        <f>TRIM(MID(SUBSTITUTE($F248, ",", REPT(" ", 100)), (COLUMNS($AH$2:AT248)-1)*100+1, 100))</f>
        <v/>
      </c>
      <c r="AU248" t="str">
        <f>TRIM(MID(SUBSTITUTE($F248, ",", REPT(" ", 100)), (COLUMNS($AH$2:AU248)-1)*100+1, 100))</f>
        <v/>
      </c>
      <c r="AV248" t="str">
        <f>TRIM(MID(SUBSTITUTE($F248, ",", REPT(" ", 100)), (COLUMNS($AH$2:AV248)-1)*100+1, 100))</f>
        <v/>
      </c>
      <c r="AW248" t="str">
        <f>TRIM(MID(SUBSTITUTE($F248, ",", REPT(" ", 100)), (COLUMNS($AH$2:AW248)-1)*100+1, 100))</f>
        <v/>
      </c>
      <c r="AX248" t="str">
        <f>TRIM(MID(SUBSTITUTE($F248, ",", REPT(" ", 100)), (COLUMNS($AH$2:AX248)-1)*100+1, 100))</f>
        <v/>
      </c>
      <c r="AY248" t="str">
        <f>TRIM(MID(SUBSTITUTE($F248, ",", REPT(" ", 100)), (COLUMNS($AH$2:AY248)-1)*100+1, 100))</f>
        <v/>
      </c>
      <c r="AZ248" t="str">
        <f>TRIM(MID(SUBSTITUTE($F248, ",", REPT(" ", 100)), (COLUMNS($AH$2:AZ248)-1)*100+1, 100))</f>
        <v/>
      </c>
      <c r="BA248" t="str">
        <f>TRIM(MID(SUBSTITUTE($F248, ",", REPT(" ", 100)), (COLUMNS($AH$2:BA248)-1)*100+1, 100))</f>
        <v/>
      </c>
    </row>
    <row r="249" spans="1:53" x14ac:dyDescent="0.5">
      <c r="A249" s="1">
        <v>45905</v>
      </c>
      <c r="B249" s="2">
        <v>6</v>
      </c>
      <c r="C249" s="272"/>
      <c r="D249" s="295"/>
      <c r="E249" s="58">
        <v>0</v>
      </c>
      <c r="F249" s="38" t="s">
        <v>176</v>
      </c>
      <c r="AJ249" t="str">
        <f>TRIM(MID(SUBSTITUTE($F249, ",", REPT(" ", 100)), (COLUMNS($AH$2:AJ249)-1)*100+1, 100))</f>
        <v/>
      </c>
      <c r="AK249" s="1">
        <v>45905</v>
      </c>
      <c r="AL249" s="2">
        <v>6</v>
      </c>
      <c r="AM249" s="2">
        <v>6</v>
      </c>
      <c r="AO249" t="str">
        <f>TRIM(MID(SUBSTITUTE($F249, ",", REPT(" ", 100)), (COLUMNS($AH$2:AO249)-1)*100+1, 100))</f>
        <v/>
      </c>
      <c r="AP249" t="str">
        <f>TRIM(MID(SUBSTITUTE($F249, ",", REPT(" ", 100)), (COLUMNS($AH$2:AP249)-1)*100+1, 100))</f>
        <v/>
      </c>
      <c r="AQ249" t="str">
        <f>TRIM(MID(SUBSTITUTE($F249, ",", REPT(" ", 100)), (COLUMNS($AH$2:AQ249)-1)*100+1, 100))</f>
        <v/>
      </c>
      <c r="AR249" t="str">
        <f>TRIM(MID(SUBSTITUTE($F249, ",", REPT(" ", 100)), (COLUMNS($AH$2:AR249)-1)*100+1, 100))</f>
        <v/>
      </c>
      <c r="AS249" t="str">
        <f>TRIM(MID(SUBSTITUTE($F249, ",", REPT(" ", 100)), (COLUMNS($AH$2:AS249)-1)*100+1, 100))</f>
        <v/>
      </c>
      <c r="AT249" t="str">
        <f>TRIM(MID(SUBSTITUTE($F249, ",", REPT(" ", 100)), (COLUMNS($AH$2:AT249)-1)*100+1, 100))</f>
        <v/>
      </c>
      <c r="AU249" t="str">
        <f>TRIM(MID(SUBSTITUTE($F249, ",", REPT(" ", 100)), (COLUMNS($AH$2:AU249)-1)*100+1, 100))</f>
        <v/>
      </c>
      <c r="AV249" t="str">
        <f>TRIM(MID(SUBSTITUTE($F249, ",", REPT(" ", 100)), (COLUMNS($AH$2:AV249)-1)*100+1, 100))</f>
        <v/>
      </c>
      <c r="AW249" t="str">
        <f>TRIM(MID(SUBSTITUTE($F249, ",", REPT(" ", 100)), (COLUMNS($AH$2:AW249)-1)*100+1, 100))</f>
        <v/>
      </c>
      <c r="AX249" t="str">
        <f>TRIM(MID(SUBSTITUTE($F249, ",", REPT(" ", 100)), (COLUMNS($AH$2:AX249)-1)*100+1, 100))</f>
        <v/>
      </c>
      <c r="AY249" t="str">
        <f>TRIM(MID(SUBSTITUTE($F249, ",", REPT(" ", 100)), (COLUMNS($AH$2:AY249)-1)*100+1, 100))</f>
        <v/>
      </c>
      <c r="AZ249" t="str">
        <f>TRIM(MID(SUBSTITUTE($F249, ",", REPT(" ", 100)), (COLUMNS($AH$2:AZ249)-1)*100+1, 100))</f>
        <v/>
      </c>
      <c r="BA249" t="str">
        <f>TRIM(MID(SUBSTITUTE($F249, ",", REPT(" ", 100)), (COLUMNS($AH$2:BA249)-1)*100+1, 100))</f>
        <v/>
      </c>
    </row>
    <row r="250" spans="1:53" x14ac:dyDescent="0.5">
      <c r="A250" s="1">
        <v>45906</v>
      </c>
      <c r="B250" s="2">
        <v>7</v>
      </c>
      <c r="C250" s="272"/>
      <c r="D250" s="295"/>
      <c r="E250" s="58">
        <v>1</v>
      </c>
      <c r="F250" s="38" t="s">
        <v>176</v>
      </c>
      <c r="AJ250" t="str">
        <f>TRIM(MID(SUBSTITUTE($F250, ",", REPT(" ", 100)), (COLUMNS($AH$2:AJ250)-1)*100+1, 100))</f>
        <v/>
      </c>
      <c r="AK250" s="1">
        <v>45906</v>
      </c>
      <c r="AL250" s="2">
        <v>7</v>
      </c>
      <c r="AM250" s="2">
        <v>4</v>
      </c>
      <c r="AO250" t="str">
        <f>TRIM(MID(SUBSTITUTE($F250, ",", REPT(" ", 100)), (COLUMNS($AH$2:AO250)-1)*100+1, 100))</f>
        <v/>
      </c>
      <c r="AP250" t="str">
        <f>TRIM(MID(SUBSTITUTE($F250, ",", REPT(" ", 100)), (COLUMNS($AH$2:AP250)-1)*100+1, 100))</f>
        <v/>
      </c>
      <c r="AQ250" t="str">
        <f>TRIM(MID(SUBSTITUTE($F250, ",", REPT(" ", 100)), (COLUMNS($AH$2:AQ250)-1)*100+1, 100))</f>
        <v/>
      </c>
      <c r="AR250" t="str">
        <f>TRIM(MID(SUBSTITUTE($F250, ",", REPT(" ", 100)), (COLUMNS($AH$2:AR250)-1)*100+1, 100))</f>
        <v/>
      </c>
      <c r="AS250" t="str">
        <f>TRIM(MID(SUBSTITUTE($F250, ",", REPT(" ", 100)), (COLUMNS($AH$2:AS250)-1)*100+1, 100))</f>
        <v/>
      </c>
      <c r="AT250" t="str">
        <f>TRIM(MID(SUBSTITUTE($F250, ",", REPT(" ", 100)), (COLUMNS($AH$2:AT250)-1)*100+1, 100))</f>
        <v/>
      </c>
      <c r="AU250" t="str">
        <f>TRIM(MID(SUBSTITUTE($F250, ",", REPT(" ", 100)), (COLUMNS($AH$2:AU250)-1)*100+1, 100))</f>
        <v/>
      </c>
      <c r="AV250" t="str">
        <f>TRIM(MID(SUBSTITUTE($F250, ",", REPT(" ", 100)), (COLUMNS($AH$2:AV250)-1)*100+1, 100))</f>
        <v/>
      </c>
      <c r="AW250" t="str">
        <f>TRIM(MID(SUBSTITUTE($F250, ",", REPT(" ", 100)), (COLUMNS($AH$2:AW250)-1)*100+1, 100))</f>
        <v/>
      </c>
      <c r="AX250" t="str">
        <f>TRIM(MID(SUBSTITUTE($F250, ",", REPT(" ", 100)), (COLUMNS($AH$2:AX250)-1)*100+1, 100))</f>
        <v/>
      </c>
      <c r="AY250" t="str">
        <f>TRIM(MID(SUBSTITUTE($F250, ",", REPT(" ", 100)), (COLUMNS($AH$2:AY250)-1)*100+1, 100))</f>
        <v/>
      </c>
      <c r="AZ250" t="str">
        <f>TRIM(MID(SUBSTITUTE($F250, ",", REPT(" ", 100)), (COLUMNS($AH$2:AZ250)-1)*100+1, 100))</f>
        <v/>
      </c>
      <c r="BA250" t="str">
        <f>TRIM(MID(SUBSTITUTE($F250, ",", REPT(" ", 100)), (COLUMNS($AH$2:BA250)-1)*100+1, 100))</f>
        <v/>
      </c>
    </row>
    <row r="251" spans="1:53" x14ac:dyDescent="0.5">
      <c r="A251" s="1">
        <v>45907</v>
      </c>
      <c r="B251" s="2">
        <v>7</v>
      </c>
      <c r="C251" s="272"/>
      <c r="D251" s="295"/>
      <c r="E251" s="58">
        <v>1</v>
      </c>
      <c r="F251" s="38" t="s">
        <v>176</v>
      </c>
      <c r="AJ251" t="str">
        <f>TRIM(MID(SUBSTITUTE($F251, ",", REPT(" ", 100)), (COLUMNS($AH$2:AJ251)-1)*100+1, 100))</f>
        <v/>
      </c>
      <c r="AK251" s="1">
        <v>45907</v>
      </c>
      <c r="AL251" s="2">
        <v>7</v>
      </c>
      <c r="AM251" s="2">
        <v>4</v>
      </c>
      <c r="AO251" t="str">
        <f>TRIM(MID(SUBSTITUTE($F251, ",", REPT(" ", 100)), (COLUMNS($AH$2:AO251)-1)*100+1, 100))</f>
        <v/>
      </c>
      <c r="AP251" t="str">
        <f>TRIM(MID(SUBSTITUTE($F251, ",", REPT(" ", 100)), (COLUMNS($AH$2:AP251)-1)*100+1, 100))</f>
        <v/>
      </c>
      <c r="AQ251" t="str">
        <f>TRIM(MID(SUBSTITUTE($F251, ",", REPT(" ", 100)), (COLUMNS($AH$2:AQ251)-1)*100+1, 100))</f>
        <v/>
      </c>
      <c r="AR251" t="str">
        <f>TRIM(MID(SUBSTITUTE($F251, ",", REPT(" ", 100)), (COLUMNS($AH$2:AR251)-1)*100+1, 100))</f>
        <v/>
      </c>
      <c r="AS251" t="str">
        <f>TRIM(MID(SUBSTITUTE($F251, ",", REPT(" ", 100)), (COLUMNS($AH$2:AS251)-1)*100+1, 100))</f>
        <v/>
      </c>
      <c r="AT251" t="str">
        <f>TRIM(MID(SUBSTITUTE($F251, ",", REPT(" ", 100)), (COLUMNS($AH$2:AT251)-1)*100+1, 100))</f>
        <v/>
      </c>
      <c r="AU251" t="str">
        <f>TRIM(MID(SUBSTITUTE($F251, ",", REPT(" ", 100)), (COLUMNS($AH$2:AU251)-1)*100+1, 100))</f>
        <v/>
      </c>
      <c r="AV251" t="str">
        <f>TRIM(MID(SUBSTITUTE($F251, ",", REPT(" ", 100)), (COLUMNS($AH$2:AV251)-1)*100+1, 100))</f>
        <v/>
      </c>
      <c r="AW251" t="str">
        <f>TRIM(MID(SUBSTITUTE($F251, ",", REPT(" ", 100)), (COLUMNS($AH$2:AW251)-1)*100+1, 100))</f>
        <v/>
      </c>
      <c r="AX251" t="str">
        <f>TRIM(MID(SUBSTITUTE($F251, ",", REPT(" ", 100)), (COLUMNS($AH$2:AX251)-1)*100+1, 100))</f>
        <v/>
      </c>
      <c r="AY251" t="str">
        <f>TRIM(MID(SUBSTITUTE($F251, ",", REPT(" ", 100)), (COLUMNS($AH$2:AY251)-1)*100+1, 100))</f>
        <v/>
      </c>
      <c r="AZ251" t="str">
        <f>TRIM(MID(SUBSTITUTE($F251, ",", REPT(" ", 100)), (COLUMNS($AH$2:AZ251)-1)*100+1, 100))</f>
        <v/>
      </c>
      <c r="BA251" t="str">
        <f>TRIM(MID(SUBSTITUTE($F251, ",", REPT(" ", 100)), (COLUMNS($AH$2:BA251)-1)*100+1, 100))</f>
        <v/>
      </c>
    </row>
    <row r="252" spans="1:53" x14ac:dyDescent="0.5">
      <c r="A252" s="1">
        <v>45908</v>
      </c>
      <c r="B252" s="2">
        <v>6</v>
      </c>
      <c r="C252" s="272"/>
      <c r="D252" s="295"/>
      <c r="E252" s="58">
        <v>0</v>
      </c>
      <c r="F252" s="38" t="s">
        <v>176</v>
      </c>
      <c r="AJ252" t="str">
        <f>TRIM(MID(SUBSTITUTE($F252, ",", REPT(" ", 100)), (COLUMNS($AH$2:AJ252)-1)*100+1, 100))</f>
        <v/>
      </c>
      <c r="AK252" s="1">
        <v>45908</v>
      </c>
      <c r="AL252" s="2">
        <v>6</v>
      </c>
      <c r="AM252" s="2">
        <v>6</v>
      </c>
      <c r="AO252" t="str">
        <f>TRIM(MID(SUBSTITUTE($F252, ",", REPT(" ", 100)), (COLUMNS($AH$2:AO252)-1)*100+1, 100))</f>
        <v/>
      </c>
      <c r="AP252" t="str">
        <f>TRIM(MID(SUBSTITUTE($F252, ",", REPT(" ", 100)), (COLUMNS($AH$2:AP252)-1)*100+1, 100))</f>
        <v/>
      </c>
      <c r="AQ252" t="str">
        <f>TRIM(MID(SUBSTITUTE($F252, ",", REPT(" ", 100)), (COLUMNS($AH$2:AQ252)-1)*100+1, 100))</f>
        <v/>
      </c>
      <c r="AR252" t="str">
        <f>TRIM(MID(SUBSTITUTE($F252, ",", REPT(" ", 100)), (COLUMNS($AH$2:AR252)-1)*100+1, 100))</f>
        <v/>
      </c>
      <c r="AS252" t="str">
        <f>TRIM(MID(SUBSTITUTE($F252, ",", REPT(" ", 100)), (COLUMNS($AH$2:AS252)-1)*100+1, 100))</f>
        <v/>
      </c>
      <c r="AT252" t="str">
        <f>TRIM(MID(SUBSTITUTE($F252, ",", REPT(" ", 100)), (COLUMNS($AH$2:AT252)-1)*100+1, 100))</f>
        <v/>
      </c>
      <c r="AU252" t="str">
        <f>TRIM(MID(SUBSTITUTE($F252, ",", REPT(" ", 100)), (COLUMNS($AH$2:AU252)-1)*100+1, 100))</f>
        <v/>
      </c>
      <c r="AV252" t="str">
        <f>TRIM(MID(SUBSTITUTE($F252, ",", REPT(" ", 100)), (COLUMNS($AH$2:AV252)-1)*100+1, 100))</f>
        <v/>
      </c>
      <c r="AW252" t="str">
        <f>TRIM(MID(SUBSTITUTE($F252, ",", REPT(" ", 100)), (COLUMNS($AH$2:AW252)-1)*100+1, 100))</f>
        <v/>
      </c>
      <c r="AX252" t="str">
        <f>TRIM(MID(SUBSTITUTE($F252, ",", REPT(" ", 100)), (COLUMNS($AH$2:AX252)-1)*100+1, 100))</f>
        <v/>
      </c>
      <c r="AY252" t="str">
        <f>TRIM(MID(SUBSTITUTE($F252, ",", REPT(" ", 100)), (COLUMNS($AH$2:AY252)-1)*100+1, 100))</f>
        <v/>
      </c>
      <c r="AZ252" t="str">
        <f>TRIM(MID(SUBSTITUTE($F252, ",", REPT(" ", 100)), (COLUMNS($AH$2:AZ252)-1)*100+1, 100))</f>
        <v/>
      </c>
      <c r="BA252" t="str">
        <f>TRIM(MID(SUBSTITUTE($F252, ",", REPT(" ", 100)), (COLUMNS($AH$2:BA252)-1)*100+1, 100))</f>
        <v/>
      </c>
    </row>
    <row r="253" spans="1:53" x14ac:dyDescent="0.5">
      <c r="A253" s="1">
        <v>45909</v>
      </c>
      <c r="B253" s="2">
        <v>3</v>
      </c>
      <c r="C253" s="272"/>
      <c r="D253" s="295"/>
      <c r="E253" s="58">
        <v>1</v>
      </c>
      <c r="F253" s="38" t="s">
        <v>176</v>
      </c>
      <c r="AJ253" t="str">
        <f>TRIM(MID(SUBSTITUTE($F253, ",", REPT(" ", 100)), (COLUMNS($AH$2:AJ253)-1)*100+1, 100))</f>
        <v/>
      </c>
      <c r="AK253" s="1">
        <v>45909</v>
      </c>
      <c r="AL253" s="2">
        <v>3</v>
      </c>
      <c r="AM253" s="2">
        <v>4</v>
      </c>
      <c r="AO253" t="str">
        <f>TRIM(MID(SUBSTITUTE($F253, ",", REPT(" ", 100)), (COLUMNS($AH$2:AO253)-1)*100+1, 100))</f>
        <v/>
      </c>
      <c r="AP253" t="str">
        <f>TRIM(MID(SUBSTITUTE($F253, ",", REPT(" ", 100)), (COLUMNS($AH$2:AP253)-1)*100+1, 100))</f>
        <v/>
      </c>
      <c r="AQ253" t="str">
        <f>TRIM(MID(SUBSTITUTE($F253, ",", REPT(" ", 100)), (COLUMNS($AH$2:AQ253)-1)*100+1, 100))</f>
        <v/>
      </c>
      <c r="AR253" t="str">
        <f>TRIM(MID(SUBSTITUTE($F253, ",", REPT(" ", 100)), (COLUMNS($AH$2:AR253)-1)*100+1, 100))</f>
        <v/>
      </c>
      <c r="AS253" t="str">
        <f>TRIM(MID(SUBSTITUTE($F253, ",", REPT(" ", 100)), (COLUMNS($AH$2:AS253)-1)*100+1, 100))</f>
        <v/>
      </c>
      <c r="AT253" t="str">
        <f>TRIM(MID(SUBSTITUTE($F253, ",", REPT(" ", 100)), (COLUMNS($AH$2:AT253)-1)*100+1, 100))</f>
        <v/>
      </c>
      <c r="AU253" t="str">
        <f>TRIM(MID(SUBSTITUTE($F253, ",", REPT(" ", 100)), (COLUMNS($AH$2:AU253)-1)*100+1, 100))</f>
        <v/>
      </c>
      <c r="AV253" t="str">
        <f>TRIM(MID(SUBSTITUTE($F253, ",", REPT(" ", 100)), (COLUMNS($AH$2:AV253)-1)*100+1, 100))</f>
        <v/>
      </c>
      <c r="AW253" t="str">
        <f>TRIM(MID(SUBSTITUTE($F253, ",", REPT(" ", 100)), (COLUMNS($AH$2:AW253)-1)*100+1, 100))</f>
        <v/>
      </c>
      <c r="AX253" t="str">
        <f>TRIM(MID(SUBSTITUTE($F253, ",", REPT(" ", 100)), (COLUMNS($AH$2:AX253)-1)*100+1, 100))</f>
        <v/>
      </c>
      <c r="AY253" t="str">
        <f>TRIM(MID(SUBSTITUTE($F253, ",", REPT(" ", 100)), (COLUMNS($AH$2:AY253)-1)*100+1, 100))</f>
        <v/>
      </c>
      <c r="AZ253" t="str">
        <f>TRIM(MID(SUBSTITUTE($F253, ",", REPT(" ", 100)), (COLUMNS($AH$2:AZ253)-1)*100+1, 100))</f>
        <v/>
      </c>
      <c r="BA253" t="str">
        <f>TRIM(MID(SUBSTITUTE($F253, ",", REPT(" ", 100)), (COLUMNS($AH$2:BA253)-1)*100+1, 100))</f>
        <v/>
      </c>
    </row>
    <row r="254" spans="1:53" x14ac:dyDescent="0.5">
      <c r="A254" s="1">
        <v>45910</v>
      </c>
      <c r="B254" s="2">
        <v>5</v>
      </c>
      <c r="C254" s="272"/>
      <c r="D254" s="295"/>
      <c r="E254" s="58">
        <v>1</v>
      </c>
      <c r="F254" s="38" t="s">
        <v>176</v>
      </c>
      <c r="AJ254" t="str">
        <f>TRIM(MID(SUBSTITUTE($F254, ",", REPT(" ", 100)), (COLUMNS($AH$2:AJ254)-1)*100+1, 100))</f>
        <v/>
      </c>
      <c r="AK254" s="1">
        <v>45910</v>
      </c>
      <c r="AL254" s="2">
        <v>5</v>
      </c>
      <c r="AM254" s="2">
        <v>4</v>
      </c>
      <c r="AO254" t="str">
        <f>TRIM(MID(SUBSTITUTE($F254, ",", REPT(" ", 100)), (COLUMNS($AH$2:AO254)-1)*100+1, 100))</f>
        <v/>
      </c>
      <c r="AP254" t="str">
        <f>TRIM(MID(SUBSTITUTE($F254, ",", REPT(" ", 100)), (COLUMNS($AH$2:AP254)-1)*100+1, 100))</f>
        <v/>
      </c>
      <c r="AQ254" t="str">
        <f>TRIM(MID(SUBSTITUTE($F254, ",", REPT(" ", 100)), (COLUMNS($AH$2:AQ254)-1)*100+1, 100))</f>
        <v/>
      </c>
      <c r="AR254" t="str">
        <f>TRIM(MID(SUBSTITUTE($F254, ",", REPT(" ", 100)), (COLUMNS($AH$2:AR254)-1)*100+1, 100))</f>
        <v/>
      </c>
      <c r="AS254" t="str">
        <f>TRIM(MID(SUBSTITUTE($F254, ",", REPT(" ", 100)), (COLUMNS($AH$2:AS254)-1)*100+1, 100))</f>
        <v/>
      </c>
      <c r="AT254" t="str">
        <f>TRIM(MID(SUBSTITUTE($F254, ",", REPT(" ", 100)), (COLUMNS($AH$2:AT254)-1)*100+1, 100))</f>
        <v/>
      </c>
      <c r="AU254" t="str">
        <f>TRIM(MID(SUBSTITUTE($F254, ",", REPT(" ", 100)), (COLUMNS($AH$2:AU254)-1)*100+1, 100))</f>
        <v/>
      </c>
      <c r="AV254" t="str">
        <f>TRIM(MID(SUBSTITUTE($F254, ",", REPT(" ", 100)), (COLUMNS($AH$2:AV254)-1)*100+1, 100))</f>
        <v/>
      </c>
      <c r="AW254" t="str">
        <f>TRIM(MID(SUBSTITUTE($F254, ",", REPT(" ", 100)), (COLUMNS($AH$2:AW254)-1)*100+1, 100))</f>
        <v/>
      </c>
      <c r="AX254" t="str">
        <f>TRIM(MID(SUBSTITUTE($F254, ",", REPT(" ", 100)), (COLUMNS($AH$2:AX254)-1)*100+1, 100))</f>
        <v/>
      </c>
      <c r="AY254" t="str">
        <f>TRIM(MID(SUBSTITUTE($F254, ",", REPT(" ", 100)), (COLUMNS($AH$2:AY254)-1)*100+1, 100))</f>
        <v/>
      </c>
      <c r="AZ254" t="str">
        <f>TRIM(MID(SUBSTITUTE($F254, ",", REPT(" ", 100)), (COLUMNS($AH$2:AZ254)-1)*100+1, 100))</f>
        <v/>
      </c>
      <c r="BA254" t="str">
        <f>TRIM(MID(SUBSTITUTE($F254, ",", REPT(" ", 100)), (COLUMNS($AH$2:BA254)-1)*100+1, 100))</f>
        <v/>
      </c>
    </row>
    <row r="255" spans="1:53" x14ac:dyDescent="0.5">
      <c r="A255" s="1">
        <v>45911</v>
      </c>
      <c r="B255" s="2">
        <v>4</v>
      </c>
      <c r="C255" s="272"/>
      <c r="D255" s="295"/>
      <c r="E255" s="58">
        <v>0</v>
      </c>
      <c r="F255" s="38" t="s">
        <v>176</v>
      </c>
      <c r="AJ255" t="str">
        <f>TRIM(MID(SUBSTITUTE($F255, ",", REPT(" ", 100)), (COLUMNS($AH$2:AJ255)-1)*100+1, 100))</f>
        <v/>
      </c>
      <c r="AK255" s="1">
        <v>45911</v>
      </c>
      <c r="AL255" s="2">
        <v>4</v>
      </c>
      <c r="AM255" s="2">
        <v>6</v>
      </c>
      <c r="AO255" t="str">
        <f>TRIM(MID(SUBSTITUTE($F255, ",", REPT(" ", 100)), (COLUMNS($AH$2:AO255)-1)*100+1, 100))</f>
        <v/>
      </c>
      <c r="AP255" t="str">
        <f>TRIM(MID(SUBSTITUTE($F255, ",", REPT(" ", 100)), (COLUMNS($AH$2:AP255)-1)*100+1, 100))</f>
        <v/>
      </c>
      <c r="AQ255" t="str">
        <f>TRIM(MID(SUBSTITUTE($F255, ",", REPT(" ", 100)), (COLUMNS($AH$2:AQ255)-1)*100+1, 100))</f>
        <v/>
      </c>
      <c r="AR255" t="str">
        <f>TRIM(MID(SUBSTITUTE($F255, ",", REPT(" ", 100)), (COLUMNS($AH$2:AR255)-1)*100+1, 100))</f>
        <v/>
      </c>
      <c r="AS255" t="str">
        <f>TRIM(MID(SUBSTITUTE($F255, ",", REPT(" ", 100)), (COLUMNS($AH$2:AS255)-1)*100+1, 100))</f>
        <v/>
      </c>
      <c r="AT255" t="str">
        <f>TRIM(MID(SUBSTITUTE($F255, ",", REPT(" ", 100)), (COLUMNS($AH$2:AT255)-1)*100+1, 100))</f>
        <v/>
      </c>
      <c r="AU255" t="str">
        <f>TRIM(MID(SUBSTITUTE($F255, ",", REPT(" ", 100)), (COLUMNS($AH$2:AU255)-1)*100+1, 100))</f>
        <v/>
      </c>
      <c r="AV255" t="str">
        <f>TRIM(MID(SUBSTITUTE($F255, ",", REPT(" ", 100)), (COLUMNS($AH$2:AV255)-1)*100+1, 100))</f>
        <v/>
      </c>
      <c r="AW255" t="str">
        <f>TRIM(MID(SUBSTITUTE($F255, ",", REPT(" ", 100)), (COLUMNS($AH$2:AW255)-1)*100+1, 100))</f>
        <v/>
      </c>
      <c r="AX255" t="str">
        <f>TRIM(MID(SUBSTITUTE($F255, ",", REPT(" ", 100)), (COLUMNS($AH$2:AX255)-1)*100+1, 100))</f>
        <v/>
      </c>
      <c r="AY255" t="str">
        <f>TRIM(MID(SUBSTITUTE($F255, ",", REPT(" ", 100)), (COLUMNS($AH$2:AY255)-1)*100+1, 100))</f>
        <v/>
      </c>
      <c r="AZ255" t="str">
        <f>TRIM(MID(SUBSTITUTE($F255, ",", REPT(" ", 100)), (COLUMNS($AH$2:AZ255)-1)*100+1, 100))</f>
        <v/>
      </c>
      <c r="BA255" t="str">
        <f>TRIM(MID(SUBSTITUTE($F255, ",", REPT(" ", 100)), (COLUMNS($AH$2:BA255)-1)*100+1, 100))</f>
        <v/>
      </c>
    </row>
    <row r="256" spans="1:53" x14ac:dyDescent="0.5">
      <c r="A256" s="1">
        <v>45912</v>
      </c>
      <c r="B256" s="2">
        <v>4</v>
      </c>
      <c r="C256" s="272"/>
      <c r="D256" s="295"/>
      <c r="E256" s="58">
        <v>0</v>
      </c>
      <c r="F256" s="38" t="s">
        <v>176</v>
      </c>
      <c r="AJ256" t="str">
        <f>TRIM(MID(SUBSTITUTE($F256, ",", REPT(" ", 100)), (COLUMNS($AH$2:AJ256)-1)*100+1, 100))</f>
        <v/>
      </c>
      <c r="AK256" s="1">
        <v>45912</v>
      </c>
      <c r="AL256" s="2">
        <v>4</v>
      </c>
      <c r="AM256" s="2">
        <v>6</v>
      </c>
      <c r="AO256" t="str">
        <f>TRIM(MID(SUBSTITUTE($F256, ",", REPT(" ", 100)), (COLUMNS($AH$2:AO256)-1)*100+1, 100))</f>
        <v/>
      </c>
      <c r="AP256" t="str">
        <f>TRIM(MID(SUBSTITUTE($F256, ",", REPT(" ", 100)), (COLUMNS($AH$2:AP256)-1)*100+1, 100))</f>
        <v/>
      </c>
      <c r="AQ256" t="str">
        <f>TRIM(MID(SUBSTITUTE($F256, ",", REPT(" ", 100)), (COLUMNS($AH$2:AQ256)-1)*100+1, 100))</f>
        <v/>
      </c>
      <c r="AR256" t="str">
        <f>TRIM(MID(SUBSTITUTE($F256, ",", REPT(" ", 100)), (COLUMNS($AH$2:AR256)-1)*100+1, 100))</f>
        <v/>
      </c>
      <c r="AS256" t="str">
        <f>TRIM(MID(SUBSTITUTE($F256, ",", REPT(" ", 100)), (COLUMNS($AH$2:AS256)-1)*100+1, 100))</f>
        <v/>
      </c>
      <c r="AT256" t="str">
        <f>TRIM(MID(SUBSTITUTE($F256, ",", REPT(" ", 100)), (COLUMNS($AH$2:AT256)-1)*100+1, 100))</f>
        <v/>
      </c>
      <c r="AU256" t="str">
        <f>TRIM(MID(SUBSTITUTE($F256, ",", REPT(" ", 100)), (COLUMNS($AH$2:AU256)-1)*100+1, 100))</f>
        <v/>
      </c>
      <c r="AV256" t="str">
        <f>TRIM(MID(SUBSTITUTE($F256, ",", REPT(" ", 100)), (COLUMNS($AH$2:AV256)-1)*100+1, 100))</f>
        <v/>
      </c>
      <c r="AW256" t="str">
        <f>TRIM(MID(SUBSTITUTE($F256, ",", REPT(" ", 100)), (COLUMNS($AH$2:AW256)-1)*100+1, 100))</f>
        <v/>
      </c>
      <c r="AX256" t="str">
        <f>TRIM(MID(SUBSTITUTE($F256, ",", REPT(" ", 100)), (COLUMNS($AH$2:AX256)-1)*100+1, 100))</f>
        <v/>
      </c>
      <c r="AY256" t="str">
        <f>TRIM(MID(SUBSTITUTE($F256, ",", REPT(" ", 100)), (COLUMNS($AH$2:AY256)-1)*100+1, 100))</f>
        <v/>
      </c>
      <c r="AZ256" t="str">
        <f>TRIM(MID(SUBSTITUTE($F256, ",", REPT(" ", 100)), (COLUMNS($AH$2:AZ256)-1)*100+1, 100))</f>
        <v/>
      </c>
      <c r="BA256" t="str">
        <f>TRIM(MID(SUBSTITUTE($F256, ",", REPT(" ", 100)), (COLUMNS($AH$2:BA256)-1)*100+1, 100))</f>
        <v/>
      </c>
    </row>
    <row r="257" spans="1:53" x14ac:dyDescent="0.5">
      <c r="A257" s="1">
        <v>45913</v>
      </c>
      <c r="B257" s="2">
        <v>4</v>
      </c>
      <c r="C257" s="272"/>
      <c r="D257" s="295"/>
      <c r="E257" s="58">
        <v>0</v>
      </c>
      <c r="F257" s="38" t="s">
        <v>176</v>
      </c>
      <c r="AJ257" t="str">
        <f>TRIM(MID(SUBSTITUTE($F257, ",", REPT(" ", 100)), (COLUMNS($AH$2:AJ257)-1)*100+1, 100))</f>
        <v/>
      </c>
      <c r="AK257" s="1">
        <v>45913</v>
      </c>
      <c r="AL257" s="2">
        <v>4</v>
      </c>
      <c r="AM257" s="2">
        <v>10</v>
      </c>
      <c r="AO257" t="str">
        <f>TRIM(MID(SUBSTITUTE($F257, ",", REPT(" ", 100)), (COLUMNS($AH$2:AO257)-1)*100+1, 100))</f>
        <v/>
      </c>
      <c r="AP257" t="str">
        <f>TRIM(MID(SUBSTITUTE($F257, ",", REPT(" ", 100)), (COLUMNS($AH$2:AP257)-1)*100+1, 100))</f>
        <v/>
      </c>
      <c r="AQ257" t="str">
        <f>TRIM(MID(SUBSTITUTE($F257, ",", REPT(" ", 100)), (COLUMNS($AH$2:AQ257)-1)*100+1, 100))</f>
        <v/>
      </c>
      <c r="AR257" t="str">
        <f>TRIM(MID(SUBSTITUTE($F257, ",", REPT(" ", 100)), (COLUMNS($AH$2:AR257)-1)*100+1, 100))</f>
        <v/>
      </c>
      <c r="AS257" t="str">
        <f>TRIM(MID(SUBSTITUTE($F257, ",", REPT(" ", 100)), (COLUMNS($AH$2:AS257)-1)*100+1, 100))</f>
        <v/>
      </c>
      <c r="AT257" t="str">
        <f>TRIM(MID(SUBSTITUTE($F257, ",", REPT(" ", 100)), (COLUMNS($AH$2:AT257)-1)*100+1, 100))</f>
        <v/>
      </c>
      <c r="AU257" t="str">
        <f>TRIM(MID(SUBSTITUTE($F257, ",", REPT(" ", 100)), (COLUMNS($AH$2:AU257)-1)*100+1, 100))</f>
        <v/>
      </c>
      <c r="AV257" t="str">
        <f>TRIM(MID(SUBSTITUTE($F257, ",", REPT(" ", 100)), (COLUMNS($AH$2:AV257)-1)*100+1, 100))</f>
        <v/>
      </c>
      <c r="AW257" t="str">
        <f>TRIM(MID(SUBSTITUTE($F257, ",", REPT(" ", 100)), (COLUMNS($AH$2:AW257)-1)*100+1, 100))</f>
        <v/>
      </c>
      <c r="AX257" t="str">
        <f>TRIM(MID(SUBSTITUTE($F257, ",", REPT(" ", 100)), (COLUMNS($AH$2:AX257)-1)*100+1, 100))</f>
        <v/>
      </c>
      <c r="AY257" t="str">
        <f>TRIM(MID(SUBSTITUTE($F257, ",", REPT(" ", 100)), (COLUMNS($AH$2:AY257)-1)*100+1, 100))</f>
        <v/>
      </c>
      <c r="AZ257" t="str">
        <f>TRIM(MID(SUBSTITUTE($F257, ",", REPT(" ", 100)), (COLUMNS($AH$2:AZ257)-1)*100+1, 100))</f>
        <v/>
      </c>
      <c r="BA257" t="str">
        <f>TRIM(MID(SUBSTITUTE($F257, ",", REPT(" ", 100)), (COLUMNS($AH$2:BA257)-1)*100+1, 100))</f>
        <v/>
      </c>
    </row>
    <row r="258" spans="1:53" x14ac:dyDescent="0.5">
      <c r="A258" s="1">
        <v>45914</v>
      </c>
      <c r="B258" s="2">
        <v>3</v>
      </c>
      <c r="C258" s="272"/>
      <c r="D258" s="295"/>
      <c r="E258" s="58">
        <v>1</v>
      </c>
      <c r="F258" s="38" t="s">
        <v>176</v>
      </c>
      <c r="AJ258" t="str">
        <f>TRIM(MID(SUBSTITUTE($F258, ",", REPT(" ", 100)), (COLUMNS($AH$2:AJ258)-1)*100+1, 100))</f>
        <v/>
      </c>
      <c r="AK258" s="1">
        <v>45914</v>
      </c>
      <c r="AL258" s="2">
        <v>3</v>
      </c>
      <c r="AM258" s="2">
        <v>8</v>
      </c>
      <c r="AO258" t="str">
        <f>TRIM(MID(SUBSTITUTE($F258, ",", REPT(" ", 100)), (COLUMNS($AH$2:AO258)-1)*100+1, 100))</f>
        <v/>
      </c>
      <c r="AP258" t="str">
        <f>TRIM(MID(SUBSTITUTE($F258, ",", REPT(" ", 100)), (COLUMNS($AH$2:AP258)-1)*100+1, 100))</f>
        <v/>
      </c>
      <c r="AQ258" t="str">
        <f>TRIM(MID(SUBSTITUTE($F258, ",", REPT(" ", 100)), (COLUMNS($AH$2:AQ258)-1)*100+1, 100))</f>
        <v/>
      </c>
      <c r="AR258" t="str">
        <f>TRIM(MID(SUBSTITUTE($F258, ",", REPT(" ", 100)), (COLUMNS($AH$2:AR258)-1)*100+1, 100))</f>
        <v/>
      </c>
      <c r="AS258" t="str">
        <f>TRIM(MID(SUBSTITUTE($F258, ",", REPT(" ", 100)), (COLUMNS($AH$2:AS258)-1)*100+1, 100))</f>
        <v/>
      </c>
      <c r="AT258" t="str">
        <f>TRIM(MID(SUBSTITUTE($F258, ",", REPT(" ", 100)), (COLUMNS($AH$2:AT258)-1)*100+1, 100))</f>
        <v/>
      </c>
      <c r="AU258" t="str">
        <f>TRIM(MID(SUBSTITUTE($F258, ",", REPT(" ", 100)), (COLUMNS($AH$2:AU258)-1)*100+1, 100))</f>
        <v/>
      </c>
      <c r="AV258" t="str">
        <f>TRIM(MID(SUBSTITUTE($F258, ",", REPT(" ", 100)), (COLUMNS($AH$2:AV258)-1)*100+1, 100))</f>
        <v/>
      </c>
      <c r="AW258" t="str">
        <f>TRIM(MID(SUBSTITUTE($F258, ",", REPT(" ", 100)), (COLUMNS($AH$2:AW258)-1)*100+1, 100))</f>
        <v/>
      </c>
      <c r="AX258" t="str">
        <f>TRIM(MID(SUBSTITUTE($F258, ",", REPT(" ", 100)), (COLUMNS($AH$2:AX258)-1)*100+1, 100))</f>
        <v/>
      </c>
      <c r="AY258" t="str">
        <f>TRIM(MID(SUBSTITUTE($F258, ",", REPT(" ", 100)), (COLUMNS($AH$2:AY258)-1)*100+1, 100))</f>
        <v/>
      </c>
      <c r="AZ258" t="str">
        <f>TRIM(MID(SUBSTITUTE($F258, ",", REPT(" ", 100)), (COLUMNS($AH$2:AZ258)-1)*100+1, 100))</f>
        <v/>
      </c>
      <c r="BA258" t="str">
        <f>TRIM(MID(SUBSTITUTE($F258, ",", REPT(" ", 100)), (COLUMNS($AH$2:BA258)-1)*100+1, 100))</f>
        <v/>
      </c>
    </row>
    <row r="259" spans="1:53" x14ac:dyDescent="0.5">
      <c r="A259" s="1">
        <v>45915</v>
      </c>
      <c r="B259" s="2">
        <v>8</v>
      </c>
      <c r="C259" s="272"/>
      <c r="D259" s="295"/>
      <c r="E259" s="58">
        <v>1</v>
      </c>
      <c r="F259" s="38" t="s">
        <v>176</v>
      </c>
      <c r="AJ259" t="str">
        <f>TRIM(MID(SUBSTITUTE($F259, ",", REPT(" ", 100)), (COLUMNS($AH$2:AJ259)-1)*100+1, 100))</f>
        <v/>
      </c>
      <c r="AK259" s="1">
        <v>45915</v>
      </c>
      <c r="AL259" s="2">
        <v>8</v>
      </c>
      <c r="AM259" s="2">
        <v>6</v>
      </c>
      <c r="AO259" t="str">
        <f>TRIM(MID(SUBSTITUTE($F259, ",", REPT(" ", 100)), (COLUMNS($AH$2:AO259)-1)*100+1, 100))</f>
        <v/>
      </c>
      <c r="AP259" t="str">
        <f>TRIM(MID(SUBSTITUTE($F259, ",", REPT(" ", 100)), (COLUMNS($AH$2:AP259)-1)*100+1, 100))</f>
        <v/>
      </c>
      <c r="AQ259" t="str">
        <f>TRIM(MID(SUBSTITUTE($F259, ",", REPT(" ", 100)), (COLUMNS($AH$2:AQ259)-1)*100+1, 100))</f>
        <v/>
      </c>
      <c r="AR259" t="str">
        <f>TRIM(MID(SUBSTITUTE($F259, ",", REPT(" ", 100)), (COLUMNS($AH$2:AR259)-1)*100+1, 100))</f>
        <v/>
      </c>
      <c r="AS259" t="str">
        <f>TRIM(MID(SUBSTITUTE($F259, ",", REPT(" ", 100)), (COLUMNS($AH$2:AS259)-1)*100+1, 100))</f>
        <v/>
      </c>
      <c r="AT259" t="str">
        <f>TRIM(MID(SUBSTITUTE($F259, ",", REPT(" ", 100)), (COLUMNS($AH$2:AT259)-1)*100+1, 100))</f>
        <v/>
      </c>
      <c r="AU259" t="str">
        <f>TRIM(MID(SUBSTITUTE($F259, ",", REPT(" ", 100)), (COLUMNS($AH$2:AU259)-1)*100+1, 100))</f>
        <v/>
      </c>
      <c r="AV259" t="str">
        <f>TRIM(MID(SUBSTITUTE($F259, ",", REPT(" ", 100)), (COLUMNS($AH$2:AV259)-1)*100+1, 100))</f>
        <v/>
      </c>
      <c r="AW259" t="str">
        <f>TRIM(MID(SUBSTITUTE($F259, ",", REPT(" ", 100)), (COLUMNS($AH$2:AW259)-1)*100+1, 100))</f>
        <v/>
      </c>
      <c r="AX259" t="str">
        <f>TRIM(MID(SUBSTITUTE($F259, ",", REPT(" ", 100)), (COLUMNS($AH$2:AX259)-1)*100+1, 100))</f>
        <v/>
      </c>
      <c r="AY259" t="str">
        <f>TRIM(MID(SUBSTITUTE($F259, ",", REPT(" ", 100)), (COLUMNS($AH$2:AY259)-1)*100+1, 100))</f>
        <v/>
      </c>
      <c r="AZ259" t="str">
        <f>TRIM(MID(SUBSTITUTE($F259, ",", REPT(" ", 100)), (COLUMNS($AH$2:AZ259)-1)*100+1, 100))</f>
        <v/>
      </c>
      <c r="BA259" t="str">
        <f>TRIM(MID(SUBSTITUTE($F259, ",", REPT(" ", 100)), (COLUMNS($AH$2:BA259)-1)*100+1, 100))</f>
        <v/>
      </c>
    </row>
    <row r="260" spans="1:53" x14ac:dyDescent="0.5">
      <c r="A260" s="1">
        <v>45916</v>
      </c>
      <c r="B260" s="2">
        <v>6</v>
      </c>
      <c r="C260" s="272"/>
      <c r="D260" s="295"/>
      <c r="E260" s="58">
        <v>1</v>
      </c>
      <c r="F260" s="38" t="s">
        <v>176</v>
      </c>
      <c r="AJ260" t="str">
        <f>TRIM(MID(SUBSTITUTE($F260, ",", REPT(" ", 100)), (COLUMNS($AH$2:AJ260)-1)*100+1, 100))</f>
        <v/>
      </c>
      <c r="AK260" s="1">
        <v>45916</v>
      </c>
      <c r="AL260" s="2">
        <v>6</v>
      </c>
      <c r="AM260" s="2">
        <v>6</v>
      </c>
      <c r="AO260" t="str">
        <f>TRIM(MID(SUBSTITUTE($F260, ",", REPT(" ", 100)), (COLUMNS($AH$2:AO260)-1)*100+1, 100))</f>
        <v/>
      </c>
      <c r="AP260" t="str">
        <f>TRIM(MID(SUBSTITUTE($F260, ",", REPT(" ", 100)), (COLUMNS($AH$2:AP260)-1)*100+1, 100))</f>
        <v/>
      </c>
      <c r="AQ260" t="str">
        <f>TRIM(MID(SUBSTITUTE($F260, ",", REPT(" ", 100)), (COLUMNS($AH$2:AQ260)-1)*100+1, 100))</f>
        <v/>
      </c>
      <c r="AR260" t="str">
        <f>TRIM(MID(SUBSTITUTE($F260, ",", REPT(" ", 100)), (COLUMNS($AH$2:AR260)-1)*100+1, 100))</f>
        <v/>
      </c>
      <c r="AS260" t="str">
        <f>TRIM(MID(SUBSTITUTE($F260, ",", REPT(" ", 100)), (COLUMNS($AH$2:AS260)-1)*100+1, 100))</f>
        <v/>
      </c>
      <c r="AT260" t="str">
        <f>TRIM(MID(SUBSTITUTE($F260, ",", REPT(" ", 100)), (COLUMNS($AH$2:AT260)-1)*100+1, 100))</f>
        <v/>
      </c>
      <c r="AU260" t="str">
        <f>TRIM(MID(SUBSTITUTE($F260, ",", REPT(" ", 100)), (COLUMNS($AH$2:AU260)-1)*100+1, 100))</f>
        <v/>
      </c>
      <c r="AV260" t="str">
        <f>TRIM(MID(SUBSTITUTE($F260, ",", REPT(" ", 100)), (COLUMNS($AH$2:AV260)-1)*100+1, 100))</f>
        <v/>
      </c>
      <c r="AW260" t="str">
        <f>TRIM(MID(SUBSTITUTE($F260, ",", REPT(" ", 100)), (COLUMNS($AH$2:AW260)-1)*100+1, 100))</f>
        <v/>
      </c>
      <c r="AX260" t="str">
        <f>TRIM(MID(SUBSTITUTE($F260, ",", REPT(" ", 100)), (COLUMNS($AH$2:AX260)-1)*100+1, 100))</f>
        <v/>
      </c>
      <c r="AY260" t="str">
        <f>TRIM(MID(SUBSTITUTE($F260, ",", REPT(" ", 100)), (COLUMNS($AH$2:AY260)-1)*100+1, 100))</f>
        <v/>
      </c>
      <c r="AZ260" t="str">
        <f>TRIM(MID(SUBSTITUTE($F260, ",", REPT(" ", 100)), (COLUMNS($AH$2:AZ260)-1)*100+1, 100))</f>
        <v/>
      </c>
      <c r="BA260" t="str">
        <f>TRIM(MID(SUBSTITUTE($F260, ",", REPT(" ", 100)), (COLUMNS($AH$2:BA260)-1)*100+1, 100))</f>
        <v/>
      </c>
    </row>
    <row r="261" spans="1:53" x14ac:dyDescent="0.5">
      <c r="A261" s="1">
        <v>45917</v>
      </c>
      <c r="B261" s="2">
        <v>10</v>
      </c>
      <c r="C261" s="272"/>
      <c r="D261" s="295"/>
      <c r="E261" s="58">
        <v>0</v>
      </c>
      <c r="F261" s="38" t="s">
        <v>261</v>
      </c>
      <c r="G261" s="38" t="s">
        <v>359</v>
      </c>
      <c r="AJ261" t="str">
        <f>TRIM(MID(SUBSTITUTE($F261, ",", REPT(" ", 100)), (COLUMNS($AH$2:AJ261)-1)*100+1, 100))</f>
        <v>Delhi</v>
      </c>
      <c r="AK261" s="1">
        <v>45917</v>
      </c>
      <c r="AL261" s="2">
        <v>10</v>
      </c>
      <c r="AM261" s="2">
        <v>4</v>
      </c>
      <c r="AO261" t="str">
        <f>TRIM(MID(SUBSTITUTE($F261, ",", REPT(" ", 100)), (COLUMNS($AH$2:AO261)-1)*100+1, 100))</f>
        <v/>
      </c>
      <c r="AP261" t="str">
        <f>TRIM(MID(SUBSTITUTE($F261, ",", REPT(" ", 100)), (COLUMNS($AH$2:AP261)-1)*100+1, 100))</f>
        <v/>
      </c>
      <c r="AQ261" t="str">
        <f>TRIM(MID(SUBSTITUTE($F261, ",", REPT(" ", 100)), (COLUMNS($AH$2:AQ261)-1)*100+1, 100))</f>
        <v/>
      </c>
      <c r="AR261" t="str">
        <f>TRIM(MID(SUBSTITUTE($F261, ",", REPT(" ", 100)), (COLUMNS($AH$2:AR261)-1)*100+1, 100))</f>
        <v/>
      </c>
      <c r="AS261" t="str">
        <f>TRIM(MID(SUBSTITUTE($F261, ",", REPT(" ", 100)), (COLUMNS($AH$2:AS261)-1)*100+1, 100))</f>
        <v/>
      </c>
      <c r="AT261" t="str">
        <f>TRIM(MID(SUBSTITUTE($F261, ",", REPT(" ", 100)), (COLUMNS($AH$2:AT261)-1)*100+1, 100))</f>
        <v/>
      </c>
      <c r="AU261" t="str">
        <f>TRIM(MID(SUBSTITUTE($F261, ",", REPT(" ", 100)), (COLUMNS($AH$2:AU261)-1)*100+1, 100))</f>
        <v/>
      </c>
      <c r="AV261" t="str">
        <f>TRIM(MID(SUBSTITUTE($F261, ",", REPT(" ", 100)), (COLUMNS($AH$2:AV261)-1)*100+1, 100))</f>
        <v/>
      </c>
      <c r="AW261" t="str">
        <f>TRIM(MID(SUBSTITUTE($F261, ",", REPT(" ", 100)), (COLUMNS($AH$2:AW261)-1)*100+1, 100))</f>
        <v/>
      </c>
      <c r="AX261" t="str">
        <f>TRIM(MID(SUBSTITUTE($F261, ",", REPT(" ", 100)), (COLUMNS($AH$2:AX261)-1)*100+1, 100))</f>
        <v/>
      </c>
      <c r="AY261" t="str">
        <f>TRIM(MID(SUBSTITUTE($F261, ",", REPT(" ", 100)), (COLUMNS($AH$2:AY261)-1)*100+1, 100))</f>
        <v/>
      </c>
      <c r="AZ261" t="str">
        <f>TRIM(MID(SUBSTITUTE($F261, ",", REPT(" ", 100)), (COLUMNS($AH$2:AZ261)-1)*100+1, 100))</f>
        <v/>
      </c>
      <c r="BA261" t="str">
        <f>TRIM(MID(SUBSTITUTE($F261, ",", REPT(" ", 100)), (COLUMNS($AH$2:BA261)-1)*100+1, 100))</f>
        <v/>
      </c>
    </row>
    <row r="262" spans="1:53" x14ac:dyDescent="0.5">
      <c r="A262" s="1">
        <v>45918</v>
      </c>
      <c r="B262" s="2">
        <v>6</v>
      </c>
      <c r="C262" s="272"/>
      <c r="D262" s="295"/>
      <c r="E262" s="58">
        <v>0</v>
      </c>
      <c r="F262" s="38" t="s">
        <v>194</v>
      </c>
      <c r="AJ262" t="str">
        <f>TRIM(MID(SUBSTITUTE($F262, ",", REPT(" ", 100)), (COLUMNS($AH$2:AJ262)-1)*100+1, 100))</f>
        <v/>
      </c>
      <c r="AK262" s="1">
        <v>45918</v>
      </c>
      <c r="AL262" s="2">
        <v>6</v>
      </c>
      <c r="AM262" s="2">
        <v>2</v>
      </c>
      <c r="AO262" t="str">
        <f>TRIM(MID(SUBSTITUTE($F262, ",", REPT(" ", 100)), (COLUMNS($AH$2:AO262)-1)*100+1, 100))</f>
        <v/>
      </c>
      <c r="AP262" t="str">
        <f>TRIM(MID(SUBSTITUTE($F262, ",", REPT(" ", 100)), (COLUMNS($AH$2:AP262)-1)*100+1, 100))</f>
        <v/>
      </c>
      <c r="AQ262" t="str">
        <f>TRIM(MID(SUBSTITUTE($F262, ",", REPT(" ", 100)), (COLUMNS($AH$2:AQ262)-1)*100+1, 100))</f>
        <v/>
      </c>
      <c r="AR262" t="str">
        <f>TRIM(MID(SUBSTITUTE($F262, ",", REPT(" ", 100)), (COLUMNS($AH$2:AR262)-1)*100+1, 100))</f>
        <v/>
      </c>
      <c r="AS262" t="str">
        <f>TRIM(MID(SUBSTITUTE($F262, ",", REPT(" ", 100)), (COLUMNS($AH$2:AS262)-1)*100+1, 100))</f>
        <v/>
      </c>
      <c r="AT262" t="str">
        <f>TRIM(MID(SUBSTITUTE($F262, ",", REPT(" ", 100)), (COLUMNS($AH$2:AT262)-1)*100+1, 100))</f>
        <v/>
      </c>
      <c r="AU262" t="str">
        <f>TRIM(MID(SUBSTITUTE($F262, ",", REPT(" ", 100)), (COLUMNS($AH$2:AU262)-1)*100+1, 100))</f>
        <v/>
      </c>
      <c r="AV262" t="str">
        <f>TRIM(MID(SUBSTITUTE($F262, ",", REPT(" ", 100)), (COLUMNS($AH$2:AV262)-1)*100+1, 100))</f>
        <v/>
      </c>
      <c r="AW262" t="str">
        <f>TRIM(MID(SUBSTITUTE($F262, ",", REPT(" ", 100)), (COLUMNS($AH$2:AW262)-1)*100+1, 100))</f>
        <v/>
      </c>
      <c r="AX262" t="str">
        <f>TRIM(MID(SUBSTITUTE($F262, ",", REPT(" ", 100)), (COLUMNS($AH$2:AX262)-1)*100+1, 100))</f>
        <v/>
      </c>
      <c r="AY262" t="str">
        <f>TRIM(MID(SUBSTITUTE($F262, ",", REPT(" ", 100)), (COLUMNS($AH$2:AY262)-1)*100+1, 100))</f>
        <v/>
      </c>
      <c r="AZ262" t="str">
        <f>TRIM(MID(SUBSTITUTE($F262, ",", REPT(" ", 100)), (COLUMNS($AH$2:AZ262)-1)*100+1, 100))</f>
        <v/>
      </c>
      <c r="BA262" t="str">
        <f>TRIM(MID(SUBSTITUTE($F262, ",", REPT(" ", 100)), (COLUMNS($AH$2:BA262)-1)*100+1, 100))</f>
        <v/>
      </c>
    </row>
    <row r="263" spans="1:53" x14ac:dyDescent="0.5">
      <c r="A263" s="1">
        <v>45919</v>
      </c>
      <c r="B263" s="2">
        <v>8.1</v>
      </c>
      <c r="C263" s="272"/>
      <c r="D263" s="295"/>
      <c r="E263" s="58">
        <v>1</v>
      </c>
      <c r="F263" s="38" t="s">
        <v>278</v>
      </c>
      <c r="G263" s="38" t="s">
        <v>364</v>
      </c>
      <c r="AJ263" t="str">
        <f>TRIM(MID(SUBSTITUTE($F263, ",", REPT(" ", 100)), (COLUMNS($AH$2:AJ263)-1)*100+1, 100))</f>
        <v/>
      </c>
      <c r="AK263" s="1">
        <v>45919</v>
      </c>
      <c r="AL263" s="2">
        <v>8.1</v>
      </c>
      <c r="AM263" s="2">
        <v>4</v>
      </c>
      <c r="AO263" t="str">
        <f>TRIM(MID(SUBSTITUTE($F263, ",", REPT(" ", 100)), (COLUMNS($AH$2:AO263)-1)*100+1, 100))</f>
        <v/>
      </c>
      <c r="AP263" t="str">
        <f>TRIM(MID(SUBSTITUTE($F263, ",", REPT(" ", 100)), (COLUMNS($AH$2:AP263)-1)*100+1, 100))</f>
        <v/>
      </c>
      <c r="AQ263" t="str">
        <f>TRIM(MID(SUBSTITUTE($F263, ",", REPT(" ", 100)), (COLUMNS($AH$2:AQ263)-1)*100+1, 100))</f>
        <v/>
      </c>
      <c r="AR263" t="str">
        <f>TRIM(MID(SUBSTITUTE($F263, ",", REPT(" ", 100)), (COLUMNS($AH$2:AR263)-1)*100+1, 100))</f>
        <v/>
      </c>
      <c r="AS263" t="str">
        <f>TRIM(MID(SUBSTITUTE($F263, ",", REPT(" ", 100)), (COLUMNS($AH$2:AS263)-1)*100+1, 100))</f>
        <v/>
      </c>
      <c r="AT263" t="str">
        <f>TRIM(MID(SUBSTITUTE($F263, ",", REPT(" ", 100)), (COLUMNS($AH$2:AT263)-1)*100+1, 100))</f>
        <v/>
      </c>
      <c r="AU263" t="str">
        <f>TRIM(MID(SUBSTITUTE($F263, ",", REPT(" ", 100)), (COLUMNS($AH$2:AU263)-1)*100+1, 100))</f>
        <v/>
      </c>
      <c r="AV263" t="str">
        <f>TRIM(MID(SUBSTITUTE($F263, ",", REPT(" ", 100)), (COLUMNS($AH$2:AV263)-1)*100+1, 100))</f>
        <v/>
      </c>
      <c r="AW263" t="str">
        <f>TRIM(MID(SUBSTITUTE($F263, ",", REPT(" ", 100)), (COLUMNS($AH$2:AW263)-1)*100+1, 100))</f>
        <v/>
      </c>
      <c r="AX263" t="str">
        <f>TRIM(MID(SUBSTITUTE($F263, ",", REPT(" ", 100)), (COLUMNS($AH$2:AX263)-1)*100+1, 100))</f>
        <v/>
      </c>
      <c r="AY263" t="str">
        <f>TRIM(MID(SUBSTITUTE($F263, ",", REPT(" ", 100)), (COLUMNS($AH$2:AY263)-1)*100+1, 100))</f>
        <v/>
      </c>
      <c r="AZ263" t="str">
        <f>TRIM(MID(SUBSTITUTE($F263, ",", REPT(" ", 100)), (COLUMNS($AH$2:AZ263)-1)*100+1, 100))</f>
        <v/>
      </c>
      <c r="BA263" t="str">
        <f>TRIM(MID(SUBSTITUTE($F263, ",", REPT(" ", 100)), (COLUMNS($AH$2:BA263)-1)*100+1, 100))</f>
        <v/>
      </c>
    </row>
    <row r="264" spans="1:53" x14ac:dyDescent="0.5">
      <c r="A264" s="1">
        <v>45920</v>
      </c>
      <c r="B264" s="2">
        <v>8</v>
      </c>
      <c r="C264" s="272"/>
      <c r="D264" s="295"/>
      <c r="E264" s="58">
        <v>1</v>
      </c>
      <c r="F264" s="38" t="s">
        <v>358</v>
      </c>
      <c r="AJ264" t="str">
        <f>TRIM(MID(SUBSTITUTE($F264, ",", REPT(" ", 100)), (COLUMNS($AH$2:AJ264)-1)*100+1, 100))</f>
        <v/>
      </c>
      <c r="AK264" s="1">
        <v>45920</v>
      </c>
      <c r="AL264" s="2">
        <v>8</v>
      </c>
      <c r="AM264" s="2">
        <v>4</v>
      </c>
      <c r="AO264" t="str">
        <f>TRIM(MID(SUBSTITUTE($F264, ",", REPT(" ", 100)), (COLUMNS($AH$2:AO264)-1)*100+1, 100))</f>
        <v/>
      </c>
      <c r="AP264" t="str">
        <f>TRIM(MID(SUBSTITUTE($F264, ",", REPT(" ", 100)), (COLUMNS($AH$2:AP264)-1)*100+1, 100))</f>
        <v/>
      </c>
      <c r="AQ264" t="str">
        <f>TRIM(MID(SUBSTITUTE($F264, ",", REPT(" ", 100)), (COLUMNS($AH$2:AQ264)-1)*100+1, 100))</f>
        <v/>
      </c>
      <c r="AR264" t="str">
        <f>TRIM(MID(SUBSTITUTE($F264, ",", REPT(" ", 100)), (COLUMNS($AH$2:AR264)-1)*100+1, 100))</f>
        <v/>
      </c>
      <c r="AS264" t="str">
        <f>TRIM(MID(SUBSTITUTE($F264, ",", REPT(" ", 100)), (COLUMNS($AH$2:AS264)-1)*100+1, 100))</f>
        <v/>
      </c>
      <c r="AT264" t="str">
        <f>TRIM(MID(SUBSTITUTE($F264, ",", REPT(" ", 100)), (COLUMNS($AH$2:AT264)-1)*100+1, 100))</f>
        <v/>
      </c>
      <c r="AU264" t="str">
        <f>TRIM(MID(SUBSTITUTE($F264, ",", REPT(" ", 100)), (COLUMNS($AH$2:AU264)-1)*100+1, 100))</f>
        <v/>
      </c>
      <c r="AV264" t="str">
        <f>TRIM(MID(SUBSTITUTE($F264, ",", REPT(" ", 100)), (COLUMNS($AH$2:AV264)-1)*100+1, 100))</f>
        <v/>
      </c>
      <c r="AW264" t="str">
        <f>TRIM(MID(SUBSTITUTE($F264, ",", REPT(" ", 100)), (COLUMNS($AH$2:AW264)-1)*100+1, 100))</f>
        <v/>
      </c>
      <c r="AX264" t="str">
        <f>TRIM(MID(SUBSTITUTE($F264, ",", REPT(" ", 100)), (COLUMNS($AH$2:AX264)-1)*100+1, 100))</f>
        <v/>
      </c>
      <c r="AY264" t="str">
        <f>TRIM(MID(SUBSTITUTE($F264, ",", REPT(" ", 100)), (COLUMNS($AH$2:AY264)-1)*100+1, 100))</f>
        <v/>
      </c>
      <c r="AZ264" t="str">
        <f>TRIM(MID(SUBSTITUTE($F264, ",", REPT(" ", 100)), (COLUMNS($AH$2:AZ264)-1)*100+1, 100))</f>
        <v/>
      </c>
      <c r="BA264" t="str">
        <f>TRIM(MID(SUBSTITUTE($F264, ",", REPT(" ", 100)), (COLUMNS($AH$2:BA264)-1)*100+1, 100))</f>
        <v/>
      </c>
    </row>
    <row r="265" spans="1:53" x14ac:dyDescent="0.5">
      <c r="A265" s="1">
        <v>45921</v>
      </c>
      <c r="B265" s="2">
        <v>7.5</v>
      </c>
      <c r="C265" s="272"/>
      <c r="D265" s="295"/>
      <c r="E265" s="58">
        <v>1</v>
      </c>
      <c r="F265" s="38" t="s">
        <v>194</v>
      </c>
      <c r="AJ265" t="str">
        <f>TRIM(MID(SUBSTITUTE($F265, ",", REPT(" ", 100)), (COLUMNS($AH$2:AJ265)-1)*100+1, 100))</f>
        <v/>
      </c>
      <c r="AK265" s="1">
        <v>45921</v>
      </c>
      <c r="AL265" s="2">
        <v>7.5</v>
      </c>
      <c r="AM265" s="2">
        <v>6</v>
      </c>
      <c r="AO265" t="str">
        <f>TRIM(MID(SUBSTITUTE($F265, ",", REPT(" ", 100)), (COLUMNS($AH$2:AO265)-1)*100+1, 100))</f>
        <v/>
      </c>
      <c r="AP265" t="str">
        <f>TRIM(MID(SUBSTITUTE($F265, ",", REPT(" ", 100)), (COLUMNS($AH$2:AP265)-1)*100+1, 100))</f>
        <v/>
      </c>
      <c r="AQ265" t="str">
        <f>TRIM(MID(SUBSTITUTE($F265, ",", REPT(" ", 100)), (COLUMNS($AH$2:AQ265)-1)*100+1, 100))</f>
        <v/>
      </c>
      <c r="AR265" t="str">
        <f>TRIM(MID(SUBSTITUTE($F265, ",", REPT(" ", 100)), (COLUMNS($AH$2:AR265)-1)*100+1, 100))</f>
        <v/>
      </c>
      <c r="AS265" t="str">
        <f>TRIM(MID(SUBSTITUTE($F265, ",", REPT(" ", 100)), (COLUMNS($AH$2:AS265)-1)*100+1, 100))</f>
        <v/>
      </c>
      <c r="AT265" t="str">
        <f>TRIM(MID(SUBSTITUTE($F265, ",", REPT(" ", 100)), (COLUMNS($AH$2:AT265)-1)*100+1, 100))</f>
        <v/>
      </c>
      <c r="AU265" t="str">
        <f>TRIM(MID(SUBSTITUTE($F265, ",", REPT(" ", 100)), (COLUMNS($AH$2:AU265)-1)*100+1, 100))</f>
        <v/>
      </c>
      <c r="AV265" t="str">
        <f>TRIM(MID(SUBSTITUTE($F265, ",", REPT(" ", 100)), (COLUMNS($AH$2:AV265)-1)*100+1, 100))</f>
        <v/>
      </c>
      <c r="AW265" t="str">
        <f>TRIM(MID(SUBSTITUTE($F265, ",", REPT(" ", 100)), (COLUMNS($AH$2:AW265)-1)*100+1, 100))</f>
        <v/>
      </c>
      <c r="AX265" t="str">
        <f>TRIM(MID(SUBSTITUTE($F265, ",", REPT(" ", 100)), (COLUMNS($AH$2:AX265)-1)*100+1, 100))</f>
        <v/>
      </c>
      <c r="AY265" t="str">
        <f>TRIM(MID(SUBSTITUTE($F265, ",", REPT(" ", 100)), (COLUMNS($AH$2:AY265)-1)*100+1, 100))</f>
        <v/>
      </c>
      <c r="AZ265" t="str">
        <f>TRIM(MID(SUBSTITUTE($F265, ",", REPT(" ", 100)), (COLUMNS($AH$2:AZ265)-1)*100+1, 100))</f>
        <v/>
      </c>
      <c r="BA265" t="str">
        <f>TRIM(MID(SUBSTITUTE($F265, ",", REPT(" ", 100)), (COLUMNS($AH$2:BA265)-1)*100+1, 100))</f>
        <v/>
      </c>
    </row>
    <row r="266" spans="1:53" x14ac:dyDescent="0.5">
      <c r="A266" s="1">
        <v>45922</v>
      </c>
      <c r="B266" s="2">
        <v>6</v>
      </c>
      <c r="C266" s="272"/>
      <c r="D266" s="295"/>
      <c r="E266" s="58">
        <v>0</v>
      </c>
      <c r="F266" s="38" t="s">
        <v>194</v>
      </c>
      <c r="AJ266" t="str">
        <f>TRIM(MID(SUBSTITUTE($F266, ",", REPT(" ", 100)), (COLUMNS($AH$2:AJ266)-1)*100+1, 100))</f>
        <v/>
      </c>
      <c r="AK266" s="1">
        <v>45922</v>
      </c>
      <c r="AL266" s="2">
        <v>6</v>
      </c>
      <c r="AM266" s="2">
        <v>6</v>
      </c>
      <c r="AO266" t="str">
        <f>TRIM(MID(SUBSTITUTE($F266, ",", REPT(" ", 100)), (COLUMNS($AH$2:AO266)-1)*100+1, 100))</f>
        <v/>
      </c>
      <c r="AP266" t="str">
        <f>TRIM(MID(SUBSTITUTE($F266, ",", REPT(" ", 100)), (COLUMNS($AH$2:AP266)-1)*100+1, 100))</f>
        <v/>
      </c>
      <c r="AQ266" t="str">
        <f>TRIM(MID(SUBSTITUTE($F266, ",", REPT(" ", 100)), (COLUMNS($AH$2:AQ266)-1)*100+1, 100))</f>
        <v/>
      </c>
      <c r="AR266" t="str">
        <f>TRIM(MID(SUBSTITUTE($F266, ",", REPT(" ", 100)), (COLUMNS($AH$2:AR266)-1)*100+1, 100))</f>
        <v/>
      </c>
      <c r="AS266" t="str">
        <f>TRIM(MID(SUBSTITUTE($F266, ",", REPT(" ", 100)), (COLUMNS($AH$2:AS266)-1)*100+1, 100))</f>
        <v/>
      </c>
      <c r="AT266" t="str">
        <f>TRIM(MID(SUBSTITUTE($F266, ",", REPT(" ", 100)), (COLUMNS($AH$2:AT266)-1)*100+1, 100))</f>
        <v/>
      </c>
      <c r="AU266" t="str">
        <f>TRIM(MID(SUBSTITUTE($F266, ",", REPT(" ", 100)), (COLUMNS($AH$2:AU266)-1)*100+1, 100))</f>
        <v/>
      </c>
      <c r="AV266" t="str">
        <f>TRIM(MID(SUBSTITUTE($F266, ",", REPT(" ", 100)), (COLUMNS($AH$2:AV266)-1)*100+1, 100))</f>
        <v/>
      </c>
      <c r="AW266" t="str">
        <f>TRIM(MID(SUBSTITUTE($F266, ",", REPT(" ", 100)), (COLUMNS($AH$2:AW266)-1)*100+1, 100))</f>
        <v/>
      </c>
      <c r="AX266" t="str">
        <f>TRIM(MID(SUBSTITUTE($F266, ",", REPT(" ", 100)), (COLUMNS($AH$2:AX266)-1)*100+1, 100))</f>
        <v/>
      </c>
      <c r="AY266" t="str">
        <f>TRIM(MID(SUBSTITUTE($F266, ",", REPT(" ", 100)), (COLUMNS($AH$2:AY266)-1)*100+1, 100))</f>
        <v/>
      </c>
      <c r="AZ266" t="str">
        <f>TRIM(MID(SUBSTITUTE($F266, ",", REPT(" ", 100)), (COLUMNS($AH$2:AZ266)-1)*100+1, 100))</f>
        <v/>
      </c>
      <c r="BA266" t="str">
        <f>TRIM(MID(SUBSTITUTE($F266, ",", REPT(" ", 100)), (COLUMNS($AH$2:BA266)-1)*100+1, 100))</f>
        <v/>
      </c>
    </row>
    <row r="267" spans="1:53" x14ac:dyDescent="0.5">
      <c r="A267" s="1">
        <v>45923</v>
      </c>
      <c r="B267" s="2">
        <v>5.5</v>
      </c>
      <c r="C267" s="272"/>
      <c r="D267" s="295"/>
      <c r="E267" s="58">
        <v>0</v>
      </c>
      <c r="F267" s="38" t="s">
        <v>194</v>
      </c>
      <c r="AJ267" t="str">
        <f>TRIM(MID(SUBSTITUTE($F267, ",", REPT(" ", 100)), (COLUMNS($AH$2:AJ267)-1)*100+1, 100))</f>
        <v/>
      </c>
      <c r="AK267" s="1">
        <v>45923</v>
      </c>
      <c r="AL267" s="2">
        <v>5.5</v>
      </c>
      <c r="AM267" s="2">
        <v>4</v>
      </c>
      <c r="AO267" t="str">
        <f>TRIM(MID(SUBSTITUTE($F267, ",", REPT(" ", 100)), (COLUMNS($AH$2:AO267)-1)*100+1, 100))</f>
        <v/>
      </c>
      <c r="AP267" t="str">
        <f>TRIM(MID(SUBSTITUTE($F267, ",", REPT(" ", 100)), (COLUMNS($AH$2:AP267)-1)*100+1, 100))</f>
        <v/>
      </c>
      <c r="AQ267" t="str">
        <f>TRIM(MID(SUBSTITUTE($F267, ",", REPT(" ", 100)), (COLUMNS($AH$2:AQ267)-1)*100+1, 100))</f>
        <v/>
      </c>
      <c r="AR267" t="str">
        <f>TRIM(MID(SUBSTITUTE($F267, ",", REPT(" ", 100)), (COLUMNS($AH$2:AR267)-1)*100+1, 100))</f>
        <v/>
      </c>
      <c r="AS267" t="str">
        <f>TRIM(MID(SUBSTITUTE($F267, ",", REPT(" ", 100)), (COLUMNS($AH$2:AS267)-1)*100+1, 100))</f>
        <v/>
      </c>
      <c r="AT267" t="str">
        <f>TRIM(MID(SUBSTITUTE($F267, ",", REPT(" ", 100)), (COLUMNS($AH$2:AT267)-1)*100+1, 100))</f>
        <v/>
      </c>
      <c r="AU267" t="str">
        <f>TRIM(MID(SUBSTITUTE($F267, ",", REPT(" ", 100)), (COLUMNS($AH$2:AU267)-1)*100+1, 100))</f>
        <v/>
      </c>
      <c r="AV267" t="str">
        <f>TRIM(MID(SUBSTITUTE($F267, ",", REPT(" ", 100)), (COLUMNS($AH$2:AV267)-1)*100+1, 100))</f>
        <v/>
      </c>
      <c r="AW267" t="str">
        <f>TRIM(MID(SUBSTITUTE($F267, ",", REPT(" ", 100)), (COLUMNS($AH$2:AW267)-1)*100+1, 100))</f>
        <v/>
      </c>
      <c r="AX267" t="str">
        <f>TRIM(MID(SUBSTITUTE($F267, ",", REPT(" ", 100)), (COLUMNS($AH$2:AX267)-1)*100+1, 100))</f>
        <v/>
      </c>
      <c r="AY267" t="str">
        <f>TRIM(MID(SUBSTITUTE($F267, ",", REPT(" ", 100)), (COLUMNS($AH$2:AY267)-1)*100+1, 100))</f>
        <v/>
      </c>
      <c r="AZ267" t="str">
        <f>TRIM(MID(SUBSTITUTE($F267, ",", REPT(" ", 100)), (COLUMNS($AH$2:AZ267)-1)*100+1, 100))</f>
        <v/>
      </c>
      <c r="BA267" t="str">
        <f>TRIM(MID(SUBSTITUTE($F267, ",", REPT(" ", 100)), (COLUMNS($AH$2:BA267)-1)*100+1, 100))</f>
        <v/>
      </c>
    </row>
    <row r="268" spans="1:53" x14ac:dyDescent="0.5">
      <c r="A268" s="1">
        <v>45924</v>
      </c>
      <c r="B268" s="2">
        <v>5.3</v>
      </c>
      <c r="C268" s="272"/>
      <c r="D268" s="295"/>
      <c r="E268" s="58">
        <v>0</v>
      </c>
      <c r="F268" s="38" t="s">
        <v>194</v>
      </c>
      <c r="AJ268" t="str">
        <f>TRIM(MID(SUBSTITUTE($F268, ",", REPT(" ", 100)), (COLUMNS($AH$2:AJ268)-1)*100+1, 100))</f>
        <v/>
      </c>
      <c r="AK268" s="1">
        <v>45924</v>
      </c>
      <c r="AL268" s="2">
        <v>5.3</v>
      </c>
      <c r="AM268" s="2">
        <v>2</v>
      </c>
      <c r="AO268" t="str">
        <f>TRIM(MID(SUBSTITUTE($F268, ",", REPT(" ", 100)), (COLUMNS($AH$2:AO268)-1)*100+1, 100))</f>
        <v/>
      </c>
      <c r="AP268" t="str">
        <f>TRIM(MID(SUBSTITUTE($F268, ",", REPT(" ", 100)), (COLUMNS($AH$2:AP268)-1)*100+1, 100))</f>
        <v/>
      </c>
      <c r="AQ268" t="str">
        <f>TRIM(MID(SUBSTITUTE($F268, ",", REPT(" ", 100)), (COLUMNS($AH$2:AQ268)-1)*100+1, 100))</f>
        <v/>
      </c>
      <c r="AR268" t="str">
        <f>TRIM(MID(SUBSTITUTE($F268, ",", REPT(" ", 100)), (COLUMNS($AH$2:AR268)-1)*100+1, 100))</f>
        <v/>
      </c>
      <c r="AS268" t="str">
        <f>TRIM(MID(SUBSTITUTE($F268, ",", REPT(" ", 100)), (COLUMNS($AH$2:AS268)-1)*100+1, 100))</f>
        <v/>
      </c>
      <c r="AT268" t="str">
        <f>TRIM(MID(SUBSTITUTE($F268, ",", REPT(" ", 100)), (COLUMNS($AH$2:AT268)-1)*100+1, 100))</f>
        <v/>
      </c>
      <c r="AU268" t="str">
        <f>TRIM(MID(SUBSTITUTE($F268, ",", REPT(" ", 100)), (COLUMNS($AH$2:AU268)-1)*100+1, 100))</f>
        <v/>
      </c>
      <c r="AV268" t="str">
        <f>TRIM(MID(SUBSTITUTE($F268, ",", REPT(" ", 100)), (COLUMNS($AH$2:AV268)-1)*100+1, 100))</f>
        <v/>
      </c>
      <c r="AW268" t="str">
        <f>TRIM(MID(SUBSTITUTE($F268, ",", REPT(" ", 100)), (COLUMNS($AH$2:AW268)-1)*100+1, 100))</f>
        <v/>
      </c>
      <c r="AX268" t="str">
        <f>TRIM(MID(SUBSTITUTE($F268, ",", REPT(" ", 100)), (COLUMNS($AH$2:AX268)-1)*100+1, 100))</f>
        <v/>
      </c>
      <c r="AY268" t="str">
        <f>TRIM(MID(SUBSTITUTE($F268, ",", REPT(" ", 100)), (COLUMNS($AH$2:AY268)-1)*100+1, 100))</f>
        <v/>
      </c>
      <c r="AZ268" t="str">
        <f>TRIM(MID(SUBSTITUTE($F268, ",", REPT(" ", 100)), (COLUMNS($AH$2:AZ268)-1)*100+1, 100))</f>
        <v/>
      </c>
      <c r="BA268" t="str">
        <f>TRIM(MID(SUBSTITUTE($F268, ",", REPT(" ", 100)), (COLUMNS($AH$2:BA268)-1)*100+1, 100))</f>
        <v/>
      </c>
    </row>
    <row r="269" spans="1:53" x14ac:dyDescent="0.5">
      <c r="A269" s="1">
        <v>45925</v>
      </c>
      <c r="B269" s="2">
        <v>3.5</v>
      </c>
      <c r="C269" s="272"/>
      <c r="D269" s="295"/>
      <c r="E269" s="58">
        <v>0</v>
      </c>
      <c r="F269" s="38" t="s">
        <v>194</v>
      </c>
      <c r="G269" s="38" t="s">
        <v>379</v>
      </c>
      <c r="AJ269" t="str">
        <f>TRIM(MID(SUBSTITUTE($F269, ",", REPT(" ", 100)), (COLUMNS($AH$2:AJ269)-1)*100+1, 100))</f>
        <v/>
      </c>
      <c r="AK269" s="1">
        <v>45925</v>
      </c>
      <c r="AL269" s="2">
        <v>3.5</v>
      </c>
      <c r="AM269" s="2">
        <v>6</v>
      </c>
      <c r="AO269" t="str">
        <f>TRIM(MID(SUBSTITUTE($F269, ",", REPT(" ", 100)), (COLUMNS($AH$2:AO269)-1)*100+1, 100))</f>
        <v/>
      </c>
      <c r="AP269" t="str">
        <f>TRIM(MID(SUBSTITUTE($F269, ",", REPT(" ", 100)), (COLUMNS($AH$2:AP269)-1)*100+1, 100))</f>
        <v/>
      </c>
      <c r="AQ269" t="str">
        <f>TRIM(MID(SUBSTITUTE($F269, ",", REPT(" ", 100)), (COLUMNS($AH$2:AQ269)-1)*100+1, 100))</f>
        <v/>
      </c>
      <c r="AR269" t="str">
        <f>TRIM(MID(SUBSTITUTE($F269, ",", REPT(" ", 100)), (COLUMNS($AH$2:AR269)-1)*100+1, 100))</f>
        <v/>
      </c>
      <c r="AS269" t="str">
        <f>TRIM(MID(SUBSTITUTE($F269, ",", REPT(" ", 100)), (COLUMNS($AH$2:AS269)-1)*100+1, 100))</f>
        <v/>
      </c>
      <c r="AT269" t="str">
        <f>TRIM(MID(SUBSTITUTE($F269, ",", REPT(" ", 100)), (COLUMNS($AH$2:AT269)-1)*100+1, 100))</f>
        <v/>
      </c>
      <c r="AU269" t="str">
        <f>TRIM(MID(SUBSTITUTE($F269, ",", REPT(" ", 100)), (COLUMNS($AH$2:AU269)-1)*100+1, 100))</f>
        <v/>
      </c>
      <c r="AV269" t="str">
        <f>TRIM(MID(SUBSTITUTE($F269, ",", REPT(" ", 100)), (COLUMNS($AH$2:AV269)-1)*100+1, 100))</f>
        <v/>
      </c>
      <c r="AW269" t="str">
        <f>TRIM(MID(SUBSTITUTE($F269, ",", REPT(" ", 100)), (COLUMNS($AH$2:AW269)-1)*100+1, 100))</f>
        <v/>
      </c>
      <c r="AX269" t="str">
        <f>TRIM(MID(SUBSTITUTE($F269, ",", REPT(" ", 100)), (COLUMNS($AH$2:AX269)-1)*100+1, 100))</f>
        <v/>
      </c>
      <c r="AY269" t="str">
        <f>TRIM(MID(SUBSTITUTE($F269, ",", REPT(" ", 100)), (COLUMNS($AH$2:AY269)-1)*100+1, 100))</f>
        <v/>
      </c>
      <c r="AZ269" t="str">
        <f>TRIM(MID(SUBSTITUTE($F269, ",", REPT(" ", 100)), (COLUMNS($AH$2:AZ269)-1)*100+1, 100))</f>
        <v/>
      </c>
      <c r="BA269" t="str">
        <f>TRIM(MID(SUBSTITUTE($F269, ",", REPT(" ", 100)), (COLUMNS($AH$2:BA269)-1)*100+1, 100))</f>
        <v/>
      </c>
    </row>
    <row r="270" spans="1:53" x14ac:dyDescent="0.5">
      <c r="A270" s="1">
        <v>45926</v>
      </c>
      <c r="B270" s="2">
        <v>4.5</v>
      </c>
      <c r="C270" s="272"/>
      <c r="D270" s="295"/>
      <c r="E270" s="58">
        <v>0</v>
      </c>
      <c r="F270" s="38" t="s">
        <v>194</v>
      </c>
      <c r="AJ270" t="str">
        <f>TRIM(MID(SUBSTITUTE($F270, ",", REPT(" ", 100)), (COLUMNS($AH$2:AJ270)-1)*100+1, 100))</f>
        <v/>
      </c>
      <c r="AK270" s="1">
        <v>45926</v>
      </c>
      <c r="AL270" s="2">
        <v>4.5</v>
      </c>
      <c r="AM270" s="2">
        <v>8</v>
      </c>
      <c r="AO270" t="str">
        <f>TRIM(MID(SUBSTITUTE($F270, ",", REPT(" ", 100)), (COLUMNS($AH$2:AO270)-1)*100+1, 100))</f>
        <v/>
      </c>
      <c r="AP270" t="str">
        <f>TRIM(MID(SUBSTITUTE($F270, ",", REPT(" ", 100)), (COLUMNS($AH$2:AP270)-1)*100+1, 100))</f>
        <v/>
      </c>
      <c r="AQ270" t="str">
        <f>TRIM(MID(SUBSTITUTE($F270, ",", REPT(" ", 100)), (COLUMNS($AH$2:AQ270)-1)*100+1, 100))</f>
        <v/>
      </c>
      <c r="AR270" t="str">
        <f>TRIM(MID(SUBSTITUTE($F270, ",", REPT(" ", 100)), (COLUMNS($AH$2:AR270)-1)*100+1, 100))</f>
        <v/>
      </c>
      <c r="AS270" t="str">
        <f>TRIM(MID(SUBSTITUTE($F270, ",", REPT(" ", 100)), (COLUMNS($AH$2:AS270)-1)*100+1, 100))</f>
        <v/>
      </c>
      <c r="AT270" t="str">
        <f>TRIM(MID(SUBSTITUTE($F270, ",", REPT(" ", 100)), (COLUMNS($AH$2:AT270)-1)*100+1, 100))</f>
        <v/>
      </c>
      <c r="AU270" t="str">
        <f>TRIM(MID(SUBSTITUTE($F270, ",", REPT(" ", 100)), (COLUMNS($AH$2:AU270)-1)*100+1, 100))</f>
        <v/>
      </c>
      <c r="AV270" t="str">
        <f>TRIM(MID(SUBSTITUTE($F270, ",", REPT(" ", 100)), (COLUMNS($AH$2:AV270)-1)*100+1, 100))</f>
        <v/>
      </c>
      <c r="AW270" t="str">
        <f>TRIM(MID(SUBSTITUTE($F270, ",", REPT(" ", 100)), (COLUMNS($AH$2:AW270)-1)*100+1, 100))</f>
        <v/>
      </c>
      <c r="AX270" t="str">
        <f>TRIM(MID(SUBSTITUTE($F270, ",", REPT(" ", 100)), (COLUMNS($AH$2:AX270)-1)*100+1, 100))</f>
        <v/>
      </c>
      <c r="AY270" t="str">
        <f>TRIM(MID(SUBSTITUTE($F270, ",", REPT(" ", 100)), (COLUMNS($AH$2:AY270)-1)*100+1, 100))</f>
        <v/>
      </c>
      <c r="AZ270" t="str">
        <f>TRIM(MID(SUBSTITUTE($F270, ",", REPT(" ", 100)), (COLUMNS($AH$2:AZ270)-1)*100+1, 100))</f>
        <v/>
      </c>
      <c r="BA270" t="str">
        <f>TRIM(MID(SUBSTITUTE($F270, ",", REPT(" ", 100)), (COLUMNS($AH$2:BA270)-1)*100+1, 100))</f>
        <v/>
      </c>
    </row>
    <row r="271" spans="1:53" x14ac:dyDescent="0.5">
      <c r="A271" s="1">
        <v>45927</v>
      </c>
      <c r="B271" s="2">
        <v>6.8</v>
      </c>
      <c r="C271" s="272"/>
      <c r="D271" s="295"/>
      <c r="E271" s="58">
        <v>1</v>
      </c>
      <c r="F271" s="38" t="s">
        <v>194</v>
      </c>
      <c r="AJ271" t="str">
        <f>TRIM(MID(SUBSTITUTE($F271, ",", REPT(" ", 100)), (COLUMNS($AH$2:AJ271)-1)*100+1, 100))</f>
        <v/>
      </c>
      <c r="AK271" s="1">
        <v>45927</v>
      </c>
      <c r="AL271" s="2">
        <v>6.8</v>
      </c>
      <c r="AM271" s="2">
        <v>4</v>
      </c>
      <c r="AO271" t="str">
        <f>TRIM(MID(SUBSTITUTE($F271, ",", REPT(" ", 100)), (COLUMNS($AH$2:AO271)-1)*100+1, 100))</f>
        <v/>
      </c>
      <c r="AP271" t="str">
        <f>TRIM(MID(SUBSTITUTE($F271, ",", REPT(" ", 100)), (COLUMNS($AH$2:AP271)-1)*100+1, 100))</f>
        <v/>
      </c>
      <c r="AQ271" t="str">
        <f>TRIM(MID(SUBSTITUTE($F271, ",", REPT(" ", 100)), (COLUMNS($AH$2:AQ271)-1)*100+1, 100))</f>
        <v/>
      </c>
      <c r="AR271" t="str">
        <f>TRIM(MID(SUBSTITUTE($F271, ",", REPT(" ", 100)), (COLUMNS($AH$2:AR271)-1)*100+1, 100))</f>
        <v/>
      </c>
      <c r="AS271" t="str">
        <f>TRIM(MID(SUBSTITUTE($F271, ",", REPT(" ", 100)), (COLUMNS($AH$2:AS271)-1)*100+1, 100))</f>
        <v/>
      </c>
      <c r="AT271" t="str">
        <f>TRIM(MID(SUBSTITUTE($F271, ",", REPT(" ", 100)), (COLUMNS($AH$2:AT271)-1)*100+1, 100))</f>
        <v/>
      </c>
      <c r="AU271" t="str">
        <f>TRIM(MID(SUBSTITUTE($F271, ",", REPT(" ", 100)), (COLUMNS($AH$2:AU271)-1)*100+1, 100))</f>
        <v/>
      </c>
      <c r="AV271" t="str">
        <f>TRIM(MID(SUBSTITUTE($F271, ",", REPT(" ", 100)), (COLUMNS($AH$2:AV271)-1)*100+1, 100))</f>
        <v/>
      </c>
      <c r="AW271" t="str">
        <f>TRIM(MID(SUBSTITUTE($F271, ",", REPT(" ", 100)), (COLUMNS($AH$2:AW271)-1)*100+1, 100))</f>
        <v/>
      </c>
      <c r="AX271" t="str">
        <f>TRIM(MID(SUBSTITUTE($F271, ",", REPT(" ", 100)), (COLUMNS($AH$2:AX271)-1)*100+1, 100))</f>
        <v/>
      </c>
      <c r="AY271" t="str">
        <f>TRIM(MID(SUBSTITUTE($F271, ",", REPT(" ", 100)), (COLUMNS($AH$2:AY271)-1)*100+1, 100))</f>
        <v/>
      </c>
      <c r="AZ271" t="str">
        <f>TRIM(MID(SUBSTITUTE($F271, ",", REPT(" ", 100)), (COLUMNS($AH$2:AZ271)-1)*100+1, 100))</f>
        <v/>
      </c>
      <c r="BA271" t="str">
        <f>TRIM(MID(SUBSTITUTE($F271, ",", REPT(" ", 100)), (COLUMNS($AH$2:BA271)-1)*100+1, 100))</f>
        <v/>
      </c>
    </row>
    <row r="272" spans="1:53" x14ac:dyDescent="0.5">
      <c r="A272" s="1">
        <v>45928</v>
      </c>
      <c r="B272" s="2">
        <v>7.8</v>
      </c>
      <c r="C272" s="272"/>
      <c r="D272" s="295"/>
      <c r="E272" s="58">
        <v>1</v>
      </c>
      <c r="F272" s="38" t="s">
        <v>194</v>
      </c>
      <c r="AJ272" t="str">
        <f>TRIM(MID(SUBSTITUTE($F272, ",", REPT(" ", 100)), (COLUMNS($AH$2:AJ272)-1)*100+1, 100))</f>
        <v/>
      </c>
      <c r="AK272" s="1">
        <v>45928</v>
      </c>
      <c r="AL272" s="2">
        <v>7.8</v>
      </c>
      <c r="AM272" s="2">
        <v>6</v>
      </c>
      <c r="AO272" t="str">
        <f>TRIM(MID(SUBSTITUTE($F272, ",", REPT(" ", 100)), (COLUMNS($AH$2:AO272)-1)*100+1, 100))</f>
        <v/>
      </c>
      <c r="AP272" t="str">
        <f>TRIM(MID(SUBSTITUTE($F272, ",", REPT(" ", 100)), (COLUMNS($AH$2:AP272)-1)*100+1, 100))</f>
        <v/>
      </c>
      <c r="AQ272" t="str">
        <f>TRIM(MID(SUBSTITUTE($F272, ",", REPT(" ", 100)), (COLUMNS($AH$2:AQ272)-1)*100+1, 100))</f>
        <v/>
      </c>
      <c r="AR272" t="str">
        <f>TRIM(MID(SUBSTITUTE($F272, ",", REPT(" ", 100)), (COLUMNS($AH$2:AR272)-1)*100+1, 100))</f>
        <v/>
      </c>
      <c r="AS272" t="str">
        <f>TRIM(MID(SUBSTITUTE($F272, ",", REPT(" ", 100)), (COLUMNS($AH$2:AS272)-1)*100+1, 100))</f>
        <v/>
      </c>
      <c r="AT272" t="str">
        <f>TRIM(MID(SUBSTITUTE($F272, ",", REPT(" ", 100)), (COLUMNS($AH$2:AT272)-1)*100+1, 100))</f>
        <v/>
      </c>
      <c r="AU272" t="str">
        <f>TRIM(MID(SUBSTITUTE($F272, ",", REPT(" ", 100)), (COLUMNS($AH$2:AU272)-1)*100+1, 100))</f>
        <v/>
      </c>
      <c r="AV272" t="str">
        <f>TRIM(MID(SUBSTITUTE($F272, ",", REPT(" ", 100)), (COLUMNS($AH$2:AV272)-1)*100+1, 100))</f>
        <v/>
      </c>
      <c r="AW272" t="str">
        <f>TRIM(MID(SUBSTITUTE($F272, ",", REPT(" ", 100)), (COLUMNS($AH$2:AW272)-1)*100+1, 100))</f>
        <v/>
      </c>
      <c r="AX272" t="str">
        <f>TRIM(MID(SUBSTITUTE($F272, ",", REPT(" ", 100)), (COLUMNS($AH$2:AX272)-1)*100+1, 100))</f>
        <v/>
      </c>
      <c r="AY272" t="str">
        <f>TRIM(MID(SUBSTITUTE($F272, ",", REPT(" ", 100)), (COLUMNS($AH$2:AY272)-1)*100+1, 100))</f>
        <v/>
      </c>
      <c r="AZ272" t="str">
        <f>TRIM(MID(SUBSTITUTE($F272, ",", REPT(" ", 100)), (COLUMNS($AH$2:AZ272)-1)*100+1, 100))</f>
        <v/>
      </c>
      <c r="BA272" t="str">
        <f>TRIM(MID(SUBSTITUTE($F272, ",", REPT(" ", 100)), (COLUMNS($AH$2:BA272)-1)*100+1, 100))</f>
        <v/>
      </c>
    </row>
    <row r="273" spans="1:53" x14ac:dyDescent="0.5">
      <c r="A273" s="1">
        <v>45929</v>
      </c>
      <c r="B273" s="2">
        <v>6</v>
      </c>
      <c r="C273" s="272"/>
      <c r="D273" s="295"/>
      <c r="E273" s="58">
        <v>0</v>
      </c>
      <c r="F273" s="38" t="s">
        <v>194</v>
      </c>
      <c r="AJ273" t="str">
        <f>TRIM(MID(SUBSTITUTE($F273, ",", REPT(" ", 100)), (COLUMNS($AH$2:AJ273)-1)*100+1, 100))</f>
        <v/>
      </c>
      <c r="AK273" s="1">
        <v>45929</v>
      </c>
      <c r="AL273" s="2">
        <v>6</v>
      </c>
      <c r="AM273" s="2">
        <v>8</v>
      </c>
      <c r="AO273" t="str">
        <f>TRIM(MID(SUBSTITUTE($F273, ",", REPT(" ", 100)), (COLUMNS($AH$2:AO273)-1)*100+1, 100))</f>
        <v/>
      </c>
      <c r="AP273" t="str">
        <f>TRIM(MID(SUBSTITUTE($F273, ",", REPT(" ", 100)), (COLUMNS($AH$2:AP273)-1)*100+1, 100))</f>
        <v/>
      </c>
      <c r="AQ273" t="str">
        <f>TRIM(MID(SUBSTITUTE($F273, ",", REPT(" ", 100)), (COLUMNS($AH$2:AQ273)-1)*100+1, 100))</f>
        <v/>
      </c>
      <c r="AR273" t="str">
        <f>TRIM(MID(SUBSTITUTE($F273, ",", REPT(" ", 100)), (COLUMNS($AH$2:AR273)-1)*100+1, 100))</f>
        <v/>
      </c>
      <c r="AS273" t="str">
        <f>TRIM(MID(SUBSTITUTE($F273, ",", REPT(" ", 100)), (COLUMNS($AH$2:AS273)-1)*100+1, 100))</f>
        <v/>
      </c>
      <c r="AT273" t="str">
        <f>TRIM(MID(SUBSTITUTE($F273, ",", REPT(" ", 100)), (COLUMNS($AH$2:AT273)-1)*100+1, 100))</f>
        <v/>
      </c>
      <c r="AU273" t="str">
        <f>TRIM(MID(SUBSTITUTE($F273, ",", REPT(" ", 100)), (COLUMNS($AH$2:AU273)-1)*100+1, 100))</f>
        <v/>
      </c>
      <c r="AV273" t="str">
        <f>TRIM(MID(SUBSTITUTE($F273, ",", REPT(" ", 100)), (COLUMNS($AH$2:AV273)-1)*100+1, 100))</f>
        <v/>
      </c>
      <c r="AW273" t="str">
        <f>TRIM(MID(SUBSTITUTE($F273, ",", REPT(" ", 100)), (COLUMNS($AH$2:AW273)-1)*100+1, 100))</f>
        <v/>
      </c>
      <c r="AX273" t="str">
        <f>TRIM(MID(SUBSTITUTE($F273, ",", REPT(" ", 100)), (COLUMNS($AH$2:AX273)-1)*100+1, 100))</f>
        <v/>
      </c>
      <c r="AY273" t="str">
        <f>TRIM(MID(SUBSTITUTE($F273, ",", REPT(" ", 100)), (COLUMNS($AH$2:AY273)-1)*100+1, 100))</f>
        <v/>
      </c>
      <c r="AZ273" t="str">
        <f>TRIM(MID(SUBSTITUTE($F273, ",", REPT(" ", 100)), (COLUMNS($AH$2:AZ273)-1)*100+1, 100))</f>
        <v/>
      </c>
      <c r="BA273" t="str">
        <f>TRIM(MID(SUBSTITUTE($F273, ",", REPT(" ", 100)), (COLUMNS($AH$2:BA273)-1)*100+1, 100))</f>
        <v/>
      </c>
    </row>
    <row r="274" spans="1:53" x14ac:dyDescent="0.5">
      <c r="A274" s="1">
        <v>45930</v>
      </c>
      <c r="B274" s="2">
        <v>7</v>
      </c>
      <c r="C274" s="272"/>
      <c r="D274" s="295"/>
      <c r="E274" s="58">
        <v>1</v>
      </c>
      <c r="F274" s="38" t="s">
        <v>194</v>
      </c>
      <c r="AJ274" t="str">
        <f>TRIM(MID(SUBSTITUTE($F274, ",", REPT(" ", 100)), (COLUMNS($AH$2:AJ274)-1)*100+1, 100))</f>
        <v/>
      </c>
      <c r="AK274" s="1">
        <v>45930</v>
      </c>
      <c r="AL274" s="2">
        <v>7</v>
      </c>
      <c r="AM274" s="2">
        <v>6</v>
      </c>
      <c r="AO274" t="str">
        <f>TRIM(MID(SUBSTITUTE($F274, ",", REPT(" ", 100)), (COLUMNS($AH$2:AO274)-1)*100+1, 100))</f>
        <v/>
      </c>
      <c r="AP274" t="str">
        <f>TRIM(MID(SUBSTITUTE($F274, ",", REPT(" ", 100)), (COLUMNS($AH$2:AP274)-1)*100+1, 100))</f>
        <v/>
      </c>
      <c r="AQ274" t="str">
        <f>TRIM(MID(SUBSTITUTE($F274, ",", REPT(" ", 100)), (COLUMNS($AH$2:AQ274)-1)*100+1, 100))</f>
        <v/>
      </c>
      <c r="AR274" t="str">
        <f>TRIM(MID(SUBSTITUTE($F274, ",", REPT(" ", 100)), (COLUMNS($AH$2:AR274)-1)*100+1, 100))</f>
        <v/>
      </c>
      <c r="AS274" t="str">
        <f>TRIM(MID(SUBSTITUTE($F274, ",", REPT(" ", 100)), (COLUMNS($AH$2:AS274)-1)*100+1, 100))</f>
        <v/>
      </c>
      <c r="AT274" t="str">
        <f>TRIM(MID(SUBSTITUTE($F274, ",", REPT(" ", 100)), (COLUMNS($AH$2:AT274)-1)*100+1, 100))</f>
        <v/>
      </c>
      <c r="AU274" t="str">
        <f>TRIM(MID(SUBSTITUTE($F274, ",", REPT(" ", 100)), (COLUMNS($AH$2:AU274)-1)*100+1, 100))</f>
        <v/>
      </c>
      <c r="AV274" t="str">
        <f>TRIM(MID(SUBSTITUTE($F274, ",", REPT(" ", 100)), (COLUMNS($AH$2:AV274)-1)*100+1, 100))</f>
        <v/>
      </c>
      <c r="AW274" t="str">
        <f>TRIM(MID(SUBSTITUTE($F274, ",", REPT(" ", 100)), (COLUMNS($AH$2:AW274)-1)*100+1, 100))</f>
        <v/>
      </c>
      <c r="AX274" t="str">
        <f>TRIM(MID(SUBSTITUTE($F274, ",", REPT(" ", 100)), (COLUMNS($AH$2:AX274)-1)*100+1, 100))</f>
        <v/>
      </c>
      <c r="AY274" t="str">
        <f>TRIM(MID(SUBSTITUTE($F274, ",", REPT(" ", 100)), (COLUMNS($AH$2:AY274)-1)*100+1, 100))</f>
        <v/>
      </c>
      <c r="AZ274" t="str">
        <f>TRIM(MID(SUBSTITUTE($F274, ",", REPT(" ", 100)), (COLUMNS($AH$2:AZ274)-1)*100+1, 100))</f>
        <v/>
      </c>
      <c r="BA274" t="str">
        <f>TRIM(MID(SUBSTITUTE($F274, ",", REPT(" ", 100)), (COLUMNS($AH$2:BA274)-1)*100+1, 100))</f>
        <v/>
      </c>
    </row>
    <row r="275" spans="1:53" x14ac:dyDescent="0.5">
      <c r="A275" s="1">
        <v>45931</v>
      </c>
      <c r="B275" s="2">
        <v>5.6</v>
      </c>
      <c r="C275" s="272">
        <f>AVERAGE(B275:B305)</f>
        <v>5.629032258064516</v>
      </c>
      <c r="D275" s="295"/>
      <c r="E275" s="58">
        <v>1</v>
      </c>
      <c r="F275" s="38" t="s">
        <v>194</v>
      </c>
      <c r="AJ275" t="str">
        <f>TRIM(MID(SUBSTITUTE($F275, ",", REPT(" ", 100)), (COLUMNS($AH$2:AJ275)-1)*100+1, 100))</f>
        <v/>
      </c>
      <c r="AK275" s="1">
        <v>45931</v>
      </c>
      <c r="AL275" s="2">
        <v>5.6</v>
      </c>
      <c r="AM275" s="2">
        <v>4</v>
      </c>
      <c r="AO275" t="str">
        <f>TRIM(MID(SUBSTITUTE($F275, ",", REPT(" ", 100)), (COLUMNS($AH$2:AO275)-1)*100+1, 100))</f>
        <v/>
      </c>
      <c r="AP275" t="str">
        <f>TRIM(MID(SUBSTITUTE($F275, ",", REPT(" ", 100)), (COLUMNS($AH$2:AP275)-1)*100+1, 100))</f>
        <v/>
      </c>
      <c r="AQ275" t="str">
        <f>TRIM(MID(SUBSTITUTE($F275, ",", REPT(" ", 100)), (COLUMNS($AH$2:AQ275)-1)*100+1, 100))</f>
        <v/>
      </c>
      <c r="AR275" t="str">
        <f>TRIM(MID(SUBSTITUTE($F275, ",", REPT(" ", 100)), (COLUMNS($AH$2:AR275)-1)*100+1, 100))</f>
        <v/>
      </c>
      <c r="AS275" t="str">
        <f>TRIM(MID(SUBSTITUTE($F275, ",", REPT(" ", 100)), (COLUMNS($AH$2:AS275)-1)*100+1, 100))</f>
        <v/>
      </c>
      <c r="AT275" t="str">
        <f>TRIM(MID(SUBSTITUTE($F275, ",", REPT(" ", 100)), (COLUMNS($AH$2:AT275)-1)*100+1, 100))</f>
        <v/>
      </c>
      <c r="AU275" t="str">
        <f>TRIM(MID(SUBSTITUTE($F275, ",", REPT(" ", 100)), (COLUMNS($AH$2:AU275)-1)*100+1, 100))</f>
        <v/>
      </c>
      <c r="AV275" t="str">
        <f>TRIM(MID(SUBSTITUTE($F275, ",", REPT(" ", 100)), (COLUMNS($AH$2:AV275)-1)*100+1, 100))</f>
        <v/>
      </c>
      <c r="AW275" t="str">
        <f>TRIM(MID(SUBSTITUTE($F275, ",", REPT(" ", 100)), (COLUMNS($AH$2:AW275)-1)*100+1, 100))</f>
        <v/>
      </c>
      <c r="AX275" t="str">
        <f>TRIM(MID(SUBSTITUTE($F275, ",", REPT(" ", 100)), (COLUMNS($AH$2:AX275)-1)*100+1, 100))</f>
        <v/>
      </c>
      <c r="AY275" t="str">
        <f>TRIM(MID(SUBSTITUTE($F275, ",", REPT(" ", 100)), (COLUMNS($AH$2:AY275)-1)*100+1, 100))</f>
        <v/>
      </c>
      <c r="AZ275" t="str">
        <f>TRIM(MID(SUBSTITUTE($F275, ",", REPT(" ", 100)), (COLUMNS($AH$2:AZ275)-1)*100+1, 100))</f>
        <v/>
      </c>
      <c r="BA275" t="str">
        <f>TRIM(MID(SUBSTITUTE($F275, ",", REPT(" ", 100)), (COLUMNS($AH$2:BA275)-1)*100+1, 100))</f>
        <v/>
      </c>
    </row>
    <row r="276" spans="1:53" x14ac:dyDescent="0.5">
      <c r="A276" s="1">
        <v>45932</v>
      </c>
      <c r="B276" s="2">
        <v>6.4</v>
      </c>
      <c r="C276" s="272"/>
      <c r="D276" s="295"/>
      <c r="E276" s="58">
        <v>1</v>
      </c>
      <c r="F276" s="38" t="s">
        <v>194</v>
      </c>
      <c r="AJ276" t="str">
        <f>TRIM(MID(SUBSTITUTE($F276, ",", REPT(" ", 100)), (COLUMNS($AH$2:AJ276)-1)*100+1, 100))</f>
        <v/>
      </c>
      <c r="AK276" s="1">
        <v>45932</v>
      </c>
      <c r="AL276" s="2">
        <v>6.4</v>
      </c>
      <c r="AM276" s="2">
        <v>6</v>
      </c>
      <c r="AO276" t="str">
        <f>TRIM(MID(SUBSTITUTE($F276, ",", REPT(" ", 100)), (COLUMNS($AH$2:AO276)-1)*100+1, 100))</f>
        <v/>
      </c>
      <c r="AP276" t="str">
        <f>TRIM(MID(SUBSTITUTE($F276, ",", REPT(" ", 100)), (COLUMNS($AH$2:AP276)-1)*100+1, 100))</f>
        <v/>
      </c>
      <c r="AQ276" t="str">
        <f>TRIM(MID(SUBSTITUTE($F276, ",", REPT(" ", 100)), (COLUMNS($AH$2:AQ276)-1)*100+1, 100))</f>
        <v/>
      </c>
      <c r="AR276" t="str">
        <f>TRIM(MID(SUBSTITUTE($F276, ",", REPT(" ", 100)), (COLUMNS($AH$2:AR276)-1)*100+1, 100))</f>
        <v/>
      </c>
      <c r="AS276" t="str">
        <f>TRIM(MID(SUBSTITUTE($F276, ",", REPT(" ", 100)), (COLUMNS($AH$2:AS276)-1)*100+1, 100))</f>
        <v/>
      </c>
      <c r="AT276" t="str">
        <f>TRIM(MID(SUBSTITUTE($F276, ",", REPT(" ", 100)), (COLUMNS($AH$2:AT276)-1)*100+1, 100))</f>
        <v/>
      </c>
      <c r="AU276" t="str">
        <f>TRIM(MID(SUBSTITUTE($F276, ",", REPT(" ", 100)), (COLUMNS($AH$2:AU276)-1)*100+1, 100))</f>
        <v/>
      </c>
      <c r="AV276" t="str">
        <f>TRIM(MID(SUBSTITUTE($F276, ",", REPT(" ", 100)), (COLUMNS($AH$2:AV276)-1)*100+1, 100))</f>
        <v/>
      </c>
      <c r="AW276" t="str">
        <f>TRIM(MID(SUBSTITUTE($F276, ",", REPT(" ", 100)), (COLUMNS($AH$2:AW276)-1)*100+1, 100))</f>
        <v/>
      </c>
      <c r="AX276" t="str">
        <f>TRIM(MID(SUBSTITUTE($F276, ",", REPT(" ", 100)), (COLUMNS($AH$2:AX276)-1)*100+1, 100))</f>
        <v/>
      </c>
      <c r="AY276" t="str">
        <f>TRIM(MID(SUBSTITUTE($F276, ",", REPT(" ", 100)), (COLUMNS($AH$2:AY276)-1)*100+1, 100))</f>
        <v/>
      </c>
      <c r="AZ276" t="str">
        <f>TRIM(MID(SUBSTITUTE($F276, ",", REPT(" ", 100)), (COLUMNS($AH$2:AZ276)-1)*100+1, 100))</f>
        <v/>
      </c>
      <c r="BA276" t="str">
        <f>TRIM(MID(SUBSTITUTE($F276, ",", REPT(" ", 100)), (COLUMNS($AH$2:BA276)-1)*100+1, 100))</f>
        <v/>
      </c>
    </row>
    <row r="277" spans="1:53" x14ac:dyDescent="0.5">
      <c r="A277" s="1">
        <v>45933</v>
      </c>
      <c r="B277" s="2">
        <v>5</v>
      </c>
      <c r="C277" s="272"/>
      <c r="D277" s="295"/>
      <c r="E277" s="58">
        <v>0</v>
      </c>
      <c r="F277" s="38" t="s">
        <v>194</v>
      </c>
      <c r="AJ277" t="str">
        <f>TRIM(MID(SUBSTITUTE($F277, ",", REPT(" ", 100)), (COLUMNS($AH$2:AJ277)-1)*100+1, 100))</f>
        <v/>
      </c>
      <c r="AK277" s="1">
        <v>45933</v>
      </c>
      <c r="AL277" s="2">
        <v>5</v>
      </c>
      <c r="AM277" s="2">
        <v>6</v>
      </c>
      <c r="AO277" t="str">
        <f>TRIM(MID(SUBSTITUTE($F277, ",", REPT(" ", 100)), (COLUMNS($AH$2:AO277)-1)*100+1, 100))</f>
        <v/>
      </c>
      <c r="AP277" t="str">
        <f>TRIM(MID(SUBSTITUTE($F277, ",", REPT(" ", 100)), (COLUMNS($AH$2:AP277)-1)*100+1, 100))</f>
        <v/>
      </c>
      <c r="AQ277" t="str">
        <f>TRIM(MID(SUBSTITUTE($F277, ",", REPT(" ", 100)), (COLUMNS($AH$2:AQ277)-1)*100+1, 100))</f>
        <v/>
      </c>
      <c r="AR277" t="str">
        <f>TRIM(MID(SUBSTITUTE($F277, ",", REPT(" ", 100)), (COLUMNS($AH$2:AR277)-1)*100+1, 100))</f>
        <v/>
      </c>
      <c r="AS277" t="str">
        <f>TRIM(MID(SUBSTITUTE($F277, ",", REPT(" ", 100)), (COLUMNS($AH$2:AS277)-1)*100+1, 100))</f>
        <v/>
      </c>
      <c r="AT277" t="str">
        <f>TRIM(MID(SUBSTITUTE($F277, ",", REPT(" ", 100)), (COLUMNS($AH$2:AT277)-1)*100+1, 100))</f>
        <v/>
      </c>
      <c r="AU277" t="str">
        <f>TRIM(MID(SUBSTITUTE($F277, ",", REPT(" ", 100)), (COLUMNS($AH$2:AU277)-1)*100+1, 100))</f>
        <v/>
      </c>
      <c r="AV277" t="str">
        <f>TRIM(MID(SUBSTITUTE($F277, ",", REPT(" ", 100)), (COLUMNS($AH$2:AV277)-1)*100+1, 100))</f>
        <v/>
      </c>
      <c r="AW277" t="str">
        <f>TRIM(MID(SUBSTITUTE($F277, ",", REPT(" ", 100)), (COLUMNS($AH$2:AW277)-1)*100+1, 100))</f>
        <v/>
      </c>
      <c r="AX277" t="str">
        <f>TRIM(MID(SUBSTITUTE($F277, ",", REPT(" ", 100)), (COLUMNS($AH$2:AX277)-1)*100+1, 100))</f>
        <v/>
      </c>
      <c r="AY277" t="str">
        <f>TRIM(MID(SUBSTITUTE($F277, ",", REPT(" ", 100)), (COLUMNS($AH$2:AY277)-1)*100+1, 100))</f>
        <v/>
      </c>
      <c r="AZ277" t="str">
        <f>TRIM(MID(SUBSTITUTE($F277, ",", REPT(" ", 100)), (COLUMNS($AH$2:AZ277)-1)*100+1, 100))</f>
        <v/>
      </c>
      <c r="BA277" t="str">
        <f>TRIM(MID(SUBSTITUTE($F277, ",", REPT(" ", 100)), (COLUMNS($AH$2:BA277)-1)*100+1, 100))</f>
        <v/>
      </c>
    </row>
    <row r="278" spans="1:53" x14ac:dyDescent="0.5">
      <c r="A278" s="1">
        <v>45934</v>
      </c>
      <c r="B278" s="2">
        <v>8</v>
      </c>
      <c r="C278" s="272"/>
      <c r="D278" s="295"/>
      <c r="E278" s="58">
        <v>0</v>
      </c>
      <c r="F278" s="38" t="s">
        <v>194</v>
      </c>
      <c r="AJ278" t="str">
        <f>TRIM(MID(SUBSTITUTE($F278, ",", REPT(" ", 100)), (COLUMNS($AH$2:AJ278)-1)*100+1, 100))</f>
        <v/>
      </c>
      <c r="AK278" s="1">
        <v>45934</v>
      </c>
      <c r="AL278" s="2">
        <v>8</v>
      </c>
      <c r="AM278" s="2">
        <v>6</v>
      </c>
      <c r="AO278" t="str">
        <f>TRIM(MID(SUBSTITUTE($F278, ",", REPT(" ", 100)), (COLUMNS($AH$2:AO278)-1)*100+1, 100))</f>
        <v/>
      </c>
      <c r="AP278" t="str">
        <f>TRIM(MID(SUBSTITUTE($F278, ",", REPT(" ", 100)), (COLUMNS($AH$2:AP278)-1)*100+1, 100))</f>
        <v/>
      </c>
      <c r="AQ278" t="str">
        <f>TRIM(MID(SUBSTITUTE($F278, ",", REPT(" ", 100)), (COLUMNS($AH$2:AQ278)-1)*100+1, 100))</f>
        <v/>
      </c>
      <c r="AR278" t="str">
        <f>TRIM(MID(SUBSTITUTE($F278, ",", REPT(" ", 100)), (COLUMNS($AH$2:AR278)-1)*100+1, 100))</f>
        <v/>
      </c>
      <c r="AS278" t="str">
        <f>TRIM(MID(SUBSTITUTE($F278, ",", REPT(" ", 100)), (COLUMNS($AH$2:AS278)-1)*100+1, 100))</f>
        <v/>
      </c>
      <c r="AT278" t="str">
        <f>TRIM(MID(SUBSTITUTE($F278, ",", REPT(" ", 100)), (COLUMNS($AH$2:AT278)-1)*100+1, 100))</f>
        <v/>
      </c>
      <c r="AU278" t="str">
        <f>TRIM(MID(SUBSTITUTE($F278, ",", REPT(" ", 100)), (COLUMNS($AH$2:AU278)-1)*100+1, 100))</f>
        <v/>
      </c>
      <c r="AV278" t="str">
        <f>TRIM(MID(SUBSTITUTE($F278, ",", REPT(" ", 100)), (COLUMNS($AH$2:AV278)-1)*100+1, 100))</f>
        <v/>
      </c>
      <c r="AW278" t="str">
        <f>TRIM(MID(SUBSTITUTE($F278, ",", REPT(" ", 100)), (COLUMNS($AH$2:AW278)-1)*100+1, 100))</f>
        <v/>
      </c>
      <c r="AX278" t="str">
        <f>TRIM(MID(SUBSTITUTE($F278, ",", REPT(" ", 100)), (COLUMNS($AH$2:AX278)-1)*100+1, 100))</f>
        <v/>
      </c>
      <c r="AY278" t="str">
        <f>TRIM(MID(SUBSTITUTE($F278, ",", REPT(" ", 100)), (COLUMNS($AH$2:AY278)-1)*100+1, 100))</f>
        <v/>
      </c>
      <c r="AZ278" t="str">
        <f>TRIM(MID(SUBSTITUTE($F278, ",", REPT(" ", 100)), (COLUMNS($AH$2:AZ278)-1)*100+1, 100))</f>
        <v/>
      </c>
      <c r="BA278" t="str">
        <f>TRIM(MID(SUBSTITUTE($F278, ",", REPT(" ", 100)), (COLUMNS($AH$2:BA278)-1)*100+1, 100))</f>
        <v/>
      </c>
    </row>
    <row r="279" spans="1:53" x14ac:dyDescent="0.5">
      <c r="A279" s="1">
        <v>45935</v>
      </c>
      <c r="B279" s="2">
        <v>6.5</v>
      </c>
      <c r="C279" s="272"/>
      <c r="D279" s="295"/>
      <c r="E279" s="58">
        <v>1</v>
      </c>
      <c r="F279" s="38" t="s">
        <v>194</v>
      </c>
      <c r="AJ279" t="str">
        <f>TRIM(MID(SUBSTITUTE($F279, ",", REPT(" ", 100)), (COLUMNS($AH$2:AJ279)-1)*100+1, 100))</f>
        <v/>
      </c>
      <c r="AK279" s="1">
        <v>45935</v>
      </c>
      <c r="AL279" s="2">
        <v>6.5</v>
      </c>
      <c r="AM279" s="2">
        <v>2</v>
      </c>
      <c r="AO279" t="str">
        <f>TRIM(MID(SUBSTITUTE($F279, ",", REPT(" ", 100)), (COLUMNS($AH$2:AO279)-1)*100+1, 100))</f>
        <v/>
      </c>
      <c r="AP279" t="str">
        <f>TRIM(MID(SUBSTITUTE($F279, ",", REPT(" ", 100)), (COLUMNS($AH$2:AP279)-1)*100+1, 100))</f>
        <v/>
      </c>
      <c r="AQ279" t="str">
        <f>TRIM(MID(SUBSTITUTE($F279, ",", REPT(" ", 100)), (COLUMNS($AH$2:AQ279)-1)*100+1, 100))</f>
        <v/>
      </c>
      <c r="AR279" t="str">
        <f>TRIM(MID(SUBSTITUTE($F279, ",", REPT(" ", 100)), (COLUMNS($AH$2:AR279)-1)*100+1, 100))</f>
        <v/>
      </c>
      <c r="AS279" t="str">
        <f>TRIM(MID(SUBSTITUTE($F279, ",", REPT(" ", 100)), (COLUMNS($AH$2:AS279)-1)*100+1, 100))</f>
        <v/>
      </c>
      <c r="AT279" t="str">
        <f>TRIM(MID(SUBSTITUTE($F279, ",", REPT(" ", 100)), (COLUMNS($AH$2:AT279)-1)*100+1, 100))</f>
        <v/>
      </c>
      <c r="AU279" t="str">
        <f>TRIM(MID(SUBSTITUTE($F279, ",", REPT(" ", 100)), (COLUMNS($AH$2:AU279)-1)*100+1, 100))</f>
        <v/>
      </c>
      <c r="AV279" t="str">
        <f>TRIM(MID(SUBSTITUTE($F279, ",", REPT(" ", 100)), (COLUMNS($AH$2:AV279)-1)*100+1, 100))</f>
        <v/>
      </c>
      <c r="AW279" t="str">
        <f>TRIM(MID(SUBSTITUTE($F279, ",", REPT(" ", 100)), (COLUMNS($AH$2:AW279)-1)*100+1, 100))</f>
        <v/>
      </c>
      <c r="AX279" t="str">
        <f>TRIM(MID(SUBSTITUTE($F279, ",", REPT(" ", 100)), (COLUMNS($AH$2:AX279)-1)*100+1, 100))</f>
        <v/>
      </c>
      <c r="AY279" t="str">
        <f>TRIM(MID(SUBSTITUTE($F279, ",", REPT(" ", 100)), (COLUMNS($AH$2:AY279)-1)*100+1, 100))</f>
        <v/>
      </c>
      <c r="AZ279" t="str">
        <f>TRIM(MID(SUBSTITUTE($F279, ",", REPT(" ", 100)), (COLUMNS($AH$2:AZ279)-1)*100+1, 100))</f>
        <v/>
      </c>
      <c r="BA279" t="str">
        <f>TRIM(MID(SUBSTITUTE($F279, ",", REPT(" ", 100)), (COLUMNS($AH$2:BA279)-1)*100+1, 100))</f>
        <v/>
      </c>
    </row>
    <row r="280" spans="1:53" x14ac:dyDescent="0.5">
      <c r="A280" s="1">
        <v>45936</v>
      </c>
      <c r="B280" s="2">
        <v>4.5</v>
      </c>
      <c r="C280" s="272"/>
      <c r="D280" s="295"/>
      <c r="E280" s="58">
        <v>1</v>
      </c>
      <c r="F280" s="38" t="s">
        <v>194</v>
      </c>
      <c r="AJ280" t="str">
        <f>TRIM(MID(SUBSTITUTE($F280, ",", REPT(" ", 100)), (COLUMNS($AH$2:AJ280)-1)*100+1, 100))</f>
        <v/>
      </c>
      <c r="AK280" s="1">
        <v>45936</v>
      </c>
      <c r="AL280" s="2">
        <v>4.5</v>
      </c>
      <c r="AM280" s="2">
        <v>4</v>
      </c>
      <c r="AO280" t="str">
        <f>TRIM(MID(SUBSTITUTE($F280, ",", REPT(" ", 100)), (COLUMNS($AH$2:AO280)-1)*100+1, 100))</f>
        <v/>
      </c>
      <c r="AP280" t="str">
        <f>TRIM(MID(SUBSTITUTE($F280, ",", REPT(" ", 100)), (COLUMNS($AH$2:AP280)-1)*100+1, 100))</f>
        <v/>
      </c>
      <c r="AQ280" t="str">
        <f>TRIM(MID(SUBSTITUTE($F280, ",", REPT(" ", 100)), (COLUMNS($AH$2:AQ280)-1)*100+1, 100))</f>
        <v/>
      </c>
      <c r="AR280" t="str">
        <f>TRIM(MID(SUBSTITUTE($F280, ",", REPT(" ", 100)), (COLUMNS($AH$2:AR280)-1)*100+1, 100))</f>
        <v/>
      </c>
      <c r="AS280" t="str">
        <f>TRIM(MID(SUBSTITUTE($F280, ",", REPT(" ", 100)), (COLUMNS($AH$2:AS280)-1)*100+1, 100))</f>
        <v/>
      </c>
      <c r="AT280" t="str">
        <f>TRIM(MID(SUBSTITUTE($F280, ",", REPT(" ", 100)), (COLUMNS($AH$2:AT280)-1)*100+1, 100))</f>
        <v/>
      </c>
      <c r="AU280" t="str">
        <f>TRIM(MID(SUBSTITUTE($F280, ",", REPT(" ", 100)), (COLUMNS($AH$2:AU280)-1)*100+1, 100))</f>
        <v/>
      </c>
      <c r="AV280" t="str">
        <f>TRIM(MID(SUBSTITUTE($F280, ",", REPT(" ", 100)), (COLUMNS($AH$2:AV280)-1)*100+1, 100))</f>
        <v/>
      </c>
      <c r="AW280" t="str">
        <f>TRIM(MID(SUBSTITUTE($F280, ",", REPT(" ", 100)), (COLUMNS($AH$2:AW280)-1)*100+1, 100))</f>
        <v/>
      </c>
      <c r="AX280" t="str">
        <f>TRIM(MID(SUBSTITUTE($F280, ",", REPT(" ", 100)), (COLUMNS($AH$2:AX280)-1)*100+1, 100))</f>
        <v/>
      </c>
      <c r="AY280" t="str">
        <f>TRIM(MID(SUBSTITUTE($F280, ",", REPT(" ", 100)), (COLUMNS($AH$2:AY280)-1)*100+1, 100))</f>
        <v/>
      </c>
      <c r="AZ280" t="str">
        <f>TRIM(MID(SUBSTITUTE($F280, ",", REPT(" ", 100)), (COLUMNS($AH$2:AZ280)-1)*100+1, 100))</f>
        <v/>
      </c>
      <c r="BA280" t="str">
        <f>TRIM(MID(SUBSTITUTE($F280, ",", REPT(" ", 100)), (COLUMNS($AH$2:BA280)-1)*100+1, 100))</f>
        <v/>
      </c>
    </row>
    <row r="281" spans="1:53" x14ac:dyDescent="0.5">
      <c r="A281" s="1">
        <v>45937</v>
      </c>
      <c r="B281" s="2">
        <v>4</v>
      </c>
      <c r="C281" s="272"/>
      <c r="D281" s="295"/>
      <c r="E281" s="58">
        <v>1</v>
      </c>
      <c r="F281" s="38" t="s">
        <v>194</v>
      </c>
      <c r="AJ281" t="str">
        <f>TRIM(MID(SUBSTITUTE($F281, ",", REPT(" ", 100)), (COLUMNS($AH$2:AJ281)-1)*100+1, 100))</f>
        <v/>
      </c>
      <c r="AK281" s="1">
        <v>45937</v>
      </c>
      <c r="AL281" s="2">
        <v>4</v>
      </c>
      <c r="AM281" s="2">
        <v>0</v>
      </c>
      <c r="AO281" t="str">
        <f>TRIM(MID(SUBSTITUTE($F281, ",", REPT(" ", 100)), (COLUMNS($AH$2:AO281)-1)*100+1, 100))</f>
        <v/>
      </c>
      <c r="AP281" t="str">
        <f>TRIM(MID(SUBSTITUTE($F281, ",", REPT(" ", 100)), (COLUMNS($AH$2:AP281)-1)*100+1, 100))</f>
        <v/>
      </c>
      <c r="AQ281" t="str">
        <f>TRIM(MID(SUBSTITUTE($F281, ",", REPT(" ", 100)), (COLUMNS($AH$2:AQ281)-1)*100+1, 100))</f>
        <v/>
      </c>
      <c r="AR281" t="str">
        <f>TRIM(MID(SUBSTITUTE($F281, ",", REPT(" ", 100)), (COLUMNS($AH$2:AR281)-1)*100+1, 100))</f>
        <v/>
      </c>
      <c r="AS281" t="str">
        <f>TRIM(MID(SUBSTITUTE($F281, ",", REPT(" ", 100)), (COLUMNS($AH$2:AS281)-1)*100+1, 100))</f>
        <v/>
      </c>
      <c r="AT281" t="str">
        <f>TRIM(MID(SUBSTITUTE($F281, ",", REPT(" ", 100)), (COLUMNS($AH$2:AT281)-1)*100+1, 100))</f>
        <v/>
      </c>
      <c r="AU281" t="str">
        <f>TRIM(MID(SUBSTITUTE($F281, ",", REPT(" ", 100)), (COLUMNS($AH$2:AU281)-1)*100+1, 100))</f>
        <v/>
      </c>
      <c r="AV281" t="str">
        <f>TRIM(MID(SUBSTITUTE($F281, ",", REPT(" ", 100)), (COLUMNS($AH$2:AV281)-1)*100+1, 100))</f>
        <v/>
      </c>
      <c r="AW281" t="str">
        <f>TRIM(MID(SUBSTITUTE($F281, ",", REPT(" ", 100)), (COLUMNS($AH$2:AW281)-1)*100+1, 100))</f>
        <v/>
      </c>
      <c r="AX281" t="str">
        <f>TRIM(MID(SUBSTITUTE($F281, ",", REPT(" ", 100)), (COLUMNS($AH$2:AX281)-1)*100+1, 100))</f>
        <v/>
      </c>
      <c r="AY281" t="str">
        <f>TRIM(MID(SUBSTITUTE($F281, ",", REPT(" ", 100)), (COLUMNS($AH$2:AY281)-1)*100+1, 100))</f>
        <v/>
      </c>
      <c r="AZ281" t="str">
        <f>TRIM(MID(SUBSTITUTE($F281, ",", REPT(" ", 100)), (COLUMNS($AH$2:AZ281)-1)*100+1, 100))</f>
        <v/>
      </c>
      <c r="BA281" t="str">
        <f>TRIM(MID(SUBSTITUTE($F281, ",", REPT(" ", 100)), (COLUMNS($AH$2:BA281)-1)*100+1, 100))</f>
        <v/>
      </c>
    </row>
    <row r="282" spans="1:53" x14ac:dyDescent="0.5">
      <c r="A282" s="1">
        <v>45938</v>
      </c>
      <c r="B282" s="2">
        <v>4.5</v>
      </c>
      <c r="C282" s="272"/>
      <c r="D282" s="295"/>
      <c r="E282" s="58">
        <v>1</v>
      </c>
      <c r="F282" s="38" t="s">
        <v>194</v>
      </c>
      <c r="AJ282" t="str">
        <f>TRIM(MID(SUBSTITUTE($F282, ",", REPT(" ", 100)), (COLUMNS($AH$2:AJ282)-1)*100+1, 100))</f>
        <v/>
      </c>
      <c r="AK282" s="1">
        <v>45938</v>
      </c>
      <c r="AL282" s="2">
        <v>4.5</v>
      </c>
      <c r="AM282" s="2">
        <v>2</v>
      </c>
      <c r="AO282" t="str">
        <f>TRIM(MID(SUBSTITUTE($F282, ",", REPT(" ", 100)), (COLUMNS($AH$2:AO282)-1)*100+1, 100))</f>
        <v/>
      </c>
      <c r="AP282" t="str">
        <f>TRIM(MID(SUBSTITUTE($F282, ",", REPT(" ", 100)), (COLUMNS($AH$2:AP282)-1)*100+1, 100))</f>
        <v/>
      </c>
      <c r="AQ282" t="str">
        <f>TRIM(MID(SUBSTITUTE($F282, ",", REPT(" ", 100)), (COLUMNS($AH$2:AQ282)-1)*100+1, 100))</f>
        <v/>
      </c>
      <c r="AR282" t="str">
        <f>TRIM(MID(SUBSTITUTE($F282, ",", REPT(" ", 100)), (COLUMNS($AH$2:AR282)-1)*100+1, 100))</f>
        <v/>
      </c>
      <c r="AS282" t="str">
        <f>TRIM(MID(SUBSTITUTE($F282, ",", REPT(" ", 100)), (COLUMNS($AH$2:AS282)-1)*100+1, 100))</f>
        <v/>
      </c>
      <c r="AT282" t="str">
        <f>TRIM(MID(SUBSTITUTE($F282, ",", REPT(" ", 100)), (COLUMNS($AH$2:AT282)-1)*100+1, 100))</f>
        <v/>
      </c>
      <c r="AU282" t="str">
        <f>TRIM(MID(SUBSTITUTE($F282, ",", REPT(" ", 100)), (COLUMNS($AH$2:AU282)-1)*100+1, 100))</f>
        <v/>
      </c>
      <c r="AV282" t="str">
        <f>TRIM(MID(SUBSTITUTE($F282, ",", REPT(" ", 100)), (COLUMNS($AH$2:AV282)-1)*100+1, 100))</f>
        <v/>
      </c>
      <c r="AW282" t="str">
        <f>TRIM(MID(SUBSTITUTE($F282, ",", REPT(" ", 100)), (COLUMNS($AH$2:AW282)-1)*100+1, 100))</f>
        <v/>
      </c>
      <c r="AX282" t="str">
        <f>TRIM(MID(SUBSTITUTE($F282, ",", REPT(" ", 100)), (COLUMNS($AH$2:AX282)-1)*100+1, 100))</f>
        <v/>
      </c>
      <c r="AY282" t="str">
        <f>TRIM(MID(SUBSTITUTE($F282, ",", REPT(" ", 100)), (COLUMNS($AH$2:AY282)-1)*100+1, 100))</f>
        <v/>
      </c>
      <c r="AZ282" t="str">
        <f>TRIM(MID(SUBSTITUTE($F282, ",", REPT(" ", 100)), (COLUMNS($AH$2:AZ282)-1)*100+1, 100))</f>
        <v/>
      </c>
      <c r="BA282" t="str">
        <f>TRIM(MID(SUBSTITUTE($F282, ",", REPT(" ", 100)), (COLUMNS($AH$2:BA282)-1)*100+1, 100))</f>
        <v/>
      </c>
    </row>
    <row r="283" spans="1:53" x14ac:dyDescent="0.5">
      <c r="A283" s="1">
        <v>45939</v>
      </c>
      <c r="B283" s="2">
        <v>4.5</v>
      </c>
      <c r="C283" s="272"/>
      <c r="D283" s="295"/>
      <c r="E283" s="58">
        <v>1</v>
      </c>
      <c r="F283" s="38" t="s">
        <v>194</v>
      </c>
      <c r="AJ283" t="str">
        <f>TRIM(MID(SUBSTITUTE($F283, ",", REPT(" ", 100)), (COLUMNS($AH$2:AJ283)-1)*100+1, 100))</f>
        <v/>
      </c>
      <c r="AK283" s="1">
        <v>45939</v>
      </c>
      <c r="AL283" s="2">
        <v>4.5</v>
      </c>
      <c r="AM283" s="2">
        <v>6</v>
      </c>
      <c r="AO283" t="str">
        <f>TRIM(MID(SUBSTITUTE($F283, ",", REPT(" ", 100)), (COLUMNS($AH$2:AO283)-1)*100+1, 100))</f>
        <v/>
      </c>
      <c r="AP283" t="str">
        <f>TRIM(MID(SUBSTITUTE($F283, ",", REPT(" ", 100)), (COLUMNS($AH$2:AP283)-1)*100+1, 100))</f>
        <v/>
      </c>
      <c r="AQ283" t="str">
        <f>TRIM(MID(SUBSTITUTE($F283, ",", REPT(" ", 100)), (COLUMNS($AH$2:AQ283)-1)*100+1, 100))</f>
        <v/>
      </c>
      <c r="AR283" t="str">
        <f>TRIM(MID(SUBSTITUTE($F283, ",", REPT(" ", 100)), (COLUMNS($AH$2:AR283)-1)*100+1, 100))</f>
        <v/>
      </c>
      <c r="AS283" t="str">
        <f>TRIM(MID(SUBSTITUTE($F283, ",", REPT(" ", 100)), (COLUMNS($AH$2:AS283)-1)*100+1, 100))</f>
        <v/>
      </c>
      <c r="AT283" t="str">
        <f>TRIM(MID(SUBSTITUTE($F283, ",", REPT(" ", 100)), (COLUMNS($AH$2:AT283)-1)*100+1, 100))</f>
        <v/>
      </c>
      <c r="AU283" t="str">
        <f>TRIM(MID(SUBSTITUTE($F283, ",", REPT(" ", 100)), (COLUMNS($AH$2:AU283)-1)*100+1, 100))</f>
        <v/>
      </c>
      <c r="AV283" t="str">
        <f>TRIM(MID(SUBSTITUTE($F283, ",", REPT(" ", 100)), (COLUMNS($AH$2:AV283)-1)*100+1, 100))</f>
        <v/>
      </c>
      <c r="AW283" t="str">
        <f>TRIM(MID(SUBSTITUTE($F283, ",", REPT(" ", 100)), (COLUMNS($AH$2:AW283)-1)*100+1, 100))</f>
        <v/>
      </c>
      <c r="AX283" t="str">
        <f>TRIM(MID(SUBSTITUTE($F283, ",", REPT(" ", 100)), (COLUMNS($AH$2:AX283)-1)*100+1, 100))</f>
        <v/>
      </c>
      <c r="AY283" t="str">
        <f>TRIM(MID(SUBSTITUTE($F283, ",", REPT(" ", 100)), (COLUMNS($AH$2:AY283)-1)*100+1, 100))</f>
        <v/>
      </c>
      <c r="AZ283" t="str">
        <f>TRIM(MID(SUBSTITUTE($F283, ",", REPT(" ", 100)), (COLUMNS($AH$2:AZ283)-1)*100+1, 100))</f>
        <v/>
      </c>
      <c r="BA283" t="str">
        <f>TRIM(MID(SUBSTITUTE($F283, ",", REPT(" ", 100)), (COLUMNS($AH$2:BA283)-1)*100+1, 100))</f>
        <v/>
      </c>
    </row>
    <row r="284" spans="1:53" x14ac:dyDescent="0.5">
      <c r="A284" s="1">
        <v>45940</v>
      </c>
      <c r="B284" s="2">
        <v>4.5</v>
      </c>
      <c r="C284" s="272"/>
      <c r="D284" s="295"/>
      <c r="E284" s="58">
        <v>1</v>
      </c>
      <c r="F284" s="38" t="s">
        <v>194</v>
      </c>
      <c r="AJ284" t="str">
        <f>TRIM(MID(SUBSTITUTE($F284, ",", REPT(" ", 100)), (COLUMNS($AH$2:AJ284)-1)*100+1, 100))</f>
        <v/>
      </c>
      <c r="AK284" s="1">
        <v>45940</v>
      </c>
      <c r="AL284" s="2">
        <v>4.5</v>
      </c>
      <c r="AM284" s="2">
        <v>6</v>
      </c>
      <c r="AO284" t="str">
        <f>TRIM(MID(SUBSTITUTE($F284, ",", REPT(" ", 100)), (COLUMNS($AH$2:AO284)-1)*100+1, 100))</f>
        <v/>
      </c>
      <c r="AP284" t="str">
        <f>TRIM(MID(SUBSTITUTE($F284, ",", REPT(" ", 100)), (COLUMNS($AH$2:AP284)-1)*100+1, 100))</f>
        <v/>
      </c>
      <c r="AQ284" t="str">
        <f>TRIM(MID(SUBSTITUTE($F284, ",", REPT(" ", 100)), (COLUMNS($AH$2:AQ284)-1)*100+1, 100))</f>
        <v/>
      </c>
      <c r="AR284" t="str">
        <f>TRIM(MID(SUBSTITUTE($F284, ",", REPT(" ", 100)), (COLUMNS($AH$2:AR284)-1)*100+1, 100))</f>
        <v/>
      </c>
      <c r="AS284" t="str">
        <f>TRIM(MID(SUBSTITUTE($F284, ",", REPT(" ", 100)), (COLUMNS($AH$2:AS284)-1)*100+1, 100))</f>
        <v/>
      </c>
      <c r="AT284" t="str">
        <f>TRIM(MID(SUBSTITUTE($F284, ",", REPT(" ", 100)), (COLUMNS($AH$2:AT284)-1)*100+1, 100))</f>
        <v/>
      </c>
      <c r="AU284" t="str">
        <f>TRIM(MID(SUBSTITUTE($F284, ",", REPT(" ", 100)), (COLUMNS($AH$2:AU284)-1)*100+1, 100))</f>
        <v/>
      </c>
      <c r="AV284" t="str">
        <f>TRIM(MID(SUBSTITUTE($F284, ",", REPT(" ", 100)), (COLUMNS($AH$2:AV284)-1)*100+1, 100))</f>
        <v/>
      </c>
      <c r="AW284" t="str">
        <f>TRIM(MID(SUBSTITUTE($F284, ",", REPT(" ", 100)), (COLUMNS($AH$2:AW284)-1)*100+1, 100))</f>
        <v/>
      </c>
      <c r="AX284" t="str">
        <f>TRIM(MID(SUBSTITUTE($F284, ",", REPT(" ", 100)), (COLUMNS($AH$2:AX284)-1)*100+1, 100))</f>
        <v/>
      </c>
      <c r="AY284" t="str">
        <f>TRIM(MID(SUBSTITUTE($F284, ",", REPT(" ", 100)), (COLUMNS($AH$2:AY284)-1)*100+1, 100))</f>
        <v/>
      </c>
      <c r="AZ284" t="str">
        <f>TRIM(MID(SUBSTITUTE($F284, ",", REPT(" ", 100)), (COLUMNS($AH$2:AZ284)-1)*100+1, 100))</f>
        <v/>
      </c>
      <c r="BA284" t="str">
        <f>TRIM(MID(SUBSTITUTE($F284, ",", REPT(" ", 100)), (COLUMNS($AH$2:BA284)-1)*100+1, 100))</f>
        <v/>
      </c>
    </row>
    <row r="285" spans="1:53" x14ac:dyDescent="0.5">
      <c r="A285" s="1">
        <v>45941</v>
      </c>
      <c r="B285" s="2">
        <v>6</v>
      </c>
      <c r="C285" s="272"/>
      <c r="D285" s="295"/>
      <c r="E285" s="58">
        <v>1</v>
      </c>
      <c r="F285" s="38" t="s">
        <v>382</v>
      </c>
      <c r="AJ285" t="e">
        <f>TRIM(MID(SUBSTITUTE(#REF!, ",", REPT(" ", 100)), (COLUMNS($AH$2:AJ285)-1)*100+1, 100))</f>
        <v>#REF!</v>
      </c>
      <c r="AK285" s="1">
        <v>45941</v>
      </c>
      <c r="AL285" s="2">
        <v>6</v>
      </c>
      <c r="AM285" s="2">
        <v>8</v>
      </c>
      <c r="AO285" t="e">
        <f>TRIM(MID(SUBSTITUTE(#REF!, ",", REPT(" ", 100)), (COLUMNS($AH$2:AO285)-1)*100+1, 100))</f>
        <v>#REF!</v>
      </c>
      <c r="AP285" t="e">
        <f>TRIM(MID(SUBSTITUTE(#REF!, ",", REPT(" ", 100)), (COLUMNS($AH$2:AP285)-1)*100+1, 100))</f>
        <v>#REF!</v>
      </c>
      <c r="AQ285" t="e">
        <f>TRIM(MID(SUBSTITUTE(#REF!, ",", REPT(" ", 100)), (COLUMNS($AH$2:AQ285)-1)*100+1, 100))</f>
        <v>#REF!</v>
      </c>
      <c r="AR285" t="e">
        <f>TRIM(MID(SUBSTITUTE(#REF!, ",", REPT(" ", 100)), (COLUMNS($AH$2:AR285)-1)*100+1, 100))</f>
        <v>#REF!</v>
      </c>
      <c r="AS285" t="e">
        <f>TRIM(MID(SUBSTITUTE(#REF!, ",", REPT(" ", 100)), (COLUMNS($AH$2:AS285)-1)*100+1, 100))</f>
        <v>#REF!</v>
      </c>
      <c r="AT285" t="e">
        <f>TRIM(MID(SUBSTITUTE(#REF!, ",", REPT(" ", 100)), (COLUMNS($AH$2:AT285)-1)*100+1, 100))</f>
        <v>#REF!</v>
      </c>
      <c r="AU285" t="e">
        <f>TRIM(MID(SUBSTITUTE(#REF!, ",", REPT(" ", 100)), (COLUMNS($AH$2:AU285)-1)*100+1, 100))</f>
        <v>#REF!</v>
      </c>
      <c r="AV285" t="e">
        <f>TRIM(MID(SUBSTITUTE(#REF!, ",", REPT(" ", 100)), (COLUMNS($AH$2:AV285)-1)*100+1, 100))</f>
        <v>#REF!</v>
      </c>
      <c r="AW285" t="e">
        <f>TRIM(MID(SUBSTITUTE(#REF!, ",", REPT(" ", 100)), (COLUMNS($AH$2:AW285)-1)*100+1, 100))</f>
        <v>#REF!</v>
      </c>
      <c r="AX285" t="e">
        <f>TRIM(MID(SUBSTITUTE(#REF!, ",", REPT(" ", 100)), (COLUMNS($AH$2:AX285)-1)*100+1, 100))</f>
        <v>#REF!</v>
      </c>
      <c r="AY285" t="e">
        <f>TRIM(MID(SUBSTITUTE(#REF!, ",", REPT(" ", 100)), (COLUMNS($AH$2:AY285)-1)*100+1, 100))</f>
        <v>#REF!</v>
      </c>
      <c r="AZ285" t="e">
        <f>TRIM(MID(SUBSTITUTE(#REF!, ",", REPT(" ", 100)), (COLUMNS($AH$2:AZ285)-1)*100+1, 100))</f>
        <v>#REF!</v>
      </c>
      <c r="BA285" t="e">
        <f>TRIM(MID(SUBSTITUTE(#REF!, ",", REPT(" ", 100)), (COLUMNS($AH$2:BA285)-1)*100+1, 100))</f>
        <v>#REF!</v>
      </c>
    </row>
    <row r="286" spans="1:53" x14ac:dyDescent="0.5">
      <c r="A286" s="1">
        <v>45942</v>
      </c>
      <c r="B286" s="2">
        <v>3.5</v>
      </c>
      <c r="C286" s="272"/>
      <c r="D286" s="295"/>
      <c r="E286" s="58">
        <v>1</v>
      </c>
      <c r="F286" s="38" t="s">
        <v>176</v>
      </c>
      <c r="AJ286" t="str">
        <f>TRIM(MID(SUBSTITUTE($F285, ",", REPT(" ", 100)), (COLUMNS($AH$2:AJ286)-1)*100+1, 100))</f>
        <v>Chennai</v>
      </c>
      <c r="AK286" s="1">
        <v>45942</v>
      </c>
      <c r="AL286" s="2">
        <v>3.5</v>
      </c>
      <c r="AM286" s="2">
        <v>8</v>
      </c>
      <c r="AO286" t="str">
        <f>TRIM(MID(SUBSTITUTE($F285, ",", REPT(" ", 100)), (COLUMNS($AH$2:AO286)-1)*100+1, 100))</f>
        <v/>
      </c>
      <c r="AP286" t="str">
        <f>TRIM(MID(SUBSTITUTE($F285, ",", REPT(" ", 100)), (COLUMNS($AH$2:AP286)-1)*100+1, 100))</f>
        <v/>
      </c>
      <c r="AQ286" t="str">
        <f>TRIM(MID(SUBSTITUTE($F285, ",", REPT(" ", 100)), (COLUMNS($AH$2:AQ286)-1)*100+1, 100))</f>
        <v/>
      </c>
      <c r="AR286" t="str">
        <f>TRIM(MID(SUBSTITUTE($F285, ",", REPT(" ", 100)), (COLUMNS($AH$2:AR286)-1)*100+1, 100))</f>
        <v/>
      </c>
      <c r="AS286" t="str">
        <f>TRIM(MID(SUBSTITUTE($F285, ",", REPT(" ", 100)), (COLUMNS($AH$2:AS286)-1)*100+1, 100))</f>
        <v/>
      </c>
      <c r="AT286" t="str">
        <f>TRIM(MID(SUBSTITUTE($F285, ",", REPT(" ", 100)), (COLUMNS($AH$2:AT286)-1)*100+1, 100))</f>
        <v/>
      </c>
      <c r="AU286" t="str">
        <f>TRIM(MID(SUBSTITUTE($F285, ",", REPT(" ", 100)), (COLUMNS($AH$2:AU286)-1)*100+1, 100))</f>
        <v/>
      </c>
      <c r="AV286" t="str">
        <f>TRIM(MID(SUBSTITUTE($F285, ",", REPT(" ", 100)), (COLUMNS($AH$2:AV286)-1)*100+1, 100))</f>
        <v/>
      </c>
      <c r="AW286" t="str">
        <f>TRIM(MID(SUBSTITUTE($F285, ",", REPT(" ", 100)), (COLUMNS($AH$2:AW286)-1)*100+1, 100))</f>
        <v/>
      </c>
      <c r="AX286" t="str">
        <f>TRIM(MID(SUBSTITUTE($F285, ",", REPT(" ", 100)), (COLUMNS($AH$2:AX286)-1)*100+1, 100))</f>
        <v/>
      </c>
      <c r="AY286" t="str">
        <f>TRIM(MID(SUBSTITUTE($F285, ",", REPT(" ", 100)), (COLUMNS($AH$2:AY286)-1)*100+1, 100))</f>
        <v/>
      </c>
      <c r="AZ286" t="str">
        <f>TRIM(MID(SUBSTITUTE($F285, ",", REPT(" ", 100)), (COLUMNS($AH$2:AZ286)-1)*100+1, 100))</f>
        <v/>
      </c>
      <c r="BA286" t="str">
        <f>TRIM(MID(SUBSTITUTE($F285, ",", REPT(" ", 100)), (COLUMNS($AH$2:BA286)-1)*100+1, 100))</f>
        <v/>
      </c>
    </row>
    <row r="287" spans="1:53" x14ac:dyDescent="0.5">
      <c r="A287" s="1">
        <v>45943</v>
      </c>
      <c r="B287" s="2">
        <v>8</v>
      </c>
      <c r="C287" s="272"/>
      <c r="D287" s="295"/>
      <c r="E287" s="58">
        <v>1</v>
      </c>
      <c r="F287" s="38" t="s">
        <v>176</v>
      </c>
      <c r="G287" s="273" t="s">
        <v>392</v>
      </c>
      <c r="AJ287" t="str">
        <f>TRIM(MID(SUBSTITUTE($F287, ",", REPT(" ", 100)), (COLUMNS($AH$2:AJ287)-1)*100+1, 100))</f>
        <v/>
      </c>
      <c r="AK287" s="1">
        <v>45943</v>
      </c>
      <c r="AL287" s="2">
        <v>8</v>
      </c>
      <c r="AM287" s="2">
        <v>6</v>
      </c>
      <c r="AO287" t="str">
        <f>TRIM(MID(SUBSTITUTE($F287, ",", REPT(" ", 100)), (COLUMNS($AH$2:AO287)-1)*100+1, 100))</f>
        <v/>
      </c>
      <c r="AP287" t="str">
        <f>TRIM(MID(SUBSTITUTE($F287, ",", REPT(" ", 100)), (COLUMNS($AH$2:AP287)-1)*100+1, 100))</f>
        <v/>
      </c>
      <c r="AQ287" t="str">
        <f>TRIM(MID(SUBSTITUTE($F287, ",", REPT(" ", 100)), (COLUMNS($AH$2:AQ287)-1)*100+1, 100))</f>
        <v/>
      </c>
      <c r="AR287" t="str">
        <f>TRIM(MID(SUBSTITUTE($F287, ",", REPT(" ", 100)), (COLUMNS($AH$2:AR287)-1)*100+1, 100))</f>
        <v/>
      </c>
      <c r="AS287" t="str">
        <f>TRIM(MID(SUBSTITUTE($F287, ",", REPT(" ", 100)), (COLUMNS($AH$2:AS287)-1)*100+1, 100))</f>
        <v/>
      </c>
      <c r="AT287" t="str">
        <f>TRIM(MID(SUBSTITUTE($F287, ",", REPT(" ", 100)), (COLUMNS($AH$2:AT287)-1)*100+1, 100))</f>
        <v/>
      </c>
      <c r="AU287" t="str">
        <f>TRIM(MID(SUBSTITUTE($F287, ",", REPT(" ", 100)), (COLUMNS($AH$2:AU287)-1)*100+1, 100))</f>
        <v/>
      </c>
      <c r="AV287" t="str">
        <f>TRIM(MID(SUBSTITUTE($F287, ",", REPT(" ", 100)), (COLUMNS($AH$2:AV287)-1)*100+1, 100))</f>
        <v/>
      </c>
      <c r="AW287" t="str">
        <f>TRIM(MID(SUBSTITUTE($F287, ",", REPT(" ", 100)), (COLUMNS($AH$2:AW287)-1)*100+1, 100))</f>
        <v/>
      </c>
      <c r="AX287" t="str">
        <f>TRIM(MID(SUBSTITUTE($F287, ",", REPT(" ", 100)), (COLUMNS($AH$2:AX287)-1)*100+1, 100))</f>
        <v/>
      </c>
      <c r="AY287" t="str">
        <f>TRIM(MID(SUBSTITUTE($F287, ",", REPT(" ", 100)), (COLUMNS($AH$2:AY287)-1)*100+1, 100))</f>
        <v/>
      </c>
      <c r="AZ287" t="str">
        <f>TRIM(MID(SUBSTITUTE($F287, ",", REPT(" ", 100)), (COLUMNS($AH$2:AZ287)-1)*100+1, 100))</f>
        <v/>
      </c>
      <c r="BA287" t="str">
        <f>TRIM(MID(SUBSTITUTE($F287, ",", REPT(" ", 100)), (COLUMNS($AH$2:BA287)-1)*100+1, 100))</f>
        <v/>
      </c>
    </row>
    <row r="288" spans="1:53" x14ac:dyDescent="0.5">
      <c r="A288" s="1">
        <v>45944</v>
      </c>
      <c r="B288" s="2">
        <v>7</v>
      </c>
      <c r="C288" s="272"/>
      <c r="D288" s="295"/>
      <c r="E288" s="58">
        <v>1</v>
      </c>
      <c r="F288" s="38" t="s">
        <v>176</v>
      </c>
      <c r="G288" s="273"/>
      <c r="AJ288" t="str">
        <f>TRIM(MID(SUBSTITUTE($F288, ",", REPT(" ", 100)), (COLUMNS($AH$2:AJ288)-1)*100+1, 100))</f>
        <v/>
      </c>
      <c r="AK288" s="1">
        <v>45944</v>
      </c>
      <c r="AL288" s="2">
        <v>7</v>
      </c>
      <c r="AM288" s="2">
        <v>6</v>
      </c>
      <c r="AO288" t="str">
        <f>TRIM(MID(SUBSTITUTE($F288, ",", REPT(" ", 100)), (COLUMNS($AH$2:AO288)-1)*100+1, 100))</f>
        <v/>
      </c>
      <c r="AP288" t="str">
        <f>TRIM(MID(SUBSTITUTE($F288, ",", REPT(" ", 100)), (COLUMNS($AH$2:AP288)-1)*100+1, 100))</f>
        <v/>
      </c>
      <c r="AQ288" t="str">
        <f>TRIM(MID(SUBSTITUTE($F288, ",", REPT(" ", 100)), (COLUMNS($AH$2:AQ288)-1)*100+1, 100))</f>
        <v/>
      </c>
      <c r="AR288" t="str">
        <f>TRIM(MID(SUBSTITUTE($F288, ",", REPT(" ", 100)), (COLUMNS($AH$2:AR288)-1)*100+1, 100))</f>
        <v/>
      </c>
      <c r="AS288" t="str">
        <f>TRIM(MID(SUBSTITUTE($F288, ",", REPT(" ", 100)), (COLUMNS($AH$2:AS288)-1)*100+1, 100))</f>
        <v/>
      </c>
      <c r="AT288" t="str">
        <f>TRIM(MID(SUBSTITUTE($F288, ",", REPT(" ", 100)), (COLUMNS($AH$2:AT288)-1)*100+1, 100))</f>
        <v/>
      </c>
      <c r="AU288" t="str">
        <f>TRIM(MID(SUBSTITUTE($F288, ",", REPT(" ", 100)), (COLUMNS($AH$2:AU288)-1)*100+1, 100))</f>
        <v/>
      </c>
      <c r="AV288" t="str">
        <f>TRIM(MID(SUBSTITUTE($F288, ",", REPT(" ", 100)), (COLUMNS($AH$2:AV288)-1)*100+1, 100))</f>
        <v/>
      </c>
      <c r="AW288" t="str">
        <f>TRIM(MID(SUBSTITUTE($F288, ",", REPT(" ", 100)), (COLUMNS($AH$2:AW288)-1)*100+1, 100))</f>
        <v/>
      </c>
      <c r="AX288" t="str">
        <f>TRIM(MID(SUBSTITUTE($F288, ",", REPT(" ", 100)), (COLUMNS($AH$2:AX288)-1)*100+1, 100))</f>
        <v/>
      </c>
      <c r="AY288" t="str">
        <f>TRIM(MID(SUBSTITUTE($F288, ",", REPT(" ", 100)), (COLUMNS($AH$2:AY288)-1)*100+1, 100))</f>
        <v/>
      </c>
      <c r="AZ288" t="str">
        <f>TRIM(MID(SUBSTITUTE($F288, ",", REPT(" ", 100)), (COLUMNS($AH$2:AZ288)-1)*100+1, 100))</f>
        <v/>
      </c>
      <c r="BA288" t="str">
        <f>TRIM(MID(SUBSTITUTE($F288, ",", REPT(" ", 100)), (COLUMNS($AH$2:BA288)-1)*100+1, 100))</f>
        <v/>
      </c>
    </row>
    <row r="289" spans="1:53" x14ac:dyDescent="0.5">
      <c r="A289" s="1">
        <v>45945</v>
      </c>
      <c r="B289" s="2">
        <v>6</v>
      </c>
      <c r="C289" s="272"/>
      <c r="D289" s="295"/>
      <c r="E289" s="58">
        <v>1</v>
      </c>
      <c r="F289" s="38" t="s">
        <v>176</v>
      </c>
      <c r="G289" s="273"/>
      <c r="AJ289" t="str">
        <f>TRIM(MID(SUBSTITUTE($F289, ",", REPT(" ", 100)), (COLUMNS($AH$2:AJ289)-1)*100+1, 100))</f>
        <v/>
      </c>
      <c r="AK289" s="1">
        <v>45945</v>
      </c>
      <c r="AL289" s="2">
        <v>6</v>
      </c>
      <c r="AM289" s="2">
        <v>6</v>
      </c>
      <c r="AO289" t="str">
        <f>TRIM(MID(SUBSTITUTE($F289, ",", REPT(" ", 100)), (COLUMNS($AH$2:AO289)-1)*100+1, 100))</f>
        <v/>
      </c>
      <c r="AP289" t="str">
        <f>TRIM(MID(SUBSTITUTE($F289, ",", REPT(" ", 100)), (COLUMNS($AH$2:AP289)-1)*100+1, 100))</f>
        <v/>
      </c>
      <c r="AQ289" t="str">
        <f>TRIM(MID(SUBSTITUTE($F289, ",", REPT(" ", 100)), (COLUMNS($AH$2:AQ289)-1)*100+1, 100))</f>
        <v/>
      </c>
      <c r="AR289" t="str">
        <f>TRIM(MID(SUBSTITUTE($F289, ",", REPT(" ", 100)), (COLUMNS($AH$2:AR289)-1)*100+1, 100))</f>
        <v/>
      </c>
      <c r="AS289" t="str">
        <f>TRIM(MID(SUBSTITUTE($F289, ",", REPT(" ", 100)), (COLUMNS($AH$2:AS289)-1)*100+1, 100))</f>
        <v/>
      </c>
      <c r="AT289" t="str">
        <f>TRIM(MID(SUBSTITUTE($F289, ",", REPT(" ", 100)), (COLUMNS($AH$2:AT289)-1)*100+1, 100))</f>
        <v/>
      </c>
      <c r="AU289" t="str">
        <f>TRIM(MID(SUBSTITUTE($F289, ",", REPT(" ", 100)), (COLUMNS($AH$2:AU289)-1)*100+1, 100))</f>
        <v/>
      </c>
      <c r="AV289" t="str">
        <f>TRIM(MID(SUBSTITUTE($F289, ",", REPT(" ", 100)), (COLUMNS($AH$2:AV289)-1)*100+1, 100))</f>
        <v/>
      </c>
      <c r="AW289" t="str">
        <f>TRIM(MID(SUBSTITUTE($F289, ",", REPT(" ", 100)), (COLUMNS($AH$2:AW289)-1)*100+1, 100))</f>
        <v/>
      </c>
      <c r="AX289" t="str">
        <f>TRIM(MID(SUBSTITUTE($F289, ",", REPT(" ", 100)), (COLUMNS($AH$2:AX289)-1)*100+1, 100))</f>
        <v/>
      </c>
      <c r="AY289" t="str">
        <f>TRIM(MID(SUBSTITUTE($F289, ",", REPT(" ", 100)), (COLUMNS($AH$2:AY289)-1)*100+1, 100))</f>
        <v/>
      </c>
      <c r="AZ289" t="str">
        <f>TRIM(MID(SUBSTITUTE($F289, ",", REPT(" ", 100)), (COLUMNS($AH$2:AZ289)-1)*100+1, 100))</f>
        <v/>
      </c>
      <c r="BA289" t="str">
        <f>TRIM(MID(SUBSTITUTE($F289, ",", REPT(" ", 100)), (COLUMNS($AH$2:BA289)-1)*100+1, 100))</f>
        <v/>
      </c>
    </row>
    <row r="290" spans="1:53" x14ac:dyDescent="0.5">
      <c r="A290" s="1">
        <v>45946</v>
      </c>
      <c r="B290" s="2">
        <v>7</v>
      </c>
      <c r="C290" s="272"/>
      <c r="D290" s="295"/>
      <c r="E290" s="58">
        <v>1</v>
      </c>
      <c r="F290" s="38" t="s">
        <v>176</v>
      </c>
      <c r="G290" s="273"/>
      <c r="AJ290" t="str">
        <f>TRIM(MID(SUBSTITUTE($F290, ",", REPT(" ", 100)), (COLUMNS($AH$2:AJ290)-1)*100+1, 100))</f>
        <v/>
      </c>
      <c r="AK290" s="1">
        <v>45946</v>
      </c>
      <c r="AL290" s="2">
        <v>7</v>
      </c>
      <c r="AM290" s="2">
        <v>4</v>
      </c>
      <c r="AO290" t="str">
        <f>TRIM(MID(SUBSTITUTE($F290, ",", REPT(" ", 100)), (COLUMNS($AH$2:AO290)-1)*100+1, 100))</f>
        <v/>
      </c>
      <c r="AP290" t="str">
        <f>TRIM(MID(SUBSTITUTE($F290, ",", REPT(" ", 100)), (COLUMNS($AH$2:AP290)-1)*100+1, 100))</f>
        <v/>
      </c>
      <c r="AQ290" t="str">
        <f>TRIM(MID(SUBSTITUTE($F290, ",", REPT(" ", 100)), (COLUMNS($AH$2:AQ290)-1)*100+1, 100))</f>
        <v/>
      </c>
      <c r="AR290" t="str">
        <f>TRIM(MID(SUBSTITUTE($F290, ",", REPT(" ", 100)), (COLUMNS($AH$2:AR290)-1)*100+1, 100))</f>
        <v/>
      </c>
      <c r="AS290" t="str">
        <f>TRIM(MID(SUBSTITUTE($F290, ",", REPT(" ", 100)), (COLUMNS($AH$2:AS290)-1)*100+1, 100))</f>
        <v/>
      </c>
      <c r="AT290" t="str">
        <f>TRIM(MID(SUBSTITUTE($F290, ",", REPT(" ", 100)), (COLUMNS($AH$2:AT290)-1)*100+1, 100))</f>
        <v/>
      </c>
      <c r="AU290" t="str">
        <f>TRIM(MID(SUBSTITUTE($F290, ",", REPT(" ", 100)), (COLUMNS($AH$2:AU290)-1)*100+1, 100))</f>
        <v/>
      </c>
      <c r="AV290" t="str">
        <f>TRIM(MID(SUBSTITUTE($F290, ",", REPT(" ", 100)), (COLUMNS($AH$2:AV290)-1)*100+1, 100))</f>
        <v/>
      </c>
      <c r="AW290" t="str">
        <f>TRIM(MID(SUBSTITUTE($F290, ",", REPT(" ", 100)), (COLUMNS($AH$2:AW290)-1)*100+1, 100))</f>
        <v/>
      </c>
      <c r="AX290" t="str">
        <f>TRIM(MID(SUBSTITUTE($F290, ",", REPT(" ", 100)), (COLUMNS($AH$2:AX290)-1)*100+1, 100))</f>
        <v/>
      </c>
      <c r="AY290" t="str">
        <f>TRIM(MID(SUBSTITUTE($F290, ",", REPT(" ", 100)), (COLUMNS($AH$2:AY290)-1)*100+1, 100))</f>
        <v/>
      </c>
      <c r="AZ290" t="str">
        <f>TRIM(MID(SUBSTITUTE($F290, ",", REPT(" ", 100)), (COLUMNS($AH$2:AZ290)-1)*100+1, 100))</f>
        <v/>
      </c>
      <c r="BA290" t="str">
        <f>TRIM(MID(SUBSTITUTE($F290, ",", REPT(" ", 100)), (COLUMNS($AH$2:BA290)-1)*100+1, 100))</f>
        <v/>
      </c>
    </row>
    <row r="291" spans="1:53" x14ac:dyDescent="0.5">
      <c r="A291" s="1">
        <v>45947</v>
      </c>
      <c r="B291" s="2">
        <v>5.5</v>
      </c>
      <c r="C291" s="272"/>
      <c r="D291" s="295"/>
      <c r="E291" s="58">
        <v>0</v>
      </c>
      <c r="F291" s="38" t="s">
        <v>176</v>
      </c>
      <c r="AJ291" t="str">
        <f>TRIM(MID(SUBSTITUTE($F291, ",", REPT(" ", 100)), (COLUMNS($AH$2:AJ291)-1)*100+1, 100))</f>
        <v/>
      </c>
      <c r="AK291" s="1">
        <v>45947</v>
      </c>
      <c r="AL291" s="2">
        <v>5.5</v>
      </c>
      <c r="AM291" s="2">
        <v>6</v>
      </c>
      <c r="AO291" t="str">
        <f>TRIM(MID(SUBSTITUTE($F291, ",", REPT(" ", 100)), (COLUMNS($AH$2:AO291)-1)*100+1, 100))</f>
        <v/>
      </c>
      <c r="AP291" t="str">
        <f>TRIM(MID(SUBSTITUTE($F291, ",", REPT(" ", 100)), (COLUMNS($AH$2:AP291)-1)*100+1, 100))</f>
        <v/>
      </c>
      <c r="AQ291" t="str">
        <f>TRIM(MID(SUBSTITUTE($F291, ",", REPT(" ", 100)), (COLUMNS($AH$2:AQ291)-1)*100+1, 100))</f>
        <v/>
      </c>
      <c r="AR291" t="str">
        <f>TRIM(MID(SUBSTITUTE($F291, ",", REPT(" ", 100)), (COLUMNS($AH$2:AR291)-1)*100+1, 100))</f>
        <v/>
      </c>
      <c r="AS291" t="str">
        <f>TRIM(MID(SUBSTITUTE($F291, ",", REPT(" ", 100)), (COLUMNS($AH$2:AS291)-1)*100+1, 100))</f>
        <v/>
      </c>
      <c r="AT291" t="str">
        <f>TRIM(MID(SUBSTITUTE($F291, ",", REPT(" ", 100)), (COLUMNS($AH$2:AT291)-1)*100+1, 100))</f>
        <v/>
      </c>
      <c r="AU291" t="str">
        <f>TRIM(MID(SUBSTITUTE($F291, ",", REPT(" ", 100)), (COLUMNS($AH$2:AU291)-1)*100+1, 100))</f>
        <v/>
      </c>
      <c r="AV291" t="str">
        <f>TRIM(MID(SUBSTITUTE($F291, ",", REPT(" ", 100)), (COLUMNS($AH$2:AV291)-1)*100+1, 100))</f>
        <v/>
      </c>
      <c r="AW291" t="str">
        <f>TRIM(MID(SUBSTITUTE($F291, ",", REPT(" ", 100)), (COLUMNS($AH$2:AW291)-1)*100+1, 100))</f>
        <v/>
      </c>
      <c r="AX291" t="str">
        <f>TRIM(MID(SUBSTITUTE($F291, ",", REPT(" ", 100)), (COLUMNS($AH$2:AX291)-1)*100+1, 100))</f>
        <v/>
      </c>
      <c r="AY291" t="str">
        <f>TRIM(MID(SUBSTITUTE($F291, ",", REPT(" ", 100)), (COLUMNS($AH$2:AY291)-1)*100+1, 100))</f>
        <v/>
      </c>
      <c r="AZ291" t="str">
        <f>TRIM(MID(SUBSTITUTE($F291, ",", REPT(" ", 100)), (COLUMNS($AH$2:AZ291)-1)*100+1, 100))</f>
        <v/>
      </c>
      <c r="BA291" t="str">
        <f>TRIM(MID(SUBSTITUTE($F291, ",", REPT(" ", 100)), (COLUMNS($AH$2:BA291)-1)*100+1, 100))</f>
        <v/>
      </c>
    </row>
    <row r="292" spans="1:53" x14ac:dyDescent="0.5">
      <c r="A292" s="1">
        <v>45948</v>
      </c>
      <c r="B292" s="2">
        <v>7</v>
      </c>
      <c r="C292" s="272"/>
      <c r="D292" s="295"/>
      <c r="E292" s="58">
        <v>1</v>
      </c>
      <c r="F292" s="38" t="s">
        <v>176</v>
      </c>
      <c r="AJ292" t="str">
        <f>TRIM(MID(SUBSTITUTE($F292, ",", REPT(" ", 100)), (COLUMNS($AH$2:AJ292)-1)*100+1, 100))</f>
        <v/>
      </c>
      <c r="AK292" s="1">
        <v>45948</v>
      </c>
      <c r="AL292" s="2">
        <v>7</v>
      </c>
      <c r="AM292" s="2">
        <v>8</v>
      </c>
      <c r="AO292" t="str">
        <f>TRIM(MID(SUBSTITUTE($F292, ",", REPT(" ", 100)), (COLUMNS($AH$2:AO292)-1)*100+1, 100))</f>
        <v/>
      </c>
      <c r="AP292" t="str">
        <f>TRIM(MID(SUBSTITUTE($F292, ",", REPT(" ", 100)), (COLUMNS($AH$2:AP292)-1)*100+1, 100))</f>
        <v/>
      </c>
      <c r="AQ292" t="str">
        <f>TRIM(MID(SUBSTITUTE($F292, ",", REPT(" ", 100)), (COLUMNS($AH$2:AQ292)-1)*100+1, 100))</f>
        <v/>
      </c>
      <c r="AR292" t="str">
        <f>TRIM(MID(SUBSTITUTE($F292, ",", REPT(" ", 100)), (COLUMNS($AH$2:AR292)-1)*100+1, 100))</f>
        <v/>
      </c>
      <c r="AS292" t="str">
        <f>TRIM(MID(SUBSTITUTE($F292, ",", REPT(" ", 100)), (COLUMNS($AH$2:AS292)-1)*100+1, 100))</f>
        <v/>
      </c>
      <c r="AT292" t="str">
        <f>TRIM(MID(SUBSTITUTE($F292, ",", REPT(" ", 100)), (COLUMNS($AH$2:AT292)-1)*100+1, 100))</f>
        <v/>
      </c>
      <c r="AU292" t="str">
        <f>TRIM(MID(SUBSTITUTE($F292, ",", REPT(" ", 100)), (COLUMNS($AH$2:AU292)-1)*100+1, 100))</f>
        <v/>
      </c>
      <c r="AV292" t="str">
        <f>TRIM(MID(SUBSTITUTE($F292, ",", REPT(" ", 100)), (COLUMNS($AH$2:AV292)-1)*100+1, 100))</f>
        <v/>
      </c>
      <c r="AW292" t="str">
        <f>TRIM(MID(SUBSTITUTE($F292, ",", REPT(" ", 100)), (COLUMNS($AH$2:AW292)-1)*100+1, 100))</f>
        <v/>
      </c>
      <c r="AX292" t="str">
        <f>TRIM(MID(SUBSTITUTE($F292, ",", REPT(" ", 100)), (COLUMNS($AH$2:AX292)-1)*100+1, 100))</f>
        <v/>
      </c>
      <c r="AY292" t="str">
        <f>TRIM(MID(SUBSTITUTE($F292, ",", REPT(" ", 100)), (COLUMNS($AH$2:AY292)-1)*100+1, 100))</f>
        <v/>
      </c>
      <c r="AZ292" t="str">
        <f>TRIM(MID(SUBSTITUTE($F292, ",", REPT(" ", 100)), (COLUMNS($AH$2:AZ292)-1)*100+1, 100))</f>
        <v/>
      </c>
      <c r="BA292" t="str">
        <f>TRIM(MID(SUBSTITUTE($F292, ",", REPT(" ", 100)), (COLUMNS($AH$2:BA292)-1)*100+1, 100))</f>
        <v/>
      </c>
    </row>
    <row r="293" spans="1:53" x14ac:dyDescent="0.5">
      <c r="A293" s="1">
        <v>45949</v>
      </c>
      <c r="B293" s="2">
        <v>7</v>
      </c>
      <c r="C293" s="272"/>
      <c r="D293" s="295"/>
      <c r="E293" s="58">
        <v>1</v>
      </c>
      <c r="F293" s="38" t="s">
        <v>176</v>
      </c>
      <c r="AJ293" t="str">
        <f>TRIM(MID(SUBSTITUTE($F293, ",", REPT(" ", 100)), (COLUMNS($AH$2:AJ293)-1)*100+1, 100))</f>
        <v/>
      </c>
      <c r="AK293" s="1">
        <v>45949</v>
      </c>
      <c r="AL293" s="2">
        <v>7</v>
      </c>
      <c r="AM293" s="2">
        <v>6</v>
      </c>
      <c r="AO293" t="str">
        <f>TRIM(MID(SUBSTITUTE($F293, ",", REPT(" ", 100)), (COLUMNS($AH$2:AO293)-1)*100+1, 100))</f>
        <v/>
      </c>
      <c r="AP293" t="str">
        <f>TRIM(MID(SUBSTITUTE($F293, ",", REPT(" ", 100)), (COLUMNS($AH$2:AP293)-1)*100+1, 100))</f>
        <v/>
      </c>
      <c r="AQ293" t="str">
        <f>TRIM(MID(SUBSTITUTE($F293, ",", REPT(" ", 100)), (COLUMNS($AH$2:AQ293)-1)*100+1, 100))</f>
        <v/>
      </c>
      <c r="AR293" t="str">
        <f>TRIM(MID(SUBSTITUTE($F293, ",", REPT(" ", 100)), (COLUMNS($AH$2:AR293)-1)*100+1, 100))</f>
        <v/>
      </c>
      <c r="AS293" t="str">
        <f>TRIM(MID(SUBSTITUTE($F293, ",", REPT(" ", 100)), (COLUMNS($AH$2:AS293)-1)*100+1, 100))</f>
        <v/>
      </c>
      <c r="AT293" t="str">
        <f>TRIM(MID(SUBSTITUTE($F293, ",", REPT(" ", 100)), (COLUMNS($AH$2:AT293)-1)*100+1, 100))</f>
        <v/>
      </c>
      <c r="AU293" t="str">
        <f>TRIM(MID(SUBSTITUTE($F293, ",", REPT(" ", 100)), (COLUMNS($AH$2:AU293)-1)*100+1, 100))</f>
        <v/>
      </c>
      <c r="AV293" t="str">
        <f>TRIM(MID(SUBSTITUTE($F293, ",", REPT(" ", 100)), (COLUMNS($AH$2:AV293)-1)*100+1, 100))</f>
        <v/>
      </c>
      <c r="AW293" t="str">
        <f>TRIM(MID(SUBSTITUTE($F293, ",", REPT(" ", 100)), (COLUMNS($AH$2:AW293)-1)*100+1, 100))</f>
        <v/>
      </c>
      <c r="AX293" t="str">
        <f>TRIM(MID(SUBSTITUTE($F293, ",", REPT(" ", 100)), (COLUMNS($AH$2:AX293)-1)*100+1, 100))</f>
        <v/>
      </c>
      <c r="AY293" t="str">
        <f>TRIM(MID(SUBSTITUTE($F293, ",", REPT(" ", 100)), (COLUMNS($AH$2:AY293)-1)*100+1, 100))</f>
        <v/>
      </c>
      <c r="AZ293" t="str">
        <f>TRIM(MID(SUBSTITUTE($F293, ",", REPT(" ", 100)), (COLUMNS($AH$2:AZ293)-1)*100+1, 100))</f>
        <v/>
      </c>
      <c r="BA293" t="str">
        <f>TRIM(MID(SUBSTITUTE($F293, ",", REPT(" ", 100)), (COLUMNS($AH$2:BA293)-1)*100+1, 100))</f>
        <v/>
      </c>
    </row>
    <row r="294" spans="1:53" x14ac:dyDescent="0.5">
      <c r="A294" s="1">
        <v>45950</v>
      </c>
      <c r="B294" s="2">
        <v>4</v>
      </c>
      <c r="C294" s="272"/>
      <c r="D294" s="295"/>
      <c r="E294" s="58">
        <v>1</v>
      </c>
      <c r="F294" s="38" t="s">
        <v>176</v>
      </c>
      <c r="AJ294" t="str">
        <f>TRIM(MID(SUBSTITUTE($F294, ",", REPT(" ", 100)), (COLUMNS($AH$2:AJ294)-1)*100+1, 100))</f>
        <v/>
      </c>
      <c r="AK294" s="1">
        <v>45950</v>
      </c>
      <c r="AL294" s="2">
        <v>4</v>
      </c>
      <c r="AM294" s="2">
        <v>6</v>
      </c>
      <c r="AO294" t="str">
        <f>TRIM(MID(SUBSTITUTE($F294, ",", REPT(" ", 100)), (COLUMNS($AH$2:AO294)-1)*100+1, 100))</f>
        <v/>
      </c>
      <c r="AP294" t="str">
        <f>TRIM(MID(SUBSTITUTE($F294, ",", REPT(" ", 100)), (COLUMNS($AH$2:AP294)-1)*100+1, 100))</f>
        <v/>
      </c>
      <c r="AQ294" t="str">
        <f>TRIM(MID(SUBSTITUTE($F294, ",", REPT(" ", 100)), (COLUMNS($AH$2:AQ294)-1)*100+1, 100))</f>
        <v/>
      </c>
      <c r="AR294" t="str">
        <f>TRIM(MID(SUBSTITUTE($F294, ",", REPT(" ", 100)), (COLUMNS($AH$2:AR294)-1)*100+1, 100))</f>
        <v/>
      </c>
      <c r="AS294" t="str">
        <f>TRIM(MID(SUBSTITUTE($F294, ",", REPT(" ", 100)), (COLUMNS($AH$2:AS294)-1)*100+1, 100))</f>
        <v/>
      </c>
      <c r="AT294" t="str">
        <f>TRIM(MID(SUBSTITUTE($F294, ",", REPT(" ", 100)), (COLUMNS($AH$2:AT294)-1)*100+1, 100))</f>
        <v/>
      </c>
      <c r="AU294" t="str">
        <f>TRIM(MID(SUBSTITUTE($F294, ",", REPT(" ", 100)), (COLUMNS($AH$2:AU294)-1)*100+1, 100))</f>
        <v/>
      </c>
      <c r="AV294" t="str">
        <f>TRIM(MID(SUBSTITUTE($F294, ",", REPT(" ", 100)), (COLUMNS($AH$2:AV294)-1)*100+1, 100))</f>
        <v/>
      </c>
      <c r="AW294" t="str">
        <f>TRIM(MID(SUBSTITUTE($F294, ",", REPT(" ", 100)), (COLUMNS($AH$2:AW294)-1)*100+1, 100))</f>
        <v/>
      </c>
      <c r="AX294" t="str">
        <f>TRIM(MID(SUBSTITUTE($F294, ",", REPT(" ", 100)), (COLUMNS($AH$2:AX294)-1)*100+1, 100))</f>
        <v/>
      </c>
      <c r="AY294" t="str">
        <f>TRIM(MID(SUBSTITUTE($F294, ",", REPT(" ", 100)), (COLUMNS($AH$2:AY294)-1)*100+1, 100))</f>
        <v/>
      </c>
      <c r="AZ294" t="str">
        <f>TRIM(MID(SUBSTITUTE($F294, ",", REPT(" ", 100)), (COLUMNS($AH$2:AZ294)-1)*100+1, 100))</f>
        <v/>
      </c>
      <c r="BA294" t="str">
        <f>TRIM(MID(SUBSTITUTE($F294, ",", REPT(" ", 100)), (COLUMNS($AH$2:BA294)-1)*100+1, 100))</f>
        <v/>
      </c>
    </row>
    <row r="295" spans="1:53" x14ac:dyDescent="0.5">
      <c r="A295" s="1">
        <v>45951</v>
      </c>
      <c r="B295" s="2">
        <v>6</v>
      </c>
      <c r="C295" s="272"/>
      <c r="D295" s="295"/>
      <c r="E295" s="58">
        <v>0</v>
      </c>
      <c r="F295" s="38" t="s">
        <v>176</v>
      </c>
      <c r="AJ295" t="str">
        <f>TRIM(MID(SUBSTITUTE($F295, ",", REPT(" ", 100)), (COLUMNS($AH$2:AJ295)-1)*100+1, 100))</f>
        <v/>
      </c>
      <c r="AK295" s="1">
        <v>45951</v>
      </c>
      <c r="AL295" s="2">
        <v>6</v>
      </c>
      <c r="AM295" s="2">
        <v>6</v>
      </c>
      <c r="AO295" t="str">
        <f>TRIM(MID(SUBSTITUTE($F295, ",", REPT(" ", 100)), (COLUMNS($AH$2:AO295)-1)*100+1, 100))</f>
        <v/>
      </c>
      <c r="AP295" t="str">
        <f>TRIM(MID(SUBSTITUTE($F295, ",", REPT(" ", 100)), (COLUMNS($AH$2:AP295)-1)*100+1, 100))</f>
        <v/>
      </c>
      <c r="AQ295" t="str">
        <f>TRIM(MID(SUBSTITUTE($F295, ",", REPT(" ", 100)), (COLUMNS($AH$2:AQ295)-1)*100+1, 100))</f>
        <v/>
      </c>
      <c r="AR295" t="str">
        <f>TRIM(MID(SUBSTITUTE($F295, ",", REPT(" ", 100)), (COLUMNS($AH$2:AR295)-1)*100+1, 100))</f>
        <v/>
      </c>
      <c r="AS295" t="str">
        <f>TRIM(MID(SUBSTITUTE($F295, ",", REPT(" ", 100)), (COLUMNS($AH$2:AS295)-1)*100+1, 100))</f>
        <v/>
      </c>
      <c r="AT295" t="str">
        <f>TRIM(MID(SUBSTITUTE($F295, ",", REPT(" ", 100)), (COLUMNS($AH$2:AT295)-1)*100+1, 100))</f>
        <v/>
      </c>
      <c r="AU295" t="str">
        <f>TRIM(MID(SUBSTITUTE($F295, ",", REPT(" ", 100)), (COLUMNS($AH$2:AU295)-1)*100+1, 100))</f>
        <v/>
      </c>
      <c r="AV295" t="str">
        <f>TRIM(MID(SUBSTITUTE($F295, ",", REPT(" ", 100)), (COLUMNS($AH$2:AV295)-1)*100+1, 100))</f>
        <v/>
      </c>
      <c r="AW295" t="str">
        <f>TRIM(MID(SUBSTITUTE($F295, ",", REPT(" ", 100)), (COLUMNS($AH$2:AW295)-1)*100+1, 100))</f>
        <v/>
      </c>
      <c r="AX295" t="str">
        <f>TRIM(MID(SUBSTITUTE($F295, ",", REPT(" ", 100)), (COLUMNS($AH$2:AX295)-1)*100+1, 100))</f>
        <v/>
      </c>
      <c r="AY295" t="str">
        <f>TRIM(MID(SUBSTITUTE($F295, ",", REPT(" ", 100)), (COLUMNS($AH$2:AY295)-1)*100+1, 100))</f>
        <v/>
      </c>
      <c r="AZ295" t="str">
        <f>TRIM(MID(SUBSTITUTE($F295, ",", REPT(" ", 100)), (COLUMNS($AH$2:AZ295)-1)*100+1, 100))</f>
        <v/>
      </c>
      <c r="BA295" t="str">
        <f>TRIM(MID(SUBSTITUTE($F295, ",", REPT(" ", 100)), (COLUMNS($AH$2:BA295)-1)*100+1, 100))</f>
        <v/>
      </c>
    </row>
    <row r="296" spans="1:53" x14ac:dyDescent="0.5">
      <c r="A296" s="1">
        <v>45952</v>
      </c>
      <c r="B296" s="2">
        <v>6</v>
      </c>
      <c r="C296" s="272"/>
      <c r="D296" s="295"/>
      <c r="E296" s="58">
        <v>0</v>
      </c>
      <c r="F296" s="38" t="s">
        <v>176</v>
      </c>
      <c r="AJ296" t="str">
        <f>TRIM(MID(SUBSTITUTE($F296, ",", REPT(" ", 100)), (COLUMNS($AH$2:AJ296)-1)*100+1, 100))</f>
        <v/>
      </c>
      <c r="AK296" s="1">
        <v>45952</v>
      </c>
      <c r="AL296" s="2">
        <v>6</v>
      </c>
      <c r="AM296" s="2">
        <v>6</v>
      </c>
      <c r="AO296" t="str">
        <f>TRIM(MID(SUBSTITUTE($F296, ",", REPT(" ", 100)), (COLUMNS($AH$2:AO296)-1)*100+1, 100))</f>
        <v/>
      </c>
      <c r="AP296" t="str">
        <f>TRIM(MID(SUBSTITUTE($F296, ",", REPT(" ", 100)), (COLUMNS($AH$2:AP296)-1)*100+1, 100))</f>
        <v/>
      </c>
      <c r="AQ296" t="str">
        <f>TRIM(MID(SUBSTITUTE($F296, ",", REPT(" ", 100)), (COLUMNS($AH$2:AQ296)-1)*100+1, 100))</f>
        <v/>
      </c>
      <c r="AR296" t="str">
        <f>TRIM(MID(SUBSTITUTE($F296, ",", REPT(" ", 100)), (COLUMNS($AH$2:AR296)-1)*100+1, 100))</f>
        <v/>
      </c>
      <c r="AS296" t="str">
        <f>TRIM(MID(SUBSTITUTE($F296, ",", REPT(" ", 100)), (COLUMNS($AH$2:AS296)-1)*100+1, 100))</f>
        <v/>
      </c>
      <c r="AT296" t="str">
        <f>TRIM(MID(SUBSTITUTE($F296, ",", REPT(" ", 100)), (COLUMNS($AH$2:AT296)-1)*100+1, 100))</f>
        <v/>
      </c>
      <c r="AU296" t="str">
        <f>TRIM(MID(SUBSTITUTE($F296, ",", REPT(" ", 100)), (COLUMNS($AH$2:AU296)-1)*100+1, 100))</f>
        <v/>
      </c>
      <c r="AV296" t="str">
        <f>TRIM(MID(SUBSTITUTE($F296, ",", REPT(" ", 100)), (COLUMNS($AH$2:AV296)-1)*100+1, 100))</f>
        <v/>
      </c>
      <c r="AW296" t="str">
        <f>TRIM(MID(SUBSTITUTE($F296, ",", REPT(" ", 100)), (COLUMNS($AH$2:AW296)-1)*100+1, 100))</f>
        <v/>
      </c>
      <c r="AX296" t="str">
        <f>TRIM(MID(SUBSTITUTE($F296, ",", REPT(" ", 100)), (COLUMNS($AH$2:AX296)-1)*100+1, 100))</f>
        <v/>
      </c>
      <c r="AY296" t="str">
        <f>TRIM(MID(SUBSTITUTE($F296, ",", REPT(" ", 100)), (COLUMNS($AH$2:AY296)-1)*100+1, 100))</f>
        <v/>
      </c>
      <c r="AZ296" t="str">
        <f>TRIM(MID(SUBSTITUTE($F296, ",", REPT(" ", 100)), (COLUMNS($AH$2:AZ296)-1)*100+1, 100))</f>
        <v/>
      </c>
      <c r="BA296" t="str">
        <f>TRIM(MID(SUBSTITUTE($F296, ",", REPT(" ", 100)), (COLUMNS($AH$2:BA296)-1)*100+1, 100))</f>
        <v/>
      </c>
    </row>
    <row r="297" spans="1:53" x14ac:dyDescent="0.5">
      <c r="A297" s="1">
        <v>45953</v>
      </c>
      <c r="B297" s="2">
        <v>3</v>
      </c>
      <c r="C297" s="272"/>
      <c r="D297" s="295"/>
      <c r="E297" s="58">
        <v>1</v>
      </c>
      <c r="F297" s="38" t="s">
        <v>176</v>
      </c>
      <c r="G297" s="38" t="s">
        <v>396</v>
      </c>
      <c r="AJ297" t="str">
        <f>TRIM(MID(SUBSTITUTE($F297, ",", REPT(" ", 100)), (COLUMNS($AH$2:AJ297)-1)*100+1, 100))</f>
        <v/>
      </c>
      <c r="AK297" s="1">
        <v>45953</v>
      </c>
      <c r="AL297" s="2">
        <v>3</v>
      </c>
      <c r="AM297" s="2">
        <v>4</v>
      </c>
      <c r="AO297" t="str">
        <f>TRIM(MID(SUBSTITUTE($F297, ",", REPT(" ", 100)), (COLUMNS($AH$2:AO297)-1)*100+1, 100))</f>
        <v/>
      </c>
      <c r="AP297" t="str">
        <f>TRIM(MID(SUBSTITUTE($F297, ",", REPT(" ", 100)), (COLUMNS($AH$2:AP297)-1)*100+1, 100))</f>
        <v/>
      </c>
      <c r="AQ297" t="str">
        <f>TRIM(MID(SUBSTITUTE($F297, ",", REPT(" ", 100)), (COLUMNS($AH$2:AQ297)-1)*100+1, 100))</f>
        <v/>
      </c>
      <c r="AR297" t="str">
        <f>TRIM(MID(SUBSTITUTE($F297, ",", REPT(" ", 100)), (COLUMNS($AH$2:AR297)-1)*100+1, 100))</f>
        <v/>
      </c>
      <c r="AS297" t="str">
        <f>TRIM(MID(SUBSTITUTE($F297, ",", REPT(" ", 100)), (COLUMNS($AH$2:AS297)-1)*100+1, 100))</f>
        <v/>
      </c>
      <c r="AT297" t="str">
        <f>TRIM(MID(SUBSTITUTE($F297, ",", REPT(" ", 100)), (COLUMNS($AH$2:AT297)-1)*100+1, 100))</f>
        <v/>
      </c>
      <c r="AU297" t="str">
        <f>TRIM(MID(SUBSTITUTE($F297, ",", REPT(" ", 100)), (COLUMNS($AH$2:AU297)-1)*100+1, 100))</f>
        <v/>
      </c>
      <c r="AV297" t="str">
        <f>TRIM(MID(SUBSTITUTE($F297, ",", REPT(" ", 100)), (COLUMNS($AH$2:AV297)-1)*100+1, 100))</f>
        <v/>
      </c>
      <c r="AW297" t="str">
        <f>TRIM(MID(SUBSTITUTE($F297, ",", REPT(" ", 100)), (COLUMNS($AH$2:AW297)-1)*100+1, 100))</f>
        <v/>
      </c>
      <c r="AX297" t="str">
        <f>TRIM(MID(SUBSTITUTE($F297, ",", REPT(" ", 100)), (COLUMNS($AH$2:AX297)-1)*100+1, 100))</f>
        <v/>
      </c>
      <c r="AY297" t="str">
        <f>TRIM(MID(SUBSTITUTE($F297, ",", REPT(" ", 100)), (COLUMNS($AH$2:AY297)-1)*100+1, 100))</f>
        <v/>
      </c>
      <c r="AZ297" t="str">
        <f>TRIM(MID(SUBSTITUTE($F297, ",", REPT(" ", 100)), (COLUMNS($AH$2:AZ297)-1)*100+1, 100))</f>
        <v/>
      </c>
      <c r="BA297" t="str">
        <f>TRIM(MID(SUBSTITUTE($F297, ",", REPT(" ", 100)), (COLUMNS($AH$2:BA297)-1)*100+1, 100))</f>
        <v/>
      </c>
    </row>
    <row r="298" spans="1:53" x14ac:dyDescent="0.5">
      <c r="A298" s="1">
        <v>45954</v>
      </c>
      <c r="B298" s="2">
        <v>8.3000000000000007</v>
      </c>
      <c r="C298" s="272"/>
      <c r="D298" s="295"/>
      <c r="E298" s="58">
        <v>1</v>
      </c>
      <c r="F298" s="38" t="s">
        <v>176</v>
      </c>
      <c r="G298" s="38" t="s">
        <v>397</v>
      </c>
      <c r="AJ298" t="str">
        <f>TRIM(MID(SUBSTITUTE($F298, ",", REPT(" ", 100)), (COLUMNS($AH$2:AJ298)-1)*100+1, 100))</f>
        <v/>
      </c>
      <c r="AK298" s="1">
        <v>45954</v>
      </c>
      <c r="AL298" s="2">
        <v>8.3000000000000007</v>
      </c>
      <c r="AM298" s="2">
        <v>4</v>
      </c>
      <c r="AO298" t="str">
        <f>TRIM(MID(SUBSTITUTE($F298, ",", REPT(" ", 100)), (COLUMNS($AH$2:AO298)-1)*100+1, 100))</f>
        <v/>
      </c>
      <c r="AP298" t="str">
        <f>TRIM(MID(SUBSTITUTE($F298, ",", REPT(" ", 100)), (COLUMNS($AH$2:AP298)-1)*100+1, 100))</f>
        <v/>
      </c>
      <c r="AQ298" t="str">
        <f>TRIM(MID(SUBSTITUTE($F298, ",", REPT(" ", 100)), (COLUMNS($AH$2:AQ298)-1)*100+1, 100))</f>
        <v/>
      </c>
      <c r="AR298" t="str">
        <f>TRIM(MID(SUBSTITUTE($F298, ",", REPT(" ", 100)), (COLUMNS($AH$2:AR298)-1)*100+1, 100))</f>
        <v/>
      </c>
      <c r="AS298" t="str">
        <f>TRIM(MID(SUBSTITUTE($F298, ",", REPT(" ", 100)), (COLUMNS($AH$2:AS298)-1)*100+1, 100))</f>
        <v/>
      </c>
      <c r="AT298" t="str">
        <f>TRIM(MID(SUBSTITUTE($F298, ",", REPT(" ", 100)), (COLUMNS($AH$2:AT298)-1)*100+1, 100))</f>
        <v/>
      </c>
      <c r="AU298" t="str">
        <f>TRIM(MID(SUBSTITUTE($F298, ",", REPT(" ", 100)), (COLUMNS($AH$2:AU298)-1)*100+1, 100))</f>
        <v/>
      </c>
      <c r="AV298" t="str">
        <f>TRIM(MID(SUBSTITUTE($F298, ",", REPT(" ", 100)), (COLUMNS($AH$2:AV298)-1)*100+1, 100))</f>
        <v/>
      </c>
      <c r="AW298" t="str">
        <f>TRIM(MID(SUBSTITUTE($F298, ",", REPT(" ", 100)), (COLUMNS($AH$2:AW298)-1)*100+1, 100))</f>
        <v/>
      </c>
      <c r="AX298" t="str">
        <f>TRIM(MID(SUBSTITUTE($F298, ",", REPT(" ", 100)), (COLUMNS($AH$2:AX298)-1)*100+1, 100))</f>
        <v/>
      </c>
      <c r="AY298" t="str">
        <f>TRIM(MID(SUBSTITUTE($F298, ",", REPT(" ", 100)), (COLUMNS($AH$2:AY298)-1)*100+1, 100))</f>
        <v/>
      </c>
      <c r="AZ298" t="str">
        <f>TRIM(MID(SUBSTITUTE($F298, ",", REPT(" ", 100)), (COLUMNS($AH$2:AZ298)-1)*100+1, 100))</f>
        <v/>
      </c>
      <c r="BA298" t="str">
        <f>TRIM(MID(SUBSTITUTE($F298, ",", REPT(" ", 100)), (COLUMNS($AH$2:BA298)-1)*100+1, 100))</f>
        <v/>
      </c>
    </row>
    <row r="299" spans="1:53" x14ac:dyDescent="0.5">
      <c r="A299" s="1">
        <v>45955</v>
      </c>
      <c r="B299" s="2">
        <v>5.7</v>
      </c>
      <c r="C299" s="272"/>
      <c r="D299" s="295"/>
      <c r="E299" s="58">
        <v>0</v>
      </c>
      <c r="F299" s="38" t="s">
        <v>176</v>
      </c>
      <c r="AJ299" t="str">
        <f>TRIM(MID(SUBSTITUTE($F299, ",", REPT(" ", 100)), (COLUMNS($AH$2:AJ299)-1)*100+1, 100))</f>
        <v/>
      </c>
      <c r="AK299" s="1">
        <v>45955</v>
      </c>
      <c r="AL299" s="2">
        <v>5.7</v>
      </c>
      <c r="AM299" s="2">
        <v>6</v>
      </c>
      <c r="AO299" t="str">
        <f>TRIM(MID(SUBSTITUTE($F299, ",", REPT(" ", 100)), (COLUMNS($AH$2:AO299)-1)*100+1, 100))</f>
        <v/>
      </c>
      <c r="AP299" t="str">
        <f>TRIM(MID(SUBSTITUTE($F299, ",", REPT(" ", 100)), (COLUMNS($AH$2:AP299)-1)*100+1, 100))</f>
        <v/>
      </c>
      <c r="AQ299" t="str">
        <f>TRIM(MID(SUBSTITUTE($F299, ",", REPT(" ", 100)), (COLUMNS($AH$2:AQ299)-1)*100+1, 100))</f>
        <v/>
      </c>
      <c r="AR299" t="str">
        <f>TRIM(MID(SUBSTITUTE($F299, ",", REPT(" ", 100)), (COLUMNS($AH$2:AR299)-1)*100+1, 100))</f>
        <v/>
      </c>
      <c r="AS299" t="str">
        <f>TRIM(MID(SUBSTITUTE($F299, ",", REPT(" ", 100)), (COLUMNS($AH$2:AS299)-1)*100+1, 100))</f>
        <v/>
      </c>
      <c r="AT299" t="str">
        <f>TRIM(MID(SUBSTITUTE($F299, ",", REPT(" ", 100)), (COLUMNS($AH$2:AT299)-1)*100+1, 100))</f>
        <v/>
      </c>
      <c r="AU299" t="str">
        <f>TRIM(MID(SUBSTITUTE($F299, ",", REPT(" ", 100)), (COLUMNS($AH$2:AU299)-1)*100+1, 100))</f>
        <v/>
      </c>
      <c r="AV299" t="str">
        <f>TRIM(MID(SUBSTITUTE($F299, ",", REPT(" ", 100)), (COLUMNS($AH$2:AV299)-1)*100+1, 100))</f>
        <v/>
      </c>
      <c r="AW299" t="str">
        <f>TRIM(MID(SUBSTITUTE($F299, ",", REPT(" ", 100)), (COLUMNS($AH$2:AW299)-1)*100+1, 100))</f>
        <v/>
      </c>
      <c r="AX299" t="str">
        <f>TRIM(MID(SUBSTITUTE($F299, ",", REPT(" ", 100)), (COLUMNS($AH$2:AX299)-1)*100+1, 100))</f>
        <v/>
      </c>
      <c r="AY299" t="str">
        <f>TRIM(MID(SUBSTITUTE($F299, ",", REPT(" ", 100)), (COLUMNS($AH$2:AY299)-1)*100+1, 100))</f>
        <v/>
      </c>
      <c r="AZ299" t="str">
        <f>TRIM(MID(SUBSTITUTE($F299, ",", REPT(" ", 100)), (COLUMNS($AH$2:AZ299)-1)*100+1, 100))</f>
        <v/>
      </c>
      <c r="BA299" t="str">
        <f>TRIM(MID(SUBSTITUTE($F299, ",", REPT(" ", 100)), (COLUMNS($AH$2:BA299)-1)*100+1, 100))</f>
        <v/>
      </c>
    </row>
    <row r="300" spans="1:53" x14ac:dyDescent="0.5">
      <c r="A300" s="1">
        <v>45956</v>
      </c>
      <c r="B300" s="2">
        <v>4</v>
      </c>
      <c r="C300" s="272"/>
      <c r="D300" s="295"/>
      <c r="E300" s="58">
        <v>1</v>
      </c>
      <c r="F300" s="38" t="s">
        <v>176</v>
      </c>
      <c r="G300" s="38" t="s">
        <v>353</v>
      </c>
      <c r="AJ300" t="str">
        <f>TRIM(MID(SUBSTITUTE($F300, ",", REPT(" ", 100)), (COLUMNS($AH$2:AJ300)-1)*100+1, 100))</f>
        <v/>
      </c>
      <c r="AK300" s="1">
        <v>45956</v>
      </c>
      <c r="AL300" s="2">
        <v>4</v>
      </c>
      <c r="AM300" s="2">
        <v>6</v>
      </c>
      <c r="AO300" t="str">
        <f>TRIM(MID(SUBSTITUTE($F300, ",", REPT(" ", 100)), (COLUMNS($AH$2:AO300)-1)*100+1, 100))</f>
        <v/>
      </c>
      <c r="AP300" t="str">
        <f>TRIM(MID(SUBSTITUTE($F300, ",", REPT(" ", 100)), (COLUMNS($AH$2:AP300)-1)*100+1, 100))</f>
        <v/>
      </c>
      <c r="AQ300" t="str">
        <f>TRIM(MID(SUBSTITUTE($F300, ",", REPT(" ", 100)), (COLUMNS($AH$2:AQ300)-1)*100+1, 100))</f>
        <v/>
      </c>
      <c r="AR300" t="str">
        <f>TRIM(MID(SUBSTITUTE($F300, ",", REPT(" ", 100)), (COLUMNS($AH$2:AR300)-1)*100+1, 100))</f>
        <v/>
      </c>
      <c r="AS300" t="str">
        <f>TRIM(MID(SUBSTITUTE($F300, ",", REPT(" ", 100)), (COLUMNS($AH$2:AS300)-1)*100+1, 100))</f>
        <v/>
      </c>
      <c r="AT300" t="str">
        <f>TRIM(MID(SUBSTITUTE($F300, ",", REPT(" ", 100)), (COLUMNS($AH$2:AT300)-1)*100+1, 100))</f>
        <v/>
      </c>
      <c r="AU300" t="str">
        <f>TRIM(MID(SUBSTITUTE($F300, ",", REPT(" ", 100)), (COLUMNS($AH$2:AU300)-1)*100+1, 100))</f>
        <v/>
      </c>
      <c r="AV300" t="str">
        <f>TRIM(MID(SUBSTITUTE($F300, ",", REPT(" ", 100)), (COLUMNS($AH$2:AV300)-1)*100+1, 100))</f>
        <v/>
      </c>
      <c r="AW300" t="str">
        <f>TRIM(MID(SUBSTITUTE($F300, ",", REPT(" ", 100)), (COLUMNS($AH$2:AW300)-1)*100+1, 100))</f>
        <v/>
      </c>
      <c r="AX300" t="str">
        <f>TRIM(MID(SUBSTITUTE($F300, ",", REPT(" ", 100)), (COLUMNS($AH$2:AX300)-1)*100+1, 100))</f>
        <v/>
      </c>
      <c r="AY300" t="str">
        <f>TRIM(MID(SUBSTITUTE($F300, ",", REPT(" ", 100)), (COLUMNS($AH$2:AY300)-1)*100+1, 100))</f>
        <v/>
      </c>
      <c r="AZ300" t="str">
        <f>TRIM(MID(SUBSTITUTE($F300, ",", REPT(" ", 100)), (COLUMNS($AH$2:AZ300)-1)*100+1, 100))</f>
        <v/>
      </c>
      <c r="BA300" t="str">
        <f>TRIM(MID(SUBSTITUTE($F300, ",", REPT(" ", 100)), (COLUMNS($AH$2:BA300)-1)*100+1, 100))</f>
        <v/>
      </c>
    </row>
    <row r="301" spans="1:53" x14ac:dyDescent="0.5">
      <c r="A301" s="1">
        <v>45957</v>
      </c>
      <c r="B301" s="2">
        <v>4.5</v>
      </c>
      <c r="C301" s="272"/>
      <c r="D301" s="295"/>
      <c r="E301" s="58">
        <v>1</v>
      </c>
      <c r="F301" s="38" t="s">
        <v>176</v>
      </c>
      <c r="AJ301" t="str">
        <f>TRIM(MID(SUBSTITUTE($F301, ",", REPT(" ", 100)), (COLUMNS($AH$2:AJ301)-1)*100+1, 100))</f>
        <v/>
      </c>
      <c r="AK301" s="1">
        <v>45957</v>
      </c>
      <c r="AL301" s="2">
        <v>4.5</v>
      </c>
      <c r="AM301" s="2">
        <v>4</v>
      </c>
      <c r="AO301" t="str">
        <f>TRIM(MID(SUBSTITUTE($F301, ",", REPT(" ", 100)), (COLUMNS($AH$2:AO301)-1)*100+1, 100))</f>
        <v/>
      </c>
      <c r="AP301" t="str">
        <f>TRIM(MID(SUBSTITUTE($F301, ",", REPT(" ", 100)), (COLUMNS($AH$2:AP301)-1)*100+1, 100))</f>
        <v/>
      </c>
      <c r="AQ301" t="str">
        <f>TRIM(MID(SUBSTITUTE($F301, ",", REPT(" ", 100)), (COLUMNS($AH$2:AQ301)-1)*100+1, 100))</f>
        <v/>
      </c>
      <c r="AR301" t="str">
        <f>TRIM(MID(SUBSTITUTE($F301, ",", REPT(" ", 100)), (COLUMNS($AH$2:AR301)-1)*100+1, 100))</f>
        <v/>
      </c>
      <c r="AS301" t="str">
        <f>TRIM(MID(SUBSTITUTE($F301, ",", REPT(" ", 100)), (COLUMNS($AH$2:AS301)-1)*100+1, 100))</f>
        <v/>
      </c>
      <c r="AT301" t="str">
        <f>TRIM(MID(SUBSTITUTE($F301, ",", REPT(" ", 100)), (COLUMNS($AH$2:AT301)-1)*100+1, 100))</f>
        <v/>
      </c>
      <c r="AU301" t="str">
        <f>TRIM(MID(SUBSTITUTE($F301, ",", REPT(" ", 100)), (COLUMNS($AH$2:AU301)-1)*100+1, 100))</f>
        <v/>
      </c>
      <c r="AV301" t="str">
        <f>TRIM(MID(SUBSTITUTE($F301, ",", REPT(" ", 100)), (COLUMNS($AH$2:AV301)-1)*100+1, 100))</f>
        <v/>
      </c>
      <c r="AW301" t="str">
        <f>TRIM(MID(SUBSTITUTE($F301, ",", REPT(" ", 100)), (COLUMNS($AH$2:AW301)-1)*100+1, 100))</f>
        <v/>
      </c>
      <c r="AX301" t="str">
        <f>TRIM(MID(SUBSTITUTE($F301, ",", REPT(" ", 100)), (COLUMNS($AH$2:AX301)-1)*100+1, 100))</f>
        <v/>
      </c>
      <c r="AY301" t="str">
        <f>TRIM(MID(SUBSTITUTE($F301, ",", REPT(" ", 100)), (COLUMNS($AH$2:AY301)-1)*100+1, 100))</f>
        <v/>
      </c>
      <c r="AZ301" t="str">
        <f>TRIM(MID(SUBSTITUTE($F301, ",", REPT(" ", 100)), (COLUMNS($AH$2:AZ301)-1)*100+1, 100))</f>
        <v/>
      </c>
      <c r="BA301" t="str">
        <f>TRIM(MID(SUBSTITUTE($F301, ",", REPT(" ", 100)), (COLUMNS($AH$2:BA301)-1)*100+1, 100))</f>
        <v/>
      </c>
    </row>
    <row r="302" spans="1:53" x14ac:dyDescent="0.5">
      <c r="A302" s="1">
        <v>45958</v>
      </c>
      <c r="B302" s="2">
        <v>7</v>
      </c>
      <c r="C302" s="272"/>
      <c r="D302" s="295"/>
      <c r="E302" s="58">
        <v>0</v>
      </c>
      <c r="F302" s="38" t="s">
        <v>176</v>
      </c>
      <c r="AJ302" t="str">
        <f>TRIM(MID(SUBSTITUTE($F302, ",", REPT(" ", 100)), (COLUMNS($AH$2:AJ302)-1)*100+1, 100))</f>
        <v/>
      </c>
      <c r="AK302" s="1">
        <v>45958</v>
      </c>
      <c r="AL302" s="2">
        <v>7</v>
      </c>
      <c r="AM302" s="2">
        <v>6</v>
      </c>
      <c r="AO302" t="str">
        <f>TRIM(MID(SUBSTITUTE($F302, ",", REPT(" ", 100)), (COLUMNS($AH$2:AO302)-1)*100+1, 100))</f>
        <v/>
      </c>
      <c r="AP302" t="str">
        <f>TRIM(MID(SUBSTITUTE($F302, ",", REPT(" ", 100)), (COLUMNS($AH$2:AP302)-1)*100+1, 100))</f>
        <v/>
      </c>
      <c r="AQ302" t="str">
        <f>TRIM(MID(SUBSTITUTE($F302, ",", REPT(" ", 100)), (COLUMNS($AH$2:AQ302)-1)*100+1, 100))</f>
        <v/>
      </c>
      <c r="AR302" t="str">
        <f>TRIM(MID(SUBSTITUTE($F302, ",", REPT(" ", 100)), (COLUMNS($AH$2:AR302)-1)*100+1, 100))</f>
        <v/>
      </c>
      <c r="AS302" t="str">
        <f>TRIM(MID(SUBSTITUTE($F302, ",", REPT(" ", 100)), (COLUMNS($AH$2:AS302)-1)*100+1, 100))</f>
        <v/>
      </c>
      <c r="AT302" t="str">
        <f>TRIM(MID(SUBSTITUTE($F302, ",", REPT(" ", 100)), (COLUMNS($AH$2:AT302)-1)*100+1, 100))</f>
        <v/>
      </c>
      <c r="AU302" t="str">
        <f>TRIM(MID(SUBSTITUTE($F302, ",", REPT(" ", 100)), (COLUMNS($AH$2:AU302)-1)*100+1, 100))</f>
        <v/>
      </c>
      <c r="AV302" t="str">
        <f>TRIM(MID(SUBSTITUTE($F302, ",", REPT(" ", 100)), (COLUMNS($AH$2:AV302)-1)*100+1, 100))</f>
        <v/>
      </c>
      <c r="AW302" t="str">
        <f>TRIM(MID(SUBSTITUTE($F302, ",", REPT(" ", 100)), (COLUMNS($AH$2:AW302)-1)*100+1, 100))</f>
        <v/>
      </c>
      <c r="AX302" t="str">
        <f>TRIM(MID(SUBSTITUTE($F302, ",", REPT(" ", 100)), (COLUMNS($AH$2:AX302)-1)*100+1, 100))</f>
        <v/>
      </c>
      <c r="AY302" t="str">
        <f>TRIM(MID(SUBSTITUTE($F302, ",", REPT(" ", 100)), (COLUMNS($AH$2:AY302)-1)*100+1, 100))</f>
        <v/>
      </c>
      <c r="AZ302" t="str">
        <f>TRIM(MID(SUBSTITUTE($F302, ",", REPT(" ", 100)), (COLUMNS($AH$2:AZ302)-1)*100+1, 100))</f>
        <v/>
      </c>
      <c r="BA302" t="str">
        <f>TRIM(MID(SUBSTITUTE($F302, ",", REPT(" ", 100)), (COLUMNS($AH$2:BA302)-1)*100+1, 100))</f>
        <v/>
      </c>
    </row>
    <row r="303" spans="1:53" x14ac:dyDescent="0.5">
      <c r="A303" s="1">
        <v>45959</v>
      </c>
      <c r="B303" s="2">
        <v>4.5</v>
      </c>
      <c r="C303" s="272"/>
      <c r="D303" s="295"/>
      <c r="E303" s="58">
        <v>1</v>
      </c>
      <c r="F303" s="38" t="s">
        <v>176</v>
      </c>
      <c r="AJ303" t="str">
        <f>TRIM(MID(SUBSTITUTE($F303, ",", REPT(" ", 100)), (COLUMNS($AH$2:AJ303)-1)*100+1, 100))</f>
        <v/>
      </c>
      <c r="AK303" s="1">
        <v>45959</v>
      </c>
      <c r="AL303" s="2">
        <v>4.5</v>
      </c>
      <c r="AM303" s="2">
        <v>8</v>
      </c>
      <c r="AO303" t="str">
        <f>TRIM(MID(SUBSTITUTE($F303, ",", REPT(" ", 100)), (COLUMNS($AH$2:AO303)-1)*100+1, 100))</f>
        <v/>
      </c>
      <c r="AP303" t="str">
        <f>TRIM(MID(SUBSTITUTE($F303, ",", REPT(" ", 100)), (COLUMNS($AH$2:AP303)-1)*100+1, 100))</f>
        <v/>
      </c>
      <c r="AQ303" t="str">
        <f>TRIM(MID(SUBSTITUTE($F303, ",", REPT(" ", 100)), (COLUMNS($AH$2:AQ303)-1)*100+1, 100))</f>
        <v/>
      </c>
      <c r="AR303" t="str">
        <f>TRIM(MID(SUBSTITUTE($F303, ",", REPT(" ", 100)), (COLUMNS($AH$2:AR303)-1)*100+1, 100))</f>
        <v/>
      </c>
      <c r="AS303" t="str">
        <f>TRIM(MID(SUBSTITUTE($F303, ",", REPT(" ", 100)), (COLUMNS($AH$2:AS303)-1)*100+1, 100))</f>
        <v/>
      </c>
      <c r="AT303" t="str">
        <f>TRIM(MID(SUBSTITUTE($F303, ",", REPT(" ", 100)), (COLUMNS($AH$2:AT303)-1)*100+1, 100))</f>
        <v/>
      </c>
      <c r="AU303" t="str">
        <f>TRIM(MID(SUBSTITUTE($F303, ",", REPT(" ", 100)), (COLUMNS($AH$2:AU303)-1)*100+1, 100))</f>
        <v/>
      </c>
      <c r="AV303" t="str">
        <f>TRIM(MID(SUBSTITUTE($F303, ",", REPT(" ", 100)), (COLUMNS($AH$2:AV303)-1)*100+1, 100))</f>
        <v/>
      </c>
      <c r="AW303" t="str">
        <f>TRIM(MID(SUBSTITUTE($F303, ",", REPT(" ", 100)), (COLUMNS($AH$2:AW303)-1)*100+1, 100))</f>
        <v/>
      </c>
      <c r="AX303" t="str">
        <f>TRIM(MID(SUBSTITUTE($F303, ",", REPT(" ", 100)), (COLUMNS($AH$2:AX303)-1)*100+1, 100))</f>
        <v/>
      </c>
      <c r="AY303" t="str">
        <f>TRIM(MID(SUBSTITUTE($F303, ",", REPT(" ", 100)), (COLUMNS($AH$2:AY303)-1)*100+1, 100))</f>
        <v/>
      </c>
      <c r="AZ303" t="str">
        <f>TRIM(MID(SUBSTITUTE($F303, ",", REPT(" ", 100)), (COLUMNS($AH$2:AZ303)-1)*100+1, 100))</f>
        <v/>
      </c>
      <c r="BA303" t="str">
        <f>TRIM(MID(SUBSTITUTE($F303, ",", REPT(" ", 100)), (COLUMNS($AH$2:BA303)-1)*100+1, 100))</f>
        <v/>
      </c>
    </row>
    <row r="304" spans="1:53" x14ac:dyDescent="0.5">
      <c r="A304" s="1">
        <v>45960</v>
      </c>
      <c r="B304" s="2">
        <v>5</v>
      </c>
      <c r="C304" s="272"/>
      <c r="D304" s="295"/>
      <c r="E304" s="58">
        <v>1</v>
      </c>
      <c r="F304" s="38" t="s">
        <v>176</v>
      </c>
      <c r="AJ304" t="str">
        <f>TRIM(MID(SUBSTITUTE($F304, ",", REPT(" ", 100)), (COLUMNS($AH$2:AJ304)-1)*100+1, 100))</f>
        <v/>
      </c>
      <c r="AK304" s="1">
        <v>45960</v>
      </c>
      <c r="AL304" s="2">
        <v>5</v>
      </c>
      <c r="AM304" s="2">
        <v>8</v>
      </c>
      <c r="AO304" t="str">
        <f>TRIM(MID(SUBSTITUTE($F304, ",", REPT(" ", 100)), (COLUMNS($AH$2:AO304)-1)*100+1, 100))</f>
        <v/>
      </c>
      <c r="AP304" t="str">
        <f>TRIM(MID(SUBSTITUTE($F304, ",", REPT(" ", 100)), (COLUMNS($AH$2:AP304)-1)*100+1, 100))</f>
        <v/>
      </c>
      <c r="AQ304" t="str">
        <f>TRIM(MID(SUBSTITUTE($F304, ",", REPT(" ", 100)), (COLUMNS($AH$2:AQ304)-1)*100+1, 100))</f>
        <v/>
      </c>
      <c r="AR304" t="str">
        <f>TRIM(MID(SUBSTITUTE($F304, ",", REPT(" ", 100)), (COLUMNS($AH$2:AR304)-1)*100+1, 100))</f>
        <v/>
      </c>
      <c r="AS304" t="str">
        <f>TRIM(MID(SUBSTITUTE($F304, ",", REPT(" ", 100)), (COLUMNS($AH$2:AS304)-1)*100+1, 100))</f>
        <v/>
      </c>
      <c r="AT304" t="str">
        <f>TRIM(MID(SUBSTITUTE($F304, ",", REPT(" ", 100)), (COLUMNS($AH$2:AT304)-1)*100+1, 100))</f>
        <v/>
      </c>
      <c r="AU304" t="str">
        <f>TRIM(MID(SUBSTITUTE($F304, ",", REPT(" ", 100)), (COLUMNS($AH$2:AU304)-1)*100+1, 100))</f>
        <v/>
      </c>
      <c r="AV304" t="str">
        <f>TRIM(MID(SUBSTITUTE($F304, ",", REPT(" ", 100)), (COLUMNS($AH$2:AV304)-1)*100+1, 100))</f>
        <v/>
      </c>
      <c r="AW304" t="str">
        <f>TRIM(MID(SUBSTITUTE($F304, ",", REPT(" ", 100)), (COLUMNS($AH$2:AW304)-1)*100+1, 100))</f>
        <v/>
      </c>
      <c r="AX304" t="str">
        <f>TRIM(MID(SUBSTITUTE($F304, ",", REPT(" ", 100)), (COLUMNS($AH$2:AX304)-1)*100+1, 100))</f>
        <v/>
      </c>
      <c r="AY304" t="str">
        <f>TRIM(MID(SUBSTITUTE($F304, ",", REPT(" ", 100)), (COLUMNS($AH$2:AY304)-1)*100+1, 100))</f>
        <v/>
      </c>
      <c r="AZ304" t="str">
        <f>TRIM(MID(SUBSTITUTE($F304, ",", REPT(" ", 100)), (COLUMNS($AH$2:AZ304)-1)*100+1, 100))</f>
        <v/>
      </c>
      <c r="BA304" t="str">
        <f>TRIM(MID(SUBSTITUTE($F304, ",", REPT(" ", 100)), (COLUMNS($AH$2:BA304)-1)*100+1, 100))</f>
        <v/>
      </c>
    </row>
    <row r="305" spans="1:53" x14ac:dyDescent="0.5">
      <c r="A305" s="1">
        <v>45961</v>
      </c>
      <c r="B305" s="2">
        <v>6</v>
      </c>
      <c r="C305" s="272"/>
      <c r="D305" s="295"/>
      <c r="E305" s="58">
        <v>0</v>
      </c>
      <c r="F305" s="38" t="s">
        <v>176</v>
      </c>
      <c r="AJ305" t="str">
        <f>TRIM(MID(SUBSTITUTE($F305, ",", REPT(" ", 100)), (COLUMNS($AH$2:AJ305)-1)*100+1, 100))</f>
        <v/>
      </c>
      <c r="AK305" s="1">
        <v>45961</v>
      </c>
      <c r="AL305" s="2">
        <v>6</v>
      </c>
      <c r="AM305" s="2">
        <v>10</v>
      </c>
      <c r="AO305" t="str">
        <f>TRIM(MID(SUBSTITUTE($F305, ",", REPT(" ", 100)), (COLUMNS($AH$2:AO305)-1)*100+1, 100))</f>
        <v/>
      </c>
      <c r="AP305" t="str">
        <f>TRIM(MID(SUBSTITUTE($F305, ",", REPT(" ", 100)), (COLUMNS($AH$2:AP305)-1)*100+1, 100))</f>
        <v/>
      </c>
      <c r="AQ305" t="str">
        <f>TRIM(MID(SUBSTITUTE($F305, ",", REPT(" ", 100)), (COLUMNS($AH$2:AQ305)-1)*100+1, 100))</f>
        <v/>
      </c>
      <c r="AR305" t="str">
        <f>TRIM(MID(SUBSTITUTE($F305, ",", REPT(" ", 100)), (COLUMNS($AH$2:AR305)-1)*100+1, 100))</f>
        <v/>
      </c>
      <c r="AS305" t="str">
        <f>TRIM(MID(SUBSTITUTE($F305, ",", REPT(" ", 100)), (COLUMNS($AH$2:AS305)-1)*100+1, 100))</f>
        <v/>
      </c>
      <c r="AT305" t="str">
        <f>TRIM(MID(SUBSTITUTE($F305, ",", REPT(" ", 100)), (COLUMNS($AH$2:AT305)-1)*100+1, 100))</f>
        <v/>
      </c>
      <c r="AU305" t="str">
        <f>TRIM(MID(SUBSTITUTE($F305, ",", REPT(" ", 100)), (COLUMNS($AH$2:AU305)-1)*100+1, 100))</f>
        <v/>
      </c>
      <c r="AV305" t="str">
        <f>TRIM(MID(SUBSTITUTE($F305, ",", REPT(" ", 100)), (COLUMNS($AH$2:AV305)-1)*100+1, 100))</f>
        <v/>
      </c>
      <c r="AW305" t="str">
        <f>TRIM(MID(SUBSTITUTE($F305, ",", REPT(" ", 100)), (COLUMNS($AH$2:AW305)-1)*100+1, 100))</f>
        <v/>
      </c>
      <c r="AX305" t="str">
        <f>TRIM(MID(SUBSTITUTE($F305, ",", REPT(" ", 100)), (COLUMNS($AH$2:AX305)-1)*100+1, 100))</f>
        <v/>
      </c>
      <c r="AY305" t="str">
        <f>TRIM(MID(SUBSTITUTE($F305, ",", REPT(" ", 100)), (COLUMNS($AH$2:AY305)-1)*100+1, 100))</f>
        <v/>
      </c>
      <c r="AZ305" t="str">
        <f>TRIM(MID(SUBSTITUTE($F305, ",", REPT(" ", 100)), (COLUMNS($AH$2:AZ305)-1)*100+1, 100))</f>
        <v/>
      </c>
      <c r="BA305" t="str">
        <f>TRIM(MID(SUBSTITUTE($F305, ",", REPT(" ", 100)), (COLUMNS($AH$2:BA305)-1)*100+1, 100))</f>
        <v/>
      </c>
    </row>
    <row r="306" spans="1:53" x14ac:dyDescent="0.5">
      <c r="A306" s="1">
        <v>45962</v>
      </c>
      <c r="B306" s="2">
        <v>4.8</v>
      </c>
      <c r="C306" s="272">
        <f>AVERAGE(B306:B335)</f>
        <v>6.0733333333333333</v>
      </c>
      <c r="D306" s="295"/>
      <c r="E306" s="58">
        <v>1</v>
      </c>
      <c r="F306" s="38" t="s">
        <v>176</v>
      </c>
      <c r="AJ306" t="str">
        <f>TRIM(MID(SUBSTITUTE($F306, ",", REPT(" ", 100)), (COLUMNS($AH$2:AJ306)-1)*100+1, 100))</f>
        <v/>
      </c>
      <c r="AK306" s="1">
        <v>45962</v>
      </c>
      <c r="AL306" s="2">
        <v>4.8</v>
      </c>
      <c r="AM306" s="2">
        <v>6</v>
      </c>
      <c r="AO306" t="str">
        <f>TRIM(MID(SUBSTITUTE($F306, ",", REPT(" ", 100)), (COLUMNS($AH$2:AO306)-1)*100+1, 100))</f>
        <v/>
      </c>
      <c r="AP306" t="str">
        <f>TRIM(MID(SUBSTITUTE($F306, ",", REPT(" ", 100)), (COLUMNS($AH$2:AP306)-1)*100+1, 100))</f>
        <v/>
      </c>
      <c r="AQ306" t="str">
        <f>TRIM(MID(SUBSTITUTE($F306, ",", REPT(" ", 100)), (COLUMNS($AH$2:AQ306)-1)*100+1, 100))</f>
        <v/>
      </c>
      <c r="AR306" t="str">
        <f>TRIM(MID(SUBSTITUTE($F306, ",", REPT(" ", 100)), (COLUMNS($AH$2:AR306)-1)*100+1, 100))</f>
        <v/>
      </c>
      <c r="AS306" t="str">
        <f>TRIM(MID(SUBSTITUTE($F306, ",", REPT(" ", 100)), (COLUMNS($AH$2:AS306)-1)*100+1, 100))</f>
        <v/>
      </c>
      <c r="AT306" t="str">
        <f>TRIM(MID(SUBSTITUTE($F306, ",", REPT(" ", 100)), (COLUMNS($AH$2:AT306)-1)*100+1, 100))</f>
        <v/>
      </c>
      <c r="AU306" t="str">
        <f>TRIM(MID(SUBSTITUTE($F306, ",", REPT(" ", 100)), (COLUMNS($AH$2:AU306)-1)*100+1, 100))</f>
        <v/>
      </c>
      <c r="AV306" t="str">
        <f>TRIM(MID(SUBSTITUTE($F306, ",", REPT(" ", 100)), (COLUMNS($AH$2:AV306)-1)*100+1, 100))</f>
        <v/>
      </c>
      <c r="AW306" t="str">
        <f>TRIM(MID(SUBSTITUTE($F306, ",", REPT(" ", 100)), (COLUMNS($AH$2:AW306)-1)*100+1, 100))</f>
        <v/>
      </c>
      <c r="AX306" t="str">
        <f>TRIM(MID(SUBSTITUTE($F306, ",", REPT(" ", 100)), (COLUMNS($AH$2:AX306)-1)*100+1, 100))</f>
        <v/>
      </c>
      <c r="AY306" t="str">
        <f>TRIM(MID(SUBSTITUTE($F306, ",", REPT(" ", 100)), (COLUMNS($AH$2:AY306)-1)*100+1, 100))</f>
        <v/>
      </c>
      <c r="AZ306" t="str">
        <f>TRIM(MID(SUBSTITUTE($F306, ",", REPT(" ", 100)), (COLUMNS($AH$2:AZ306)-1)*100+1, 100))</f>
        <v/>
      </c>
      <c r="BA306" t="str">
        <f>TRIM(MID(SUBSTITUTE($F306, ",", REPT(" ", 100)), (COLUMNS($AH$2:BA306)-1)*100+1, 100))</f>
        <v/>
      </c>
    </row>
    <row r="307" spans="1:53" x14ac:dyDescent="0.5">
      <c r="A307" s="1">
        <v>45963</v>
      </c>
      <c r="B307" s="2">
        <v>4.5</v>
      </c>
      <c r="C307" s="272"/>
      <c r="D307" s="295"/>
      <c r="E307" s="58">
        <v>1</v>
      </c>
      <c r="F307" s="38" t="s">
        <v>176</v>
      </c>
      <c r="G307" s="273" t="s">
        <v>404</v>
      </c>
      <c r="AJ307" t="str">
        <f>TRIM(MID(SUBSTITUTE($F307, ",", REPT(" ", 100)), (COLUMNS($AH$2:AJ307)-1)*100+1, 100))</f>
        <v/>
      </c>
      <c r="AK307" s="1">
        <v>45963</v>
      </c>
      <c r="AL307" s="2">
        <v>4.5</v>
      </c>
      <c r="AM307" s="2">
        <v>2</v>
      </c>
      <c r="AO307" t="str">
        <f>TRIM(MID(SUBSTITUTE($F307, ",", REPT(" ", 100)), (COLUMNS($AH$2:AO307)-1)*100+1, 100))</f>
        <v/>
      </c>
      <c r="AP307" t="str">
        <f>TRIM(MID(SUBSTITUTE($F307, ",", REPT(" ", 100)), (COLUMNS($AH$2:AP307)-1)*100+1, 100))</f>
        <v/>
      </c>
      <c r="AQ307" t="str">
        <f>TRIM(MID(SUBSTITUTE($F307, ",", REPT(" ", 100)), (COLUMNS($AH$2:AQ307)-1)*100+1, 100))</f>
        <v/>
      </c>
      <c r="AR307" t="str">
        <f>TRIM(MID(SUBSTITUTE($F307, ",", REPT(" ", 100)), (COLUMNS($AH$2:AR307)-1)*100+1, 100))</f>
        <v/>
      </c>
      <c r="AS307" t="str">
        <f>TRIM(MID(SUBSTITUTE($F307, ",", REPT(" ", 100)), (COLUMNS($AH$2:AS307)-1)*100+1, 100))</f>
        <v/>
      </c>
      <c r="AT307" t="str">
        <f>TRIM(MID(SUBSTITUTE($F307, ",", REPT(" ", 100)), (COLUMNS($AH$2:AT307)-1)*100+1, 100))</f>
        <v/>
      </c>
      <c r="AU307" t="str">
        <f>TRIM(MID(SUBSTITUTE($F307, ",", REPT(" ", 100)), (COLUMNS($AH$2:AU307)-1)*100+1, 100))</f>
        <v/>
      </c>
      <c r="AV307" t="str">
        <f>TRIM(MID(SUBSTITUTE($F307, ",", REPT(" ", 100)), (COLUMNS($AH$2:AV307)-1)*100+1, 100))</f>
        <v/>
      </c>
      <c r="AW307" t="str">
        <f>TRIM(MID(SUBSTITUTE($F307, ",", REPT(" ", 100)), (COLUMNS($AH$2:AW307)-1)*100+1, 100))</f>
        <v/>
      </c>
      <c r="AX307" t="str">
        <f>TRIM(MID(SUBSTITUTE($F307, ",", REPT(" ", 100)), (COLUMNS($AH$2:AX307)-1)*100+1, 100))</f>
        <v/>
      </c>
      <c r="AY307" t="str">
        <f>TRIM(MID(SUBSTITUTE($F307, ",", REPT(" ", 100)), (COLUMNS($AH$2:AY307)-1)*100+1, 100))</f>
        <v/>
      </c>
      <c r="AZ307" t="str">
        <f>TRIM(MID(SUBSTITUTE($F307, ",", REPT(" ", 100)), (COLUMNS($AH$2:AZ307)-1)*100+1, 100))</f>
        <v/>
      </c>
      <c r="BA307" t="str">
        <f>TRIM(MID(SUBSTITUTE($F307, ",", REPT(" ", 100)), (COLUMNS($AH$2:BA307)-1)*100+1, 100))</f>
        <v/>
      </c>
    </row>
    <row r="308" spans="1:53" x14ac:dyDescent="0.5">
      <c r="A308" s="1">
        <v>45964</v>
      </c>
      <c r="B308" s="2">
        <v>0.5</v>
      </c>
      <c r="C308" s="272"/>
      <c r="D308" s="295"/>
      <c r="E308" s="58">
        <v>1</v>
      </c>
      <c r="F308" s="38" t="s">
        <v>176</v>
      </c>
      <c r="G308" s="273"/>
      <c r="AJ308" t="str">
        <f>TRIM(MID(SUBSTITUTE($F308, ",", REPT(" ", 100)), (COLUMNS($AH$2:AJ308)-1)*100+1, 100))</f>
        <v/>
      </c>
      <c r="AK308" s="1">
        <v>45964</v>
      </c>
      <c r="AL308" s="2">
        <v>0.5</v>
      </c>
      <c r="AM308" s="2">
        <v>0</v>
      </c>
      <c r="AO308" t="str">
        <f>TRIM(MID(SUBSTITUTE($F308, ",", REPT(" ", 100)), (COLUMNS($AH$2:AO308)-1)*100+1, 100))</f>
        <v/>
      </c>
      <c r="AP308" t="str">
        <f>TRIM(MID(SUBSTITUTE($F308, ",", REPT(" ", 100)), (COLUMNS($AH$2:AP308)-1)*100+1, 100))</f>
        <v/>
      </c>
      <c r="AQ308" t="str">
        <f>TRIM(MID(SUBSTITUTE($F308, ",", REPT(" ", 100)), (COLUMNS($AH$2:AQ308)-1)*100+1, 100))</f>
        <v/>
      </c>
      <c r="AR308" t="str">
        <f>TRIM(MID(SUBSTITUTE($F308, ",", REPT(" ", 100)), (COLUMNS($AH$2:AR308)-1)*100+1, 100))</f>
        <v/>
      </c>
      <c r="AS308" t="str">
        <f>TRIM(MID(SUBSTITUTE($F308, ",", REPT(" ", 100)), (COLUMNS($AH$2:AS308)-1)*100+1, 100))</f>
        <v/>
      </c>
      <c r="AT308" t="str">
        <f>TRIM(MID(SUBSTITUTE($F308, ",", REPT(" ", 100)), (COLUMNS($AH$2:AT308)-1)*100+1, 100))</f>
        <v/>
      </c>
      <c r="AU308" t="str">
        <f>TRIM(MID(SUBSTITUTE($F308, ",", REPT(" ", 100)), (COLUMNS($AH$2:AU308)-1)*100+1, 100))</f>
        <v/>
      </c>
      <c r="AV308" t="str">
        <f>TRIM(MID(SUBSTITUTE($F308, ",", REPT(" ", 100)), (COLUMNS($AH$2:AV308)-1)*100+1, 100))</f>
        <v/>
      </c>
      <c r="AW308" t="str">
        <f>TRIM(MID(SUBSTITUTE($F308, ",", REPT(" ", 100)), (COLUMNS($AH$2:AW308)-1)*100+1, 100))</f>
        <v/>
      </c>
      <c r="AX308" t="str">
        <f>TRIM(MID(SUBSTITUTE($F308, ",", REPT(" ", 100)), (COLUMNS($AH$2:AX308)-1)*100+1, 100))</f>
        <v/>
      </c>
      <c r="AY308" t="str">
        <f>TRIM(MID(SUBSTITUTE($F308, ",", REPT(" ", 100)), (COLUMNS($AH$2:AY308)-1)*100+1, 100))</f>
        <v/>
      </c>
      <c r="AZ308" t="str">
        <f>TRIM(MID(SUBSTITUTE($F308, ",", REPT(" ", 100)), (COLUMNS($AH$2:AZ308)-1)*100+1, 100))</f>
        <v/>
      </c>
      <c r="BA308" t="str">
        <f>TRIM(MID(SUBSTITUTE($F308, ",", REPT(" ", 100)), (COLUMNS($AH$2:BA308)-1)*100+1, 100))</f>
        <v/>
      </c>
    </row>
    <row r="309" spans="1:53" x14ac:dyDescent="0.5">
      <c r="A309" s="1">
        <v>45965</v>
      </c>
      <c r="B309" s="2">
        <v>6</v>
      </c>
      <c r="C309" s="272"/>
      <c r="D309" s="295"/>
      <c r="E309" s="58">
        <v>1</v>
      </c>
      <c r="F309" s="38" t="s">
        <v>176</v>
      </c>
      <c r="AJ309" t="str">
        <f>TRIM(MID(SUBSTITUTE($F309, ",", REPT(" ", 100)), (COLUMNS($AH$2:AJ309)-1)*100+1, 100))</f>
        <v/>
      </c>
      <c r="AK309" s="1">
        <v>45965</v>
      </c>
      <c r="AL309" s="2">
        <v>6</v>
      </c>
      <c r="AM309" s="2">
        <v>4</v>
      </c>
      <c r="AO309" t="str">
        <f>TRIM(MID(SUBSTITUTE($F309, ",", REPT(" ", 100)), (COLUMNS($AH$2:AO309)-1)*100+1, 100))</f>
        <v/>
      </c>
      <c r="AP309" t="str">
        <f>TRIM(MID(SUBSTITUTE($F309, ",", REPT(" ", 100)), (COLUMNS($AH$2:AP309)-1)*100+1, 100))</f>
        <v/>
      </c>
      <c r="AQ309" t="str">
        <f>TRIM(MID(SUBSTITUTE($F309, ",", REPT(" ", 100)), (COLUMNS($AH$2:AQ309)-1)*100+1, 100))</f>
        <v/>
      </c>
      <c r="AR309" t="str">
        <f>TRIM(MID(SUBSTITUTE($F309, ",", REPT(" ", 100)), (COLUMNS($AH$2:AR309)-1)*100+1, 100))</f>
        <v/>
      </c>
      <c r="AS309" t="str">
        <f>TRIM(MID(SUBSTITUTE($F309, ",", REPT(" ", 100)), (COLUMNS($AH$2:AS309)-1)*100+1, 100))</f>
        <v/>
      </c>
      <c r="AT309" t="str">
        <f>TRIM(MID(SUBSTITUTE($F309, ",", REPT(" ", 100)), (COLUMNS($AH$2:AT309)-1)*100+1, 100))</f>
        <v/>
      </c>
      <c r="AU309" t="str">
        <f>TRIM(MID(SUBSTITUTE($F309, ",", REPT(" ", 100)), (COLUMNS($AH$2:AU309)-1)*100+1, 100))</f>
        <v/>
      </c>
      <c r="AV309" t="str">
        <f>TRIM(MID(SUBSTITUTE($F309, ",", REPT(" ", 100)), (COLUMNS($AH$2:AV309)-1)*100+1, 100))</f>
        <v/>
      </c>
      <c r="AW309" t="str">
        <f>TRIM(MID(SUBSTITUTE($F309, ",", REPT(" ", 100)), (COLUMNS($AH$2:AW309)-1)*100+1, 100))</f>
        <v/>
      </c>
      <c r="AX309" t="str">
        <f>TRIM(MID(SUBSTITUTE($F309, ",", REPT(" ", 100)), (COLUMNS($AH$2:AX309)-1)*100+1, 100))</f>
        <v/>
      </c>
      <c r="AY309" t="str">
        <f>TRIM(MID(SUBSTITUTE($F309, ",", REPT(" ", 100)), (COLUMNS($AH$2:AY309)-1)*100+1, 100))</f>
        <v/>
      </c>
      <c r="AZ309" t="str">
        <f>TRIM(MID(SUBSTITUTE($F309, ",", REPT(" ", 100)), (COLUMNS($AH$2:AZ309)-1)*100+1, 100))</f>
        <v/>
      </c>
      <c r="BA309" t="str">
        <f>TRIM(MID(SUBSTITUTE($F309, ",", REPT(" ", 100)), (COLUMNS($AH$2:BA309)-1)*100+1, 100))</f>
        <v/>
      </c>
    </row>
    <row r="310" spans="1:53" x14ac:dyDescent="0.5">
      <c r="A310" s="1">
        <v>45966</v>
      </c>
      <c r="B310" s="2">
        <v>5</v>
      </c>
      <c r="C310" s="272"/>
      <c r="D310" s="295"/>
      <c r="E310" s="58">
        <v>1</v>
      </c>
      <c r="F310" s="38" t="s">
        <v>176</v>
      </c>
      <c r="AJ310" t="str">
        <f>TRIM(MID(SUBSTITUTE($F310, ",", REPT(" ", 100)), (COLUMNS($AH$2:AJ310)-1)*100+1, 100))</f>
        <v/>
      </c>
      <c r="AK310" s="1">
        <v>45966</v>
      </c>
      <c r="AL310" s="2">
        <v>5</v>
      </c>
      <c r="AM310" s="2">
        <v>6</v>
      </c>
      <c r="AO310" t="str">
        <f>TRIM(MID(SUBSTITUTE($F310, ",", REPT(" ", 100)), (COLUMNS($AH$2:AO310)-1)*100+1, 100))</f>
        <v/>
      </c>
      <c r="AP310" t="str">
        <f>TRIM(MID(SUBSTITUTE($F310, ",", REPT(" ", 100)), (COLUMNS($AH$2:AP310)-1)*100+1, 100))</f>
        <v/>
      </c>
      <c r="AQ310" t="str">
        <f>TRIM(MID(SUBSTITUTE($F310, ",", REPT(" ", 100)), (COLUMNS($AH$2:AQ310)-1)*100+1, 100))</f>
        <v/>
      </c>
      <c r="AR310" t="str">
        <f>TRIM(MID(SUBSTITUTE($F310, ",", REPT(" ", 100)), (COLUMNS($AH$2:AR310)-1)*100+1, 100))</f>
        <v/>
      </c>
      <c r="AS310" t="str">
        <f>TRIM(MID(SUBSTITUTE($F310, ",", REPT(" ", 100)), (COLUMNS($AH$2:AS310)-1)*100+1, 100))</f>
        <v/>
      </c>
      <c r="AT310" t="str">
        <f>TRIM(MID(SUBSTITUTE($F310, ",", REPT(" ", 100)), (COLUMNS($AH$2:AT310)-1)*100+1, 100))</f>
        <v/>
      </c>
      <c r="AU310" t="str">
        <f>TRIM(MID(SUBSTITUTE($F310, ",", REPT(" ", 100)), (COLUMNS($AH$2:AU310)-1)*100+1, 100))</f>
        <v/>
      </c>
      <c r="AV310" t="str">
        <f>TRIM(MID(SUBSTITUTE($F310, ",", REPT(" ", 100)), (COLUMNS($AH$2:AV310)-1)*100+1, 100))</f>
        <v/>
      </c>
      <c r="AW310" t="str">
        <f>TRIM(MID(SUBSTITUTE($F310, ",", REPT(" ", 100)), (COLUMNS($AH$2:AW310)-1)*100+1, 100))</f>
        <v/>
      </c>
      <c r="AX310" t="str">
        <f>TRIM(MID(SUBSTITUTE($F310, ",", REPT(" ", 100)), (COLUMNS($AH$2:AX310)-1)*100+1, 100))</f>
        <v/>
      </c>
      <c r="AY310" t="str">
        <f>TRIM(MID(SUBSTITUTE($F310, ",", REPT(" ", 100)), (COLUMNS($AH$2:AY310)-1)*100+1, 100))</f>
        <v/>
      </c>
      <c r="AZ310" t="str">
        <f>TRIM(MID(SUBSTITUTE($F310, ",", REPT(" ", 100)), (COLUMNS($AH$2:AZ310)-1)*100+1, 100))</f>
        <v/>
      </c>
      <c r="BA310" t="str">
        <f>TRIM(MID(SUBSTITUTE($F310, ",", REPT(" ", 100)), (COLUMNS($AH$2:BA310)-1)*100+1, 100))</f>
        <v/>
      </c>
    </row>
    <row r="311" spans="1:53" x14ac:dyDescent="0.5">
      <c r="A311" s="1">
        <v>45967</v>
      </c>
      <c r="B311" s="2">
        <v>6</v>
      </c>
      <c r="C311" s="272"/>
      <c r="D311" s="295"/>
      <c r="E311" s="58">
        <v>1</v>
      </c>
      <c r="F311" s="38" t="s">
        <v>176</v>
      </c>
      <c r="AJ311" t="str">
        <f>TRIM(MID(SUBSTITUTE($F311, ",", REPT(" ", 100)), (COLUMNS($AH$2:AJ311)-1)*100+1, 100))</f>
        <v/>
      </c>
      <c r="AK311" s="1">
        <v>45967</v>
      </c>
      <c r="AL311" s="2">
        <v>6</v>
      </c>
      <c r="AM311" s="2">
        <v>6</v>
      </c>
      <c r="AO311" t="str">
        <f>TRIM(MID(SUBSTITUTE($F311, ",", REPT(" ", 100)), (COLUMNS($AH$2:AO311)-1)*100+1, 100))</f>
        <v/>
      </c>
      <c r="AP311" t="str">
        <f>TRIM(MID(SUBSTITUTE($F311, ",", REPT(" ", 100)), (COLUMNS($AH$2:AP311)-1)*100+1, 100))</f>
        <v/>
      </c>
      <c r="AQ311" t="str">
        <f>TRIM(MID(SUBSTITUTE($F311, ",", REPT(" ", 100)), (COLUMNS($AH$2:AQ311)-1)*100+1, 100))</f>
        <v/>
      </c>
      <c r="AR311" t="str">
        <f>TRIM(MID(SUBSTITUTE($F311, ",", REPT(" ", 100)), (COLUMNS($AH$2:AR311)-1)*100+1, 100))</f>
        <v/>
      </c>
      <c r="AS311" t="str">
        <f>TRIM(MID(SUBSTITUTE($F311, ",", REPT(" ", 100)), (COLUMNS($AH$2:AS311)-1)*100+1, 100))</f>
        <v/>
      </c>
      <c r="AT311" t="str">
        <f>TRIM(MID(SUBSTITUTE($F311, ",", REPT(" ", 100)), (COLUMNS($AH$2:AT311)-1)*100+1, 100))</f>
        <v/>
      </c>
      <c r="AU311" t="str">
        <f>TRIM(MID(SUBSTITUTE($F311, ",", REPT(" ", 100)), (COLUMNS($AH$2:AU311)-1)*100+1, 100))</f>
        <v/>
      </c>
      <c r="AV311" t="str">
        <f>TRIM(MID(SUBSTITUTE($F311, ",", REPT(" ", 100)), (COLUMNS($AH$2:AV311)-1)*100+1, 100))</f>
        <v/>
      </c>
      <c r="AW311" t="str">
        <f>TRIM(MID(SUBSTITUTE($F311, ",", REPT(" ", 100)), (COLUMNS($AH$2:AW311)-1)*100+1, 100))</f>
        <v/>
      </c>
      <c r="AX311" t="str">
        <f>TRIM(MID(SUBSTITUTE($F311, ",", REPT(" ", 100)), (COLUMNS($AH$2:AX311)-1)*100+1, 100))</f>
        <v/>
      </c>
      <c r="AY311" t="str">
        <f>TRIM(MID(SUBSTITUTE($F311, ",", REPT(" ", 100)), (COLUMNS($AH$2:AY311)-1)*100+1, 100))</f>
        <v/>
      </c>
      <c r="AZ311" t="str">
        <f>TRIM(MID(SUBSTITUTE($F311, ",", REPT(" ", 100)), (COLUMNS($AH$2:AZ311)-1)*100+1, 100))</f>
        <v/>
      </c>
      <c r="BA311" t="str">
        <f>TRIM(MID(SUBSTITUTE($F311, ",", REPT(" ", 100)), (COLUMNS($AH$2:BA311)-1)*100+1, 100))</f>
        <v/>
      </c>
    </row>
    <row r="312" spans="1:53" x14ac:dyDescent="0.5">
      <c r="A312" s="1">
        <v>45968</v>
      </c>
      <c r="B312" s="2">
        <v>5.8</v>
      </c>
      <c r="C312" s="272"/>
      <c r="D312" s="295"/>
      <c r="E312" s="58">
        <v>1</v>
      </c>
      <c r="F312" s="38" t="s">
        <v>176</v>
      </c>
      <c r="G312" s="38" t="s">
        <v>405</v>
      </c>
      <c r="AJ312" t="str">
        <f>TRIM(MID(SUBSTITUTE($F312, ",", REPT(" ", 100)), (COLUMNS($AH$2:AJ312)-1)*100+1, 100))</f>
        <v/>
      </c>
      <c r="AK312" s="1">
        <v>45968</v>
      </c>
      <c r="AL312" s="2">
        <v>5.8</v>
      </c>
      <c r="AM312" s="2">
        <v>6</v>
      </c>
      <c r="AO312" t="str">
        <f>TRIM(MID(SUBSTITUTE($F312, ",", REPT(" ", 100)), (COLUMNS($AH$2:AO312)-1)*100+1, 100))</f>
        <v/>
      </c>
      <c r="AP312" t="str">
        <f>TRIM(MID(SUBSTITUTE($F312, ",", REPT(" ", 100)), (COLUMNS($AH$2:AP312)-1)*100+1, 100))</f>
        <v/>
      </c>
      <c r="AQ312" t="str">
        <f>TRIM(MID(SUBSTITUTE($F312, ",", REPT(" ", 100)), (COLUMNS($AH$2:AQ312)-1)*100+1, 100))</f>
        <v/>
      </c>
      <c r="AR312" t="str">
        <f>TRIM(MID(SUBSTITUTE($F312, ",", REPT(" ", 100)), (COLUMNS($AH$2:AR312)-1)*100+1, 100))</f>
        <v/>
      </c>
      <c r="AS312" t="str">
        <f>TRIM(MID(SUBSTITUTE($F312, ",", REPT(" ", 100)), (COLUMNS($AH$2:AS312)-1)*100+1, 100))</f>
        <v/>
      </c>
      <c r="AT312" t="str">
        <f>TRIM(MID(SUBSTITUTE($F312, ",", REPT(" ", 100)), (COLUMNS($AH$2:AT312)-1)*100+1, 100))</f>
        <v/>
      </c>
      <c r="AU312" t="str">
        <f>TRIM(MID(SUBSTITUTE($F312, ",", REPT(" ", 100)), (COLUMNS($AH$2:AU312)-1)*100+1, 100))</f>
        <v/>
      </c>
      <c r="AV312" t="str">
        <f>TRIM(MID(SUBSTITUTE($F312, ",", REPT(" ", 100)), (COLUMNS($AH$2:AV312)-1)*100+1, 100))</f>
        <v/>
      </c>
      <c r="AW312" t="str">
        <f>TRIM(MID(SUBSTITUTE($F312, ",", REPT(" ", 100)), (COLUMNS($AH$2:AW312)-1)*100+1, 100))</f>
        <v/>
      </c>
      <c r="AX312" t="str">
        <f>TRIM(MID(SUBSTITUTE($F312, ",", REPT(" ", 100)), (COLUMNS($AH$2:AX312)-1)*100+1, 100))</f>
        <v/>
      </c>
      <c r="AY312" t="str">
        <f>TRIM(MID(SUBSTITUTE($F312, ",", REPT(" ", 100)), (COLUMNS($AH$2:AY312)-1)*100+1, 100))</f>
        <v/>
      </c>
      <c r="AZ312" t="str">
        <f>TRIM(MID(SUBSTITUTE($F312, ",", REPT(" ", 100)), (COLUMNS($AH$2:AZ312)-1)*100+1, 100))</f>
        <v/>
      </c>
      <c r="BA312" t="str">
        <f>TRIM(MID(SUBSTITUTE($F312, ",", REPT(" ", 100)), (COLUMNS($AH$2:BA312)-1)*100+1, 100))</f>
        <v/>
      </c>
    </row>
    <row r="313" spans="1:53" x14ac:dyDescent="0.5">
      <c r="A313" s="1">
        <v>45969</v>
      </c>
      <c r="B313" s="2">
        <v>6</v>
      </c>
      <c r="C313" s="272"/>
      <c r="D313" s="295"/>
      <c r="E313" s="58">
        <v>1</v>
      </c>
      <c r="F313" s="38" t="s">
        <v>176</v>
      </c>
      <c r="AJ313" t="str">
        <f>TRIM(MID(SUBSTITUTE($F313, ",", REPT(" ", 100)), (COLUMNS($AH$2:AJ313)-1)*100+1, 100))</f>
        <v/>
      </c>
      <c r="AK313" s="1">
        <v>45969</v>
      </c>
      <c r="AL313" s="2">
        <v>6</v>
      </c>
      <c r="AM313" s="2">
        <v>8</v>
      </c>
      <c r="AO313" t="str">
        <f>TRIM(MID(SUBSTITUTE($F313, ",", REPT(" ", 100)), (COLUMNS($AH$2:AO313)-1)*100+1, 100))</f>
        <v/>
      </c>
      <c r="AP313" t="str">
        <f>TRIM(MID(SUBSTITUTE($F313, ",", REPT(" ", 100)), (COLUMNS($AH$2:AP313)-1)*100+1, 100))</f>
        <v/>
      </c>
      <c r="AQ313" t="str">
        <f>TRIM(MID(SUBSTITUTE($F313, ",", REPT(" ", 100)), (COLUMNS($AH$2:AQ313)-1)*100+1, 100))</f>
        <v/>
      </c>
      <c r="AR313" t="str">
        <f>TRIM(MID(SUBSTITUTE($F313, ",", REPT(" ", 100)), (COLUMNS($AH$2:AR313)-1)*100+1, 100))</f>
        <v/>
      </c>
      <c r="AS313" t="str">
        <f>TRIM(MID(SUBSTITUTE($F313, ",", REPT(" ", 100)), (COLUMNS($AH$2:AS313)-1)*100+1, 100))</f>
        <v/>
      </c>
      <c r="AT313" t="str">
        <f>TRIM(MID(SUBSTITUTE($F313, ",", REPT(" ", 100)), (COLUMNS($AH$2:AT313)-1)*100+1, 100))</f>
        <v/>
      </c>
      <c r="AU313" t="str">
        <f>TRIM(MID(SUBSTITUTE($F313, ",", REPT(" ", 100)), (COLUMNS($AH$2:AU313)-1)*100+1, 100))</f>
        <v/>
      </c>
      <c r="AV313" t="str">
        <f>TRIM(MID(SUBSTITUTE($F313, ",", REPT(" ", 100)), (COLUMNS($AH$2:AV313)-1)*100+1, 100))</f>
        <v/>
      </c>
      <c r="AW313" t="str">
        <f>TRIM(MID(SUBSTITUTE($F313, ",", REPT(" ", 100)), (COLUMNS($AH$2:AW313)-1)*100+1, 100))</f>
        <v/>
      </c>
      <c r="AX313" t="str">
        <f>TRIM(MID(SUBSTITUTE($F313, ",", REPT(" ", 100)), (COLUMNS($AH$2:AX313)-1)*100+1, 100))</f>
        <v/>
      </c>
      <c r="AY313" t="str">
        <f>TRIM(MID(SUBSTITUTE($F313, ",", REPT(" ", 100)), (COLUMNS($AH$2:AY313)-1)*100+1, 100))</f>
        <v/>
      </c>
      <c r="AZ313" t="str">
        <f>TRIM(MID(SUBSTITUTE($F313, ",", REPT(" ", 100)), (COLUMNS($AH$2:AZ313)-1)*100+1, 100))</f>
        <v/>
      </c>
      <c r="BA313" t="str">
        <f>TRIM(MID(SUBSTITUTE($F313, ",", REPT(" ", 100)), (COLUMNS($AH$2:BA313)-1)*100+1, 100))</f>
        <v/>
      </c>
    </row>
    <row r="314" spans="1:53" x14ac:dyDescent="0.5">
      <c r="A314" s="1">
        <v>45970</v>
      </c>
      <c r="B314" s="2">
        <v>5.5</v>
      </c>
      <c r="C314" s="272"/>
      <c r="D314" s="295"/>
      <c r="E314" s="58">
        <v>1</v>
      </c>
      <c r="F314" s="38" t="s">
        <v>176</v>
      </c>
      <c r="AJ314" t="str">
        <f>TRIM(MID(SUBSTITUTE($F314, ",", REPT(" ", 100)), (COLUMNS($AH$2:AJ314)-1)*100+1, 100))</f>
        <v/>
      </c>
      <c r="AK314" s="1">
        <v>45970</v>
      </c>
      <c r="AL314" s="2">
        <v>5.5</v>
      </c>
      <c r="AM314" s="2">
        <v>6</v>
      </c>
      <c r="AO314" t="str">
        <f>TRIM(MID(SUBSTITUTE($F314, ",", REPT(" ", 100)), (COLUMNS($AH$2:AO314)-1)*100+1, 100))</f>
        <v/>
      </c>
      <c r="AP314" t="str">
        <f>TRIM(MID(SUBSTITUTE($F314, ",", REPT(" ", 100)), (COLUMNS($AH$2:AP314)-1)*100+1, 100))</f>
        <v/>
      </c>
      <c r="AQ314" t="str">
        <f>TRIM(MID(SUBSTITUTE($F314, ",", REPT(" ", 100)), (COLUMNS($AH$2:AQ314)-1)*100+1, 100))</f>
        <v/>
      </c>
      <c r="AR314" t="str">
        <f>TRIM(MID(SUBSTITUTE($F314, ",", REPT(" ", 100)), (COLUMNS($AH$2:AR314)-1)*100+1, 100))</f>
        <v/>
      </c>
      <c r="AS314" t="str">
        <f>TRIM(MID(SUBSTITUTE($F314, ",", REPT(" ", 100)), (COLUMNS($AH$2:AS314)-1)*100+1, 100))</f>
        <v/>
      </c>
      <c r="AT314" t="str">
        <f>TRIM(MID(SUBSTITUTE($F314, ",", REPT(" ", 100)), (COLUMNS($AH$2:AT314)-1)*100+1, 100))</f>
        <v/>
      </c>
      <c r="AU314" t="str">
        <f>TRIM(MID(SUBSTITUTE($F314, ",", REPT(" ", 100)), (COLUMNS($AH$2:AU314)-1)*100+1, 100))</f>
        <v/>
      </c>
      <c r="AV314" t="str">
        <f>TRIM(MID(SUBSTITUTE($F314, ",", REPT(" ", 100)), (COLUMNS($AH$2:AV314)-1)*100+1, 100))</f>
        <v/>
      </c>
      <c r="AW314" t="str">
        <f>TRIM(MID(SUBSTITUTE($F314, ",", REPT(" ", 100)), (COLUMNS($AH$2:AW314)-1)*100+1, 100))</f>
        <v/>
      </c>
      <c r="AX314" t="str">
        <f>TRIM(MID(SUBSTITUTE($F314, ",", REPT(" ", 100)), (COLUMNS($AH$2:AX314)-1)*100+1, 100))</f>
        <v/>
      </c>
      <c r="AY314" t="str">
        <f>TRIM(MID(SUBSTITUTE($F314, ",", REPT(" ", 100)), (COLUMNS($AH$2:AY314)-1)*100+1, 100))</f>
        <v/>
      </c>
      <c r="AZ314" t="str">
        <f>TRIM(MID(SUBSTITUTE($F314, ",", REPT(" ", 100)), (COLUMNS($AH$2:AZ314)-1)*100+1, 100))</f>
        <v/>
      </c>
      <c r="BA314" t="str">
        <f>TRIM(MID(SUBSTITUTE($F314, ",", REPT(" ", 100)), (COLUMNS($AH$2:BA314)-1)*100+1, 100))</f>
        <v/>
      </c>
    </row>
    <row r="315" spans="1:53" x14ac:dyDescent="0.5">
      <c r="A315" s="1">
        <v>45971</v>
      </c>
      <c r="B315" s="2">
        <v>5.6</v>
      </c>
      <c r="C315" s="272"/>
      <c r="D315" s="295"/>
      <c r="E315" s="58">
        <v>1</v>
      </c>
      <c r="F315" s="38" t="s">
        <v>176</v>
      </c>
      <c r="AJ315" t="str">
        <f>TRIM(MID(SUBSTITUTE($F315, ",", REPT(" ", 100)), (COLUMNS($AH$2:AJ315)-1)*100+1, 100))</f>
        <v/>
      </c>
      <c r="AK315" s="1">
        <v>45971</v>
      </c>
      <c r="AL315" s="2">
        <v>5.6</v>
      </c>
      <c r="AM315" s="2">
        <v>8</v>
      </c>
      <c r="AO315" t="str">
        <f>TRIM(MID(SUBSTITUTE($F315, ",", REPT(" ", 100)), (COLUMNS($AH$2:AO315)-1)*100+1, 100))</f>
        <v/>
      </c>
      <c r="AP315" t="str">
        <f>TRIM(MID(SUBSTITUTE($F315, ",", REPT(" ", 100)), (COLUMNS($AH$2:AP315)-1)*100+1, 100))</f>
        <v/>
      </c>
      <c r="AQ315" t="str">
        <f>TRIM(MID(SUBSTITUTE($F315, ",", REPT(" ", 100)), (COLUMNS($AH$2:AQ315)-1)*100+1, 100))</f>
        <v/>
      </c>
      <c r="AR315" t="str">
        <f>TRIM(MID(SUBSTITUTE($F315, ",", REPT(" ", 100)), (COLUMNS($AH$2:AR315)-1)*100+1, 100))</f>
        <v/>
      </c>
      <c r="AS315" t="str">
        <f>TRIM(MID(SUBSTITUTE($F315, ",", REPT(" ", 100)), (COLUMNS($AH$2:AS315)-1)*100+1, 100))</f>
        <v/>
      </c>
      <c r="AT315" t="str">
        <f>TRIM(MID(SUBSTITUTE($F315, ",", REPT(" ", 100)), (COLUMNS($AH$2:AT315)-1)*100+1, 100))</f>
        <v/>
      </c>
      <c r="AU315" t="str">
        <f>TRIM(MID(SUBSTITUTE($F315, ",", REPT(" ", 100)), (COLUMNS($AH$2:AU315)-1)*100+1, 100))</f>
        <v/>
      </c>
      <c r="AV315" t="str">
        <f>TRIM(MID(SUBSTITUTE($F315, ",", REPT(" ", 100)), (COLUMNS($AH$2:AV315)-1)*100+1, 100))</f>
        <v/>
      </c>
      <c r="AW315" t="str">
        <f>TRIM(MID(SUBSTITUTE($F315, ",", REPT(" ", 100)), (COLUMNS($AH$2:AW315)-1)*100+1, 100))</f>
        <v/>
      </c>
      <c r="AX315" t="str">
        <f>TRIM(MID(SUBSTITUTE($F315, ",", REPT(" ", 100)), (COLUMNS($AH$2:AX315)-1)*100+1, 100))</f>
        <v/>
      </c>
      <c r="AY315" t="str">
        <f>TRIM(MID(SUBSTITUTE($F315, ",", REPT(" ", 100)), (COLUMNS($AH$2:AY315)-1)*100+1, 100))</f>
        <v/>
      </c>
      <c r="AZ315" t="str">
        <f>TRIM(MID(SUBSTITUTE($F315, ",", REPT(" ", 100)), (COLUMNS($AH$2:AZ315)-1)*100+1, 100))</f>
        <v/>
      </c>
      <c r="BA315" t="str">
        <f>TRIM(MID(SUBSTITUTE($F315, ",", REPT(" ", 100)), (COLUMNS($AH$2:BA315)-1)*100+1, 100))</f>
        <v/>
      </c>
    </row>
    <row r="316" spans="1:53" x14ac:dyDescent="0.5">
      <c r="A316" s="1">
        <v>45972</v>
      </c>
      <c r="B316" s="2">
        <v>5</v>
      </c>
      <c r="C316" s="272"/>
      <c r="D316" s="295"/>
      <c r="E316" s="58">
        <v>1</v>
      </c>
      <c r="F316" s="38" t="s">
        <v>176</v>
      </c>
      <c r="G316" s="38" t="s">
        <v>406</v>
      </c>
      <c r="AJ316" t="str">
        <f>TRIM(MID(SUBSTITUTE($F316, ",", REPT(" ", 100)), (COLUMNS($AH$2:AJ316)-1)*100+1, 100))</f>
        <v/>
      </c>
      <c r="AK316" s="1">
        <v>45972</v>
      </c>
      <c r="AL316" s="2">
        <v>5</v>
      </c>
      <c r="AM316" s="2">
        <v>8</v>
      </c>
      <c r="AO316" t="str">
        <f>TRIM(MID(SUBSTITUTE($F316, ",", REPT(" ", 100)), (COLUMNS($AH$2:AO316)-1)*100+1, 100))</f>
        <v/>
      </c>
      <c r="AP316" t="str">
        <f>TRIM(MID(SUBSTITUTE($F316, ",", REPT(" ", 100)), (COLUMNS($AH$2:AP316)-1)*100+1, 100))</f>
        <v/>
      </c>
      <c r="AQ316" t="str">
        <f>TRIM(MID(SUBSTITUTE($F316, ",", REPT(" ", 100)), (COLUMNS($AH$2:AQ316)-1)*100+1, 100))</f>
        <v/>
      </c>
      <c r="AR316" t="str">
        <f>TRIM(MID(SUBSTITUTE($F316, ",", REPT(" ", 100)), (COLUMNS($AH$2:AR316)-1)*100+1, 100))</f>
        <v/>
      </c>
      <c r="AS316" t="str">
        <f>TRIM(MID(SUBSTITUTE($F316, ",", REPT(" ", 100)), (COLUMNS($AH$2:AS316)-1)*100+1, 100))</f>
        <v/>
      </c>
      <c r="AT316" t="str">
        <f>TRIM(MID(SUBSTITUTE($F316, ",", REPT(" ", 100)), (COLUMNS($AH$2:AT316)-1)*100+1, 100))</f>
        <v/>
      </c>
      <c r="AU316" t="str">
        <f>TRIM(MID(SUBSTITUTE($F316, ",", REPT(" ", 100)), (COLUMNS($AH$2:AU316)-1)*100+1, 100))</f>
        <v/>
      </c>
      <c r="AV316" t="str">
        <f>TRIM(MID(SUBSTITUTE($F316, ",", REPT(" ", 100)), (COLUMNS($AH$2:AV316)-1)*100+1, 100))</f>
        <v/>
      </c>
      <c r="AW316" t="str">
        <f>TRIM(MID(SUBSTITUTE($F316, ",", REPT(" ", 100)), (COLUMNS($AH$2:AW316)-1)*100+1, 100))</f>
        <v/>
      </c>
      <c r="AX316" t="str">
        <f>TRIM(MID(SUBSTITUTE($F316, ",", REPT(" ", 100)), (COLUMNS($AH$2:AX316)-1)*100+1, 100))</f>
        <v/>
      </c>
      <c r="AY316" t="str">
        <f>TRIM(MID(SUBSTITUTE($F316, ",", REPT(" ", 100)), (COLUMNS($AH$2:AY316)-1)*100+1, 100))</f>
        <v/>
      </c>
      <c r="AZ316" t="str">
        <f>TRIM(MID(SUBSTITUTE($F316, ",", REPT(" ", 100)), (COLUMNS($AH$2:AZ316)-1)*100+1, 100))</f>
        <v/>
      </c>
      <c r="BA316" t="str">
        <f>TRIM(MID(SUBSTITUTE($F316, ",", REPT(" ", 100)), (COLUMNS($AH$2:BA316)-1)*100+1, 100))</f>
        <v/>
      </c>
    </row>
    <row r="317" spans="1:53" x14ac:dyDescent="0.5">
      <c r="A317" s="1">
        <v>45973</v>
      </c>
      <c r="B317" s="2">
        <v>6.5</v>
      </c>
      <c r="C317" s="272"/>
      <c r="D317" s="295"/>
      <c r="E317" s="58">
        <v>0</v>
      </c>
      <c r="F317" s="38" t="s">
        <v>176</v>
      </c>
      <c r="AJ317" t="str">
        <f>TRIM(MID(SUBSTITUTE($F317, ",", REPT(" ", 100)), (COLUMNS($AH$2:AJ317)-1)*100+1, 100))</f>
        <v/>
      </c>
      <c r="AK317" s="1">
        <v>45973</v>
      </c>
      <c r="AL317" s="2">
        <v>6.5</v>
      </c>
      <c r="AM317" s="2">
        <v>2</v>
      </c>
      <c r="AO317" t="str">
        <f>TRIM(MID(SUBSTITUTE($F317, ",", REPT(" ", 100)), (COLUMNS($AH$2:AO317)-1)*100+1, 100))</f>
        <v/>
      </c>
      <c r="AP317" t="str">
        <f>TRIM(MID(SUBSTITUTE($F317, ",", REPT(" ", 100)), (COLUMNS($AH$2:AP317)-1)*100+1, 100))</f>
        <v/>
      </c>
      <c r="AQ317" t="str">
        <f>TRIM(MID(SUBSTITUTE($F317, ",", REPT(" ", 100)), (COLUMNS($AH$2:AQ317)-1)*100+1, 100))</f>
        <v/>
      </c>
      <c r="AR317" t="str">
        <f>TRIM(MID(SUBSTITUTE($F317, ",", REPT(" ", 100)), (COLUMNS($AH$2:AR317)-1)*100+1, 100))</f>
        <v/>
      </c>
      <c r="AS317" t="str">
        <f>TRIM(MID(SUBSTITUTE($F317, ",", REPT(" ", 100)), (COLUMNS($AH$2:AS317)-1)*100+1, 100))</f>
        <v/>
      </c>
      <c r="AT317" t="str">
        <f>TRIM(MID(SUBSTITUTE($F317, ",", REPT(" ", 100)), (COLUMNS($AH$2:AT317)-1)*100+1, 100))</f>
        <v/>
      </c>
      <c r="AU317" t="str">
        <f>TRIM(MID(SUBSTITUTE($F317, ",", REPT(" ", 100)), (COLUMNS($AH$2:AU317)-1)*100+1, 100))</f>
        <v/>
      </c>
      <c r="AV317" t="str">
        <f>TRIM(MID(SUBSTITUTE($F317, ",", REPT(" ", 100)), (COLUMNS($AH$2:AV317)-1)*100+1, 100))</f>
        <v/>
      </c>
      <c r="AW317" t="str">
        <f>TRIM(MID(SUBSTITUTE($F317, ",", REPT(" ", 100)), (COLUMNS($AH$2:AW317)-1)*100+1, 100))</f>
        <v/>
      </c>
      <c r="AX317" t="str">
        <f>TRIM(MID(SUBSTITUTE($F317, ",", REPT(" ", 100)), (COLUMNS($AH$2:AX317)-1)*100+1, 100))</f>
        <v/>
      </c>
      <c r="AY317" t="str">
        <f>TRIM(MID(SUBSTITUTE($F317, ",", REPT(" ", 100)), (COLUMNS($AH$2:AY317)-1)*100+1, 100))</f>
        <v/>
      </c>
      <c r="AZ317" t="str">
        <f>TRIM(MID(SUBSTITUTE($F317, ",", REPT(" ", 100)), (COLUMNS($AH$2:AZ317)-1)*100+1, 100))</f>
        <v/>
      </c>
      <c r="BA317" t="str">
        <f>TRIM(MID(SUBSTITUTE($F317, ",", REPT(" ", 100)), (COLUMNS($AH$2:BA317)-1)*100+1, 100))</f>
        <v/>
      </c>
    </row>
    <row r="318" spans="1:53" x14ac:dyDescent="0.5">
      <c r="A318" s="1">
        <v>45974</v>
      </c>
      <c r="B318" s="2">
        <v>5.5</v>
      </c>
      <c r="C318" s="272"/>
      <c r="D318" s="295"/>
      <c r="E318" s="58">
        <v>0</v>
      </c>
      <c r="F318" s="38" t="s">
        <v>176</v>
      </c>
      <c r="AJ318" t="str">
        <f>TRIM(MID(SUBSTITUTE($F318, ",", REPT(" ", 100)), (COLUMNS($AH$2:AJ318)-1)*100+1, 100))</f>
        <v/>
      </c>
      <c r="AK318" s="1">
        <v>45974</v>
      </c>
      <c r="AL318" s="2">
        <v>5.5</v>
      </c>
      <c r="AM318" s="2">
        <v>6</v>
      </c>
      <c r="AO318" t="str">
        <f>TRIM(MID(SUBSTITUTE($F318, ",", REPT(" ", 100)), (COLUMNS($AH$2:AO318)-1)*100+1, 100))</f>
        <v/>
      </c>
      <c r="AP318" t="str">
        <f>TRIM(MID(SUBSTITUTE($F318, ",", REPT(" ", 100)), (COLUMNS($AH$2:AP318)-1)*100+1, 100))</f>
        <v/>
      </c>
      <c r="AQ318" t="str">
        <f>TRIM(MID(SUBSTITUTE($F318, ",", REPT(" ", 100)), (COLUMNS($AH$2:AQ318)-1)*100+1, 100))</f>
        <v/>
      </c>
      <c r="AR318" t="str">
        <f>TRIM(MID(SUBSTITUTE($F318, ",", REPT(" ", 100)), (COLUMNS($AH$2:AR318)-1)*100+1, 100))</f>
        <v/>
      </c>
      <c r="AS318" t="str">
        <f>TRIM(MID(SUBSTITUTE($F318, ",", REPT(" ", 100)), (COLUMNS($AH$2:AS318)-1)*100+1, 100))</f>
        <v/>
      </c>
      <c r="AT318" t="str">
        <f>TRIM(MID(SUBSTITUTE($F318, ",", REPT(" ", 100)), (COLUMNS($AH$2:AT318)-1)*100+1, 100))</f>
        <v/>
      </c>
      <c r="AU318" t="str">
        <f>TRIM(MID(SUBSTITUTE($F318, ",", REPT(" ", 100)), (COLUMNS($AH$2:AU318)-1)*100+1, 100))</f>
        <v/>
      </c>
      <c r="AV318" t="str">
        <f>TRIM(MID(SUBSTITUTE($F318, ",", REPT(" ", 100)), (COLUMNS($AH$2:AV318)-1)*100+1, 100))</f>
        <v/>
      </c>
      <c r="AW318" t="str">
        <f>TRIM(MID(SUBSTITUTE($F318, ",", REPT(" ", 100)), (COLUMNS($AH$2:AW318)-1)*100+1, 100))</f>
        <v/>
      </c>
      <c r="AX318" t="str">
        <f>TRIM(MID(SUBSTITUTE($F318, ",", REPT(" ", 100)), (COLUMNS($AH$2:AX318)-1)*100+1, 100))</f>
        <v/>
      </c>
      <c r="AY318" t="str">
        <f>TRIM(MID(SUBSTITUTE($F318, ",", REPT(" ", 100)), (COLUMNS($AH$2:AY318)-1)*100+1, 100))</f>
        <v/>
      </c>
      <c r="AZ318" t="str">
        <f>TRIM(MID(SUBSTITUTE($F318, ",", REPT(" ", 100)), (COLUMNS($AH$2:AZ318)-1)*100+1, 100))</f>
        <v/>
      </c>
      <c r="BA318" t="str">
        <f>TRIM(MID(SUBSTITUTE($F318, ",", REPT(" ", 100)), (COLUMNS($AH$2:BA318)-1)*100+1, 100))</f>
        <v/>
      </c>
    </row>
    <row r="319" spans="1:53" x14ac:dyDescent="0.5">
      <c r="A319" s="1">
        <v>45975</v>
      </c>
      <c r="B319" s="2">
        <v>7.5</v>
      </c>
      <c r="C319" s="272"/>
      <c r="D319" s="295"/>
      <c r="E319" s="58">
        <v>1</v>
      </c>
      <c r="F319" s="38" t="s">
        <v>176</v>
      </c>
      <c r="AJ319" t="str">
        <f>TRIM(MID(SUBSTITUTE($F319, ",", REPT(" ", 100)), (COLUMNS($AH$2:AJ319)-1)*100+1, 100))</f>
        <v/>
      </c>
      <c r="AK319" s="1">
        <v>45975</v>
      </c>
      <c r="AL319" s="2">
        <v>7.5</v>
      </c>
      <c r="AM319" s="2">
        <v>8</v>
      </c>
      <c r="AO319" t="str">
        <f>TRIM(MID(SUBSTITUTE($F319, ",", REPT(" ", 100)), (COLUMNS($AH$2:AO319)-1)*100+1, 100))</f>
        <v/>
      </c>
      <c r="AP319" t="str">
        <f>TRIM(MID(SUBSTITUTE($F319, ",", REPT(" ", 100)), (COLUMNS($AH$2:AP319)-1)*100+1, 100))</f>
        <v/>
      </c>
      <c r="AQ319" t="str">
        <f>TRIM(MID(SUBSTITUTE($F319, ",", REPT(" ", 100)), (COLUMNS($AH$2:AQ319)-1)*100+1, 100))</f>
        <v/>
      </c>
      <c r="AR319" t="str">
        <f>TRIM(MID(SUBSTITUTE($F319, ",", REPT(" ", 100)), (COLUMNS($AH$2:AR319)-1)*100+1, 100))</f>
        <v/>
      </c>
      <c r="AS319" t="str">
        <f>TRIM(MID(SUBSTITUTE($F319, ",", REPT(" ", 100)), (COLUMNS($AH$2:AS319)-1)*100+1, 100))</f>
        <v/>
      </c>
      <c r="AT319" t="str">
        <f>TRIM(MID(SUBSTITUTE($F319, ",", REPT(" ", 100)), (COLUMNS($AH$2:AT319)-1)*100+1, 100))</f>
        <v/>
      </c>
      <c r="AU319" t="str">
        <f>TRIM(MID(SUBSTITUTE($F319, ",", REPT(" ", 100)), (COLUMNS($AH$2:AU319)-1)*100+1, 100))</f>
        <v/>
      </c>
      <c r="AV319" t="str">
        <f>TRIM(MID(SUBSTITUTE($F319, ",", REPT(" ", 100)), (COLUMNS($AH$2:AV319)-1)*100+1, 100))</f>
        <v/>
      </c>
      <c r="AW319" t="str">
        <f>TRIM(MID(SUBSTITUTE($F319, ",", REPT(" ", 100)), (COLUMNS($AH$2:AW319)-1)*100+1, 100))</f>
        <v/>
      </c>
      <c r="AX319" t="str">
        <f>TRIM(MID(SUBSTITUTE($F319, ",", REPT(" ", 100)), (COLUMNS($AH$2:AX319)-1)*100+1, 100))</f>
        <v/>
      </c>
      <c r="AY319" t="str">
        <f>TRIM(MID(SUBSTITUTE($F319, ",", REPT(" ", 100)), (COLUMNS($AH$2:AY319)-1)*100+1, 100))</f>
        <v/>
      </c>
      <c r="AZ319" t="str">
        <f>TRIM(MID(SUBSTITUTE($F319, ",", REPT(" ", 100)), (COLUMNS($AH$2:AZ319)-1)*100+1, 100))</f>
        <v/>
      </c>
      <c r="BA319" t="str">
        <f>TRIM(MID(SUBSTITUTE($F319, ",", REPT(" ", 100)), (COLUMNS($AH$2:BA319)-1)*100+1, 100))</f>
        <v/>
      </c>
    </row>
    <row r="320" spans="1:53" x14ac:dyDescent="0.5">
      <c r="A320" s="1">
        <v>45976</v>
      </c>
      <c r="B320" s="2">
        <v>9</v>
      </c>
      <c r="C320" s="272"/>
      <c r="D320" s="295"/>
      <c r="E320" s="58">
        <v>1</v>
      </c>
      <c r="F320" s="38" t="s">
        <v>176</v>
      </c>
      <c r="G320" s="38" t="s">
        <v>407</v>
      </c>
      <c r="AJ320" t="str">
        <f>TRIM(MID(SUBSTITUTE($F320, ",", REPT(" ", 100)), (COLUMNS($AH$2:AJ320)-1)*100+1, 100))</f>
        <v/>
      </c>
      <c r="AK320" s="1">
        <v>45976</v>
      </c>
      <c r="AL320" s="2">
        <v>9</v>
      </c>
      <c r="AM320" s="2">
        <v>8</v>
      </c>
      <c r="AO320" t="str">
        <f>TRIM(MID(SUBSTITUTE($F320, ",", REPT(" ", 100)), (COLUMNS($AH$2:AO320)-1)*100+1, 100))</f>
        <v/>
      </c>
      <c r="AP320" t="str">
        <f>TRIM(MID(SUBSTITUTE($F320, ",", REPT(" ", 100)), (COLUMNS($AH$2:AP320)-1)*100+1, 100))</f>
        <v/>
      </c>
      <c r="AQ320" t="str">
        <f>TRIM(MID(SUBSTITUTE($F320, ",", REPT(" ", 100)), (COLUMNS($AH$2:AQ320)-1)*100+1, 100))</f>
        <v/>
      </c>
      <c r="AR320" t="str">
        <f>TRIM(MID(SUBSTITUTE($F320, ",", REPT(" ", 100)), (COLUMNS($AH$2:AR320)-1)*100+1, 100))</f>
        <v/>
      </c>
      <c r="AS320" t="str">
        <f>TRIM(MID(SUBSTITUTE($F320, ",", REPT(" ", 100)), (COLUMNS($AH$2:AS320)-1)*100+1, 100))</f>
        <v/>
      </c>
      <c r="AT320" t="str">
        <f>TRIM(MID(SUBSTITUTE($F320, ",", REPT(" ", 100)), (COLUMNS($AH$2:AT320)-1)*100+1, 100))</f>
        <v/>
      </c>
      <c r="AU320" t="str">
        <f>TRIM(MID(SUBSTITUTE($F320, ",", REPT(" ", 100)), (COLUMNS($AH$2:AU320)-1)*100+1, 100))</f>
        <v/>
      </c>
      <c r="AV320" t="str">
        <f>TRIM(MID(SUBSTITUTE($F320, ",", REPT(" ", 100)), (COLUMNS($AH$2:AV320)-1)*100+1, 100))</f>
        <v/>
      </c>
      <c r="AW320" t="str">
        <f>TRIM(MID(SUBSTITUTE($F320, ",", REPT(" ", 100)), (COLUMNS($AH$2:AW320)-1)*100+1, 100))</f>
        <v/>
      </c>
      <c r="AX320" t="str">
        <f>TRIM(MID(SUBSTITUTE($F320, ",", REPT(" ", 100)), (COLUMNS($AH$2:AX320)-1)*100+1, 100))</f>
        <v/>
      </c>
      <c r="AY320" t="str">
        <f>TRIM(MID(SUBSTITUTE($F320, ",", REPT(" ", 100)), (COLUMNS($AH$2:AY320)-1)*100+1, 100))</f>
        <v/>
      </c>
      <c r="AZ320" t="str">
        <f>TRIM(MID(SUBSTITUTE($F320, ",", REPT(" ", 100)), (COLUMNS($AH$2:AZ320)-1)*100+1, 100))</f>
        <v/>
      </c>
      <c r="BA320" t="str">
        <f>TRIM(MID(SUBSTITUTE($F320, ",", REPT(" ", 100)), (COLUMNS($AH$2:BA320)-1)*100+1, 100))</f>
        <v/>
      </c>
    </row>
    <row r="321" spans="1:53" x14ac:dyDescent="0.5">
      <c r="A321" s="1">
        <v>45977</v>
      </c>
      <c r="B321" s="2">
        <v>6.8</v>
      </c>
      <c r="C321" s="272"/>
      <c r="D321" s="295"/>
      <c r="E321" s="58">
        <v>1</v>
      </c>
      <c r="F321" s="38" t="s">
        <v>176</v>
      </c>
      <c r="AJ321" t="str">
        <f>TRIM(MID(SUBSTITUTE($F321, ",", REPT(" ", 100)), (COLUMNS($AH$2:AJ321)-1)*100+1, 100))</f>
        <v/>
      </c>
      <c r="AK321" s="1">
        <v>45977</v>
      </c>
      <c r="AL321" s="2">
        <v>6.8</v>
      </c>
      <c r="AM321" s="2">
        <v>6</v>
      </c>
      <c r="AO321" t="str">
        <f>TRIM(MID(SUBSTITUTE($F321, ",", REPT(" ", 100)), (COLUMNS($AH$2:AO321)-1)*100+1, 100))</f>
        <v/>
      </c>
      <c r="AP321" t="str">
        <f>TRIM(MID(SUBSTITUTE($F321, ",", REPT(" ", 100)), (COLUMNS($AH$2:AP321)-1)*100+1, 100))</f>
        <v/>
      </c>
      <c r="AQ321" t="str">
        <f>TRIM(MID(SUBSTITUTE($F321, ",", REPT(" ", 100)), (COLUMNS($AH$2:AQ321)-1)*100+1, 100))</f>
        <v/>
      </c>
      <c r="AR321" t="str">
        <f>TRIM(MID(SUBSTITUTE($F321, ",", REPT(" ", 100)), (COLUMNS($AH$2:AR321)-1)*100+1, 100))</f>
        <v/>
      </c>
      <c r="AS321" t="str">
        <f>TRIM(MID(SUBSTITUTE($F321, ",", REPT(" ", 100)), (COLUMNS($AH$2:AS321)-1)*100+1, 100))</f>
        <v/>
      </c>
      <c r="AT321" t="str">
        <f>TRIM(MID(SUBSTITUTE($F321, ",", REPT(" ", 100)), (COLUMNS($AH$2:AT321)-1)*100+1, 100))</f>
        <v/>
      </c>
      <c r="AU321" t="str">
        <f>TRIM(MID(SUBSTITUTE($F321, ",", REPT(" ", 100)), (COLUMNS($AH$2:AU321)-1)*100+1, 100))</f>
        <v/>
      </c>
      <c r="AV321" t="str">
        <f>TRIM(MID(SUBSTITUTE($F321, ",", REPT(" ", 100)), (COLUMNS($AH$2:AV321)-1)*100+1, 100))</f>
        <v/>
      </c>
      <c r="AW321" t="str">
        <f>TRIM(MID(SUBSTITUTE($F321, ",", REPT(" ", 100)), (COLUMNS($AH$2:AW321)-1)*100+1, 100))</f>
        <v/>
      </c>
      <c r="AX321" t="str">
        <f>TRIM(MID(SUBSTITUTE($F321, ",", REPT(" ", 100)), (COLUMNS($AH$2:AX321)-1)*100+1, 100))</f>
        <v/>
      </c>
      <c r="AY321" t="str">
        <f>TRIM(MID(SUBSTITUTE($F321, ",", REPT(" ", 100)), (COLUMNS($AH$2:AY321)-1)*100+1, 100))</f>
        <v/>
      </c>
      <c r="AZ321" t="str">
        <f>TRIM(MID(SUBSTITUTE($F321, ",", REPT(" ", 100)), (COLUMNS($AH$2:AZ321)-1)*100+1, 100))</f>
        <v/>
      </c>
      <c r="BA321" t="str">
        <f>TRIM(MID(SUBSTITUTE($F321, ",", REPT(" ", 100)), (COLUMNS($AH$2:BA321)-1)*100+1, 100))</f>
        <v/>
      </c>
    </row>
    <row r="322" spans="1:53" x14ac:dyDescent="0.5">
      <c r="A322" s="1">
        <v>45978</v>
      </c>
      <c r="B322" s="2">
        <v>7</v>
      </c>
      <c r="C322" s="272"/>
      <c r="D322" s="295"/>
      <c r="E322" s="58">
        <v>0</v>
      </c>
      <c r="F322" s="38" t="s">
        <v>176</v>
      </c>
      <c r="AJ322" t="str">
        <f>TRIM(MID(SUBSTITUTE($F322, ",", REPT(" ", 100)), (COLUMNS($AH$2:AJ322)-1)*100+1, 100))</f>
        <v/>
      </c>
      <c r="AK322" s="1">
        <v>45978</v>
      </c>
      <c r="AL322" s="2">
        <v>7</v>
      </c>
      <c r="AM322" s="2">
        <v>6</v>
      </c>
      <c r="AO322" t="str">
        <f>TRIM(MID(SUBSTITUTE($F322, ",", REPT(" ", 100)), (COLUMNS($AH$2:AO322)-1)*100+1, 100))</f>
        <v/>
      </c>
      <c r="AP322" t="str">
        <f>TRIM(MID(SUBSTITUTE($F322, ",", REPT(" ", 100)), (COLUMNS($AH$2:AP322)-1)*100+1, 100))</f>
        <v/>
      </c>
      <c r="AQ322" t="str">
        <f>TRIM(MID(SUBSTITUTE($F322, ",", REPT(" ", 100)), (COLUMNS($AH$2:AQ322)-1)*100+1, 100))</f>
        <v/>
      </c>
      <c r="AR322" t="str">
        <f>TRIM(MID(SUBSTITUTE($F322, ",", REPT(" ", 100)), (COLUMNS($AH$2:AR322)-1)*100+1, 100))</f>
        <v/>
      </c>
      <c r="AS322" t="str">
        <f>TRIM(MID(SUBSTITUTE($F322, ",", REPT(" ", 100)), (COLUMNS($AH$2:AS322)-1)*100+1, 100))</f>
        <v/>
      </c>
      <c r="AT322" t="str">
        <f>TRIM(MID(SUBSTITUTE($F322, ",", REPT(" ", 100)), (COLUMNS($AH$2:AT322)-1)*100+1, 100))</f>
        <v/>
      </c>
      <c r="AU322" t="str">
        <f>TRIM(MID(SUBSTITUTE($F322, ",", REPT(" ", 100)), (COLUMNS($AH$2:AU322)-1)*100+1, 100))</f>
        <v/>
      </c>
      <c r="AV322" t="str">
        <f>TRIM(MID(SUBSTITUTE($F322, ",", REPT(" ", 100)), (COLUMNS($AH$2:AV322)-1)*100+1, 100))</f>
        <v/>
      </c>
      <c r="AW322" t="str">
        <f>TRIM(MID(SUBSTITUTE($F322, ",", REPT(" ", 100)), (COLUMNS($AH$2:AW322)-1)*100+1, 100))</f>
        <v/>
      </c>
      <c r="AX322" t="str">
        <f>TRIM(MID(SUBSTITUTE($F322, ",", REPT(" ", 100)), (COLUMNS($AH$2:AX322)-1)*100+1, 100))</f>
        <v/>
      </c>
      <c r="AY322" t="str">
        <f>TRIM(MID(SUBSTITUTE($F322, ",", REPT(" ", 100)), (COLUMNS($AH$2:AY322)-1)*100+1, 100))</f>
        <v/>
      </c>
      <c r="AZ322" t="str">
        <f>TRIM(MID(SUBSTITUTE($F322, ",", REPT(" ", 100)), (COLUMNS($AH$2:AZ322)-1)*100+1, 100))</f>
        <v/>
      </c>
      <c r="BA322" t="str">
        <f>TRIM(MID(SUBSTITUTE($F322, ",", REPT(" ", 100)), (COLUMNS($AH$2:BA322)-1)*100+1, 100))</f>
        <v/>
      </c>
    </row>
    <row r="323" spans="1:53" x14ac:dyDescent="0.5">
      <c r="A323" s="1">
        <v>45979</v>
      </c>
      <c r="B323" s="2">
        <v>6</v>
      </c>
      <c r="C323" s="272"/>
      <c r="D323" s="295"/>
      <c r="E323" s="58">
        <v>1</v>
      </c>
      <c r="F323" s="38" t="s">
        <v>176</v>
      </c>
      <c r="AJ323" t="str">
        <f>TRIM(MID(SUBSTITUTE($F323, ",", REPT(" ", 100)), (COLUMNS($AH$2:AJ323)-1)*100+1, 100))</f>
        <v/>
      </c>
      <c r="AK323" s="1">
        <v>45979</v>
      </c>
      <c r="AL323" s="2">
        <v>6</v>
      </c>
      <c r="AM323" s="2">
        <v>4</v>
      </c>
      <c r="AO323" t="str">
        <f>TRIM(MID(SUBSTITUTE($F323, ",", REPT(" ", 100)), (COLUMNS($AH$2:AO323)-1)*100+1, 100))</f>
        <v/>
      </c>
      <c r="AP323" t="str">
        <f>TRIM(MID(SUBSTITUTE($F323, ",", REPT(" ", 100)), (COLUMNS($AH$2:AP323)-1)*100+1, 100))</f>
        <v/>
      </c>
      <c r="AQ323" t="str">
        <f>TRIM(MID(SUBSTITUTE($F323, ",", REPT(" ", 100)), (COLUMNS($AH$2:AQ323)-1)*100+1, 100))</f>
        <v/>
      </c>
      <c r="AR323" t="str">
        <f>TRIM(MID(SUBSTITUTE($F323, ",", REPT(" ", 100)), (COLUMNS($AH$2:AR323)-1)*100+1, 100))</f>
        <v/>
      </c>
      <c r="AS323" t="str">
        <f>TRIM(MID(SUBSTITUTE($F323, ",", REPT(" ", 100)), (COLUMNS($AH$2:AS323)-1)*100+1, 100))</f>
        <v/>
      </c>
      <c r="AT323" t="str">
        <f>TRIM(MID(SUBSTITUTE($F323, ",", REPT(" ", 100)), (COLUMNS($AH$2:AT323)-1)*100+1, 100))</f>
        <v/>
      </c>
      <c r="AU323" t="str">
        <f>TRIM(MID(SUBSTITUTE($F323, ",", REPT(" ", 100)), (COLUMNS($AH$2:AU323)-1)*100+1, 100))</f>
        <v/>
      </c>
      <c r="AV323" t="str">
        <f>TRIM(MID(SUBSTITUTE($F323, ",", REPT(" ", 100)), (COLUMNS($AH$2:AV323)-1)*100+1, 100))</f>
        <v/>
      </c>
      <c r="AW323" t="str">
        <f>TRIM(MID(SUBSTITUTE($F323, ",", REPT(" ", 100)), (COLUMNS($AH$2:AW323)-1)*100+1, 100))</f>
        <v/>
      </c>
      <c r="AX323" t="str">
        <f>TRIM(MID(SUBSTITUTE($F323, ",", REPT(" ", 100)), (COLUMNS($AH$2:AX323)-1)*100+1, 100))</f>
        <v/>
      </c>
      <c r="AY323" t="str">
        <f>TRIM(MID(SUBSTITUTE($F323, ",", REPT(" ", 100)), (COLUMNS($AH$2:AY323)-1)*100+1, 100))</f>
        <v/>
      </c>
      <c r="AZ323" t="str">
        <f>TRIM(MID(SUBSTITUTE($F323, ",", REPT(" ", 100)), (COLUMNS($AH$2:AZ323)-1)*100+1, 100))</f>
        <v/>
      </c>
      <c r="BA323" t="str">
        <f>TRIM(MID(SUBSTITUTE($F323, ",", REPT(" ", 100)), (COLUMNS($AH$2:BA323)-1)*100+1, 100))</f>
        <v/>
      </c>
    </row>
    <row r="324" spans="1:53" x14ac:dyDescent="0.5">
      <c r="A324" s="1">
        <v>45980</v>
      </c>
      <c r="B324" s="2">
        <v>6</v>
      </c>
      <c r="C324" s="272"/>
      <c r="D324" s="295"/>
      <c r="E324" s="58">
        <v>0</v>
      </c>
      <c r="F324" s="38" t="s">
        <v>176</v>
      </c>
      <c r="AJ324" t="str">
        <f>TRIM(MID(SUBSTITUTE($F324, ",", REPT(" ", 100)), (COLUMNS($AH$2:AJ324)-1)*100+1, 100))</f>
        <v/>
      </c>
      <c r="AK324" s="1">
        <v>45980</v>
      </c>
      <c r="AL324" s="2">
        <v>6</v>
      </c>
      <c r="AM324" s="2">
        <v>8</v>
      </c>
      <c r="AO324" t="str">
        <f>TRIM(MID(SUBSTITUTE($F324, ",", REPT(" ", 100)), (COLUMNS($AH$2:AO324)-1)*100+1, 100))</f>
        <v/>
      </c>
      <c r="AP324" t="str">
        <f>TRIM(MID(SUBSTITUTE($F324, ",", REPT(" ", 100)), (COLUMNS($AH$2:AP324)-1)*100+1, 100))</f>
        <v/>
      </c>
      <c r="AQ324" t="str">
        <f>TRIM(MID(SUBSTITUTE($F324, ",", REPT(" ", 100)), (COLUMNS($AH$2:AQ324)-1)*100+1, 100))</f>
        <v/>
      </c>
      <c r="AR324" t="str">
        <f>TRIM(MID(SUBSTITUTE($F324, ",", REPT(" ", 100)), (COLUMNS($AH$2:AR324)-1)*100+1, 100))</f>
        <v/>
      </c>
      <c r="AS324" t="str">
        <f>TRIM(MID(SUBSTITUTE($F324, ",", REPT(" ", 100)), (COLUMNS($AH$2:AS324)-1)*100+1, 100))</f>
        <v/>
      </c>
      <c r="AT324" t="str">
        <f>TRIM(MID(SUBSTITUTE($F324, ",", REPT(" ", 100)), (COLUMNS($AH$2:AT324)-1)*100+1, 100))</f>
        <v/>
      </c>
      <c r="AU324" t="str">
        <f>TRIM(MID(SUBSTITUTE($F324, ",", REPT(" ", 100)), (COLUMNS($AH$2:AU324)-1)*100+1, 100))</f>
        <v/>
      </c>
      <c r="AV324" t="str">
        <f>TRIM(MID(SUBSTITUTE($F324, ",", REPT(" ", 100)), (COLUMNS($AH$2:AV324)-1)*100+1, 100))</f>
        <v/>
      </c>
      <c r="AW324" t="str">
        <f>TRIM(MID(SUBSTITUTE($F324, ",", REPT(" ", 100)), (COLUMNS($AH$2:AW324)-1)*100+1, 100))</f>
        <v/>
      </c>
      <c r="AX324" t="str">
        <f>TRIM(MID(SUBSTITUTE($F324, ",", REPT(" ", 100)), (COLUMNS($AH$2:AX324)-1)*100+1, 100))</f>
        <v/>
      </c>
      <c r="AY324" t="str">
        <f>TRIM(MID(SUBSTITUTE($F324, ",", REPT(" ", 100)), (COLUMNS($AH$2:AY324)-1)*100+1, 100))</f>
        <v/>
      </c>
      <c r="AZ324" t="str">
        <f>TRIM(MID(SUBSTITUTE($F324, ",", REPT(" ", 100)), (COLUMNS($AH$2:AZ324)-1)*100+1, 100))</f>
        <v/>
      </c>
      <c r="BA324" t="str">
        <f>TRIM(MID(SUBSTITUTE($F324, ",", REPT(" ", 100)), (COLUMNS($AH$2:BA324)-1)*100+1, 100))</f>
        <v/>
      </c>
    </row>
    <row r="325" spans="1:53" x14ac:dyDescent="0.5">
      <c r="A325" s="1">
        <v>45981</v>
      </c>
      <c r="B325" s="2">
        <v>5.6</v>
      </c>
      <c r="C325" s="272"/>
      <c r="D325" s="295"/>
      <c r="E325" s="58">
        <v>1</v>
      </c>
      <c r="F325" s="38" t="s">
        <v>176</v>
      </c>
      <c r="AJ325" t="str">
        <f>TRIM(MID(SUBSTITUTE($F325, ",", REPT(" ", 100)), (COLUMNS($AH$2:AJ325)-1)*100+1, 100))</f>
        <v/>
      </c>
      <c r="AK325" s="1">
        <v>45981</v>
      </c>
      <c r="AL325" s="2">
        <v>5.6</v>
      </c>
      <c r="AM325" s="2">
        <v>6</v>
      </c>
      <c r="AO325" t="str">
        <f>TRIM(MID(SUBSTITUTE($F325, ",", REPT(" ", 100)), (COLUMNS($AH$2:AO325)-1)*100+1, 100))</f>
        <v/>
      </c>
      <c r="AP325" t="str">
        <f>TRIM(MID(SUBSTITUTE($F325, ",", REPT(" ", 100)), (COLUMNS($AH$2:AP325)-1)*100+1, 100))</f>
        <v/>
      </c>
      <c r="AQ325" t="str">
        <f>TRIM(MID(SUBSTITUTE($F325, ",", REPT(" ", 100)), (COLUMNS($AH$2:AQ325)-1)*100+1, 100))</f>
        <v/>
      </c>
      <c r="AR325" t="str">
        <f>TRIM(MID(SUBSTITUTE($F325, ",", REPT(" ", 100)), (COLUMNS($AH$2:AR325)-1)*100+1, 100))</f>
        <v/>
      </c>
      <c r="AS325" t="str">
        <f>TRIM(MID(SUBSTITUTE($F325, ",", REPT(" ", 100)), (COLUMNS($AH$2:AS325)-1)*100+1, 100))</f>
        <v/>
      </c>
      <c r="AT325" t="str">
        <f>TRIM(MID(SUBSTITUTE($F325, ",", REPT(" ", 100)), (COLUMNS($AH$2:AT325)-1)*100+1, 100))</f>
        <v/>
      </c>
      <c r="AU325" t="str">
        <f>TRIM(MID(SUBSTITUTE($F325, ",", REPT(" ", 100)), (COLUMNS($AH$2:AU325)-1)*100+1, 100))</f>
        <v/>
      </c>
      <c r="AV325" t="str">
        <f>TRIM(MID(SUBSTITUTE($F325, ",", REPT(" ", 100)), (COLUMNS($AH$2:AV325)-1)*100+1, 100))</f>
        <v/>
      </c>
      <c r="AW325" t="str">
        <f>TRIM(MID(SUBSTITUTE($F325, ",", REPT(" ", 100)), (COLUMNS($AH$2:AW325)-1)*100+1, 100))</f>
        <v/>
      </c>
      <c r="AX325" t="str">
        <f>TRIM(MID(SUBSTITUTE($F325, ",", REPT(" ", 100)), (COLUMNS($AH$2:AX325)-1)*100+1, 100))</f>
        <v/>
      </c>
      <c r="AY325" t="str">
        <f>TRIM(MID(SUBSTITUTE($F325, ",", REPT(" ", 100)), (COLUMNS($AH$2:AY325)-1)*100+1, 100))</f>
        <v/>
      </c>
      <c r="AZ325" t="str">
        <f>TRIM(MID(SUBSTITUTE($F325, ",", REPT(" ", 100)), (COLUMNS($AH$2:AZ325)-1)*100+1, 100))</f>
        <v/>
      </c>
      <c r="BA325" t="str">
        <f>TRIM(MID(SUBSTITUTE($F325, ",", REPT(" ", 100)), (COLUMNS($AH$2:BA325)-1)*100+1, 100))</f>
        <v/>
      </c>
    </row>
    <row r="326" spans="1:53" x14ac:dyDescent="0.5">
      <c r="A326" s="1">
        <v>45982</v>
      </c>
      <c r="B326" s="2">
        <v>5.5</v>
      </c>
      <c r="C326" s="272"/>
      <c r="D326" s="295"/>
      <c r="E326" s="58">
        <v>1</v>
      </c>
      <c r="F326" s="38" t="s">
        <v>176</v>
      </c>
      <c r="AJ326" t="str">
        <f>TRIM(MID(SUBSTITUTE($F326, ",", REPT(" ", 100)), (COLUMNS($AH$2:AJ326)-1)*100+1, 100))</f>
        <v/>
      </c>
      <c r="AK326" s="1">
        <v>45982</v>
      </c>
      <c r="AL326" s="2">
        <v>5.5</v>
      </c>
      <c r="AM326" s="2">
        <v>4</v>
      </c>
      <c r="AO326" t="str">
        <f>TRIM(MID(SUBSTITUTE($F326, ",", REPT(" ", 100)), (COLUMNS($AH$2:AO326)-1)*100+1, 100))</f>
        <v/>
      </c>
      <c r="AP326" t="str">
        <f>TRIM(MID(SUBSTITUTE($F326, ",", REPT(" ", 100)), (COLUMNS($AH$2:AP326)-1)*100+1, 100))</f>
        <v/>
      </c>
      <c r="AQ326" t="str">
        <f>TRIM(MID(SUBSTITUTE($F326, ",", REPT(" ", 100)), (COLUMNS($AH$2:AQ326)-1)*100+1, 100))</f>
        <v/>
      </c>
      <c r="AR326" t="str">
        <f>TRIM(MID(SUBSTITUTE($F326, ",", REPT(" ", 100)), (COLUMNS($AH$2:AR326)-1)*100+1, 100))</f>
        <v/>
      </c>
      <c r="AS326" t="str">
        <f>TRIM(MID(SUBSTITUTE($F326, ",", REPT(" ", 100)), (COLUMNS($AH$2:AS326)-1)*100+1, 100))</f>
        <v/>
      </c>
      <c r="AT326" t="str">
        <f>TRIM(MID(SUBSTITUTE($F326, ",", REPT(" ", 100)), (COLUMNS($AH$2:AT326)-1)*100+1, 100))</f>
        <v/>
      </c>
      <c r="AU326" t="str">
        <f>TRIM(MID(SUBSTITUTE($F326, ",", REPT(" ", 100)), (COLUMNS($AH$2:AU326)-1)*100+1, 100))</f>
        <v/>
      </c>
      <c r="AV326" t="str">
        <f>TRIM(MID(SUBSTITUTE($F326, ",", REPT(" ", 100)), (COLUMNS($AH$2:AV326)-1)*100+1, 100))</f>
        <v/>
      </c>
      <c r="AW326" t="str">
        <f>TRIM(MID(SUBSTITUTE($F326, ",", REPT(" ", 100)), (COLUMNS($AH$2:AW326)-1)*100+1, 100))</f>
        <v/>
      </c>
      <c r="AX326" t="str">
        <f>TRIM(MID(SUBSTITUTE($F326, ",", REPT(" ", 100)), (COLUMNS($AH$2:AX326)-1)*100+1, 100))</f>
        <v/>
      </c>
      <c r="AY326" t="str">
        <f>TRIM(MID(SUBSTITUTE($F326, ",", REPT(" ", 100)), (COLUMNS($AH$2:AY326)-1)*100+1, 100))</f>
        <v/>
      </c>
      <c r="AZ326" t="str">
        <f>TRIM(MID(SUBSTITUTE($F326, ",", REPT(" ", 100)), (COLUMNS($AH$2:AZ326)-1)*100+1, 100))</f>
        <v/>
      </c>
      <c r="BA326" t="str">
        <f>TRIM(MID(SUBSTITUTE($F326, ",", REPT(" ", 100)), (COLUMNS($AH$2:BA326)-1)*100+1, 100))</f>
        <v/>
      </c>
    </row>
    <row r="327" spans="1:53" x14ac:dyDescent="0.5">
      <c r="A327" s="1">
        <v>45983</v>
      </c>
      <c r="B327" s="2">
        <v>5</v>
      </c>
      <c r="C327" s="272"/>
      <c r="D327" s="295"/>
      <c r="E327" s="58">
        <v>0</v>
      </c>
      <c r="F327" s="38" t="s">
        <v>176</v>
      </c>
      <c r="AJ327" t="str">
        <f>TRIM(MID(SUBSTITUTE($F327, ",", REPT(" ", 100)), (COLUMNS($AH$2:AJ327)-1)*100+1, 100))</f>
        <v/>
      </c>
      <c r="AK327" s="1">
        <v>45983</v>
      </c>
      <c r="AL327" s="2">
        <v>5</v>
      </c>
      <c r="AM327" s="2">
        <v>4</v>
      </c>
      <c r="AO327" t="str">
        <f>TRIM(MID(SUBSTITUTE($F327, ",", REPT(" ", 100)), (COLUMNS($AH$2:AO327)-1)*100+1, 100))</f>
        <v/>
      </c>
      <c r="AP327" t="str">
        <f>TRIM(MID(SUBSTITUTE($F327, ",", REPT(" ", 100)), (COLUMNS($AH$2:AP327)-1)*100+1, 100))</f>
        <v/>
      </c>
      <c r="AQ327" t="str">
        <f>TRIM(MID(SUBSTITUTE($F327, ",", REPT(" ", 100)), (COLUMNS($AH$2:AQ327)-1)*100+1, 100))</f>
        <v/>
      </c>
      <c r="AR327" t="str">
        <f>TRIM(MID(SUBSTITUTE($F327, ",", REPT(" ", 100)), (COLUMNS($AH$2:AR327)-1)*100+1, 100))</f>
        <v/>
      </c>
      <c r="AS327" t="str">
        <f>TRIM(MID(SUBSTITUTE($F327, ",", REPT(" ", 100)), (COLUMNS($AH$2:AS327)-1)*100+1, 100))</f>
        <v/>
      </c>
      <c r="AT327" t="str">
        <f>TRIM(MID(SUBSTITUTE($F327, ",", REPT(" ", 100)), (COLUMNS($AH$2:AT327)-1)*100+1, 100))</f>
        <v/>
      </c>
      <c r="AU327" t="str">
        <f>TRIM(MID(SUBSTITUTE($F327, ",", REPT(" ", 100)), (COLUMNS($AH$2:AU327)-1)*100+1, 100))</f>
        <v/>
      </c>
      <c r="AV327" t="str">
        <f>TRIM(MID(SUBSTITUTE($F327, ",", REPT(" ", 100)), (COLUMNS($AH$2:AV327)-1)*100+1, 100))</f>
        <v/>
      </c>
      <c r="AW327" t="str">
        <f>TRIM(MID(SUBSTITUTE($F327, ",", REPT(" ", 100)), (COLUMNS($AH$2:AW327)-1)*100+1, 100))</f>
        <v/>
      </c>
      <c r="AX327" t="str">
        <f>TRIM(MID(SUBSTITUTE($F327, ",", REPT(" ", 100)), (COLUMNS($AH$2:AX327)-1)*100+1, 100))</f>
        <v/>
      </c>
      <c r="AY327" t="str">
        <f>TRIM(MID(SUBSTITUTE($F327, ",", REPT(" ", 100)), (COLUMNS($AH$2:AY327)-1)*100+1, 100))</f>
        <v/>
      </c>
      <c r="AZ327" t="str">
        <f>TRIM(MID(SUBSTITUTE($F327, ",", REPT(" ", 100)), (COLUMNS($AH$2:AZ327)-1)*100+1, 100))</f>
        <v/>
      </c>
      <c r="BA327" t="str">
        <f>TRIM(MID(SUBSTITUTE($F327, ",", REPT(" ", 100)), (COLUMNS($AH$2:BA327)-1)*100+1, 100))</f>
        <v/>
      </c>
    </row>
    <row r="328" spans="1:53" x14ac:dyDescent="0.5">
      <c r="A328" s="1">
        <v>45984</v>
      </c>
      <c r="B328" s="2">
        <v>8</v>
      </c>
      <c r="C328" s="272"/>
      <c r="D328" s="295"/>
      <c r="E328" s="58">
        <v>1</v>
      </c>
      <c r="F328" s="38" t="s">
        <v>176</v>
      </c>
      <c r="AJ328" t="str">
        <f>TRIM(MID(SUBSTITUTE($F328, ",", REPT(" ", 100)), (COLUMNS($AH$2:AJ328)-1)*100+1, 100))</f>
        <v/>
      </c>
      <c r="AK328" s="1">
        <v>45984</v>
      </c>
      <c r="AL328" s="2">
        <v>8</v>
      </c>
      <c r="AM328" s="2">
        <v>6</v>
      </c>
      <c r="AO328" t="str">
        <f>TRIM(MID(SUBSTITUTE($F328, ",", REPT(" ", 100)), (COLUMNS($AH$2:AO328)-1)*100+1, 100))</f>
        <v/>
      </c>
      <c r="AP328" t="str">
        <f>TRIM(MID(SUBSTITUTE($F328, ",", REPT(" ", 100)), (COLUMNS($AH$2:AP328)-1)*100+1, 100))</f>
        <v/>
      </c>
      <c r="AQ328" t="str">
        <f>TRIM(MID(SUBSTITUTE($F328, ",", REPT(" ", 100)), (COLUMNS($AH$2:AQ328)-1)*100+1, 100))</f>
        <v/>
      </c>
      <c r="AR328" t="str">
        <f>TRIM(MID(SUBSTITUTE($F328, ",", REPT(" ", 100)), (COLUMNS($AH$2:AR328)-1)*100+1, 100))</f>
        <v/>
      </c>
      <c r="AS328" t="str">
        <f>TRIM(MID(SUBSTITUTE($F328, ",", REPT(" ", 100)), (COLUMNS($AH$2:AS328)-1)*100+1, 100))</f>
        <v/>
      </c>
      <c r="AT328" t="str">
        <f>TRIM(MID(SUBSTITUTE($F328, ",", REPT(" ", 100)), (COLUMNS($AH$2:AT328)-1)*100+1, 100))</f>
        <v/>
      </c>
      <c r="AU328" t="str">
        <f>TRIM(MID(SUBSTITUTE($F328, ",", REPT(" ", 100)), (COLUMNS($AH$2:AU328)-1)*100+1, 100))</f>
        <v/>
      </c>
      <c r="AV328" t="str">
        <f>TRIM(MID(SUBSTITUTE($F328, ",", REPT(" ", 100)), (COLUMNS($AH$2:AV328)-1)*100+1, 100))</f>
        <v/>
      </c>
      <c r="AW328" t="str">
        <f>TRIM(MID(SUBSTITUTE($F328, ",", REPT(" ", 100)), (COLUMNS($AH$2:AW328)-1)*100+1, 100))</f>
        <v/>
      </c>
      <c r="AX328" t="str">
        <f>TRIM(MID(SUBSTITUTE($F328, ",", REPT(" ", 100)), (COLUMNS($AH$2:AX328)-1)*100+1, 100))</f>
        <v/>
      </c>
      <c r="AY328" t="str">
        <f>TRIM(MID(SUBSTITUTE($F328, ",", REPT(" ", 100)), (COLUMNS($AH$2:AY328)-1)*100+1, 100))</f>
        <v/>
      </c>
      <c r="AZ328" t="str">
        <f>TRIM(MID(SUBSTITUTE($F328, ",", REPT(" ", 100)), (COLUMNS($AH$2:AZ328)-1)*100+1, 100))</f>
        <v/>
      </c>
      <c r="BA328" t="str">
        <f>TRIM(MID(SUBSTITUTE($F328, ",", REPT(" ", 100)), (COLUMNS($AH$2:BA328)-1)*100+1, 100))</f>
        <v/>
      </c>
    </row>
    <row r="329" spans="1:53" x14ac:dyDescent="0.5">
      <c r="A329" s="1">
        <v>45985</v>
      </c>
      <c r="B329" s="2">
        <v>7.5</v>
      </c>
      <c r="C329" s="272"/>
      <c r="D329" s="295"/>
      <c r="E329" s="58">
        <v>1</v>
      </c>
      <c r="F329" s="38" t="s">
        <v>409</v>
      </c>
      <c r="G329" s="38" t="s">
        <v>413</v>
      </c>
      <c r="AJ329" t="str">
        <f>TRIM(MID(SUBSTITUTE($F329, ",", REPT(" ", 100)), (COLUMNS($AH$2:AJ329)-1)*100+1, 100))</f>
        <v/>
      </c>
      <c r="AK329" s="1">
        <v>45985</v>
      </c>
      <c r="AL329" s="2">
        <v>7.5</v>
      </c>
      <c r="AM329" s="2">
        <v>8</v>
      </c>
      <c r="AO329" t="str">
        <f>TRIM(MID(SUBSTITUTE($F329, ",", REPT(" ", 100)), (COLUMNS($AH$2:AO329)-1)*100+1, 100))</f>
        <v/>
      </c>
      <c r="AP329" t="str">
        <f>TRIM(MID(SUBSTITUTE($F329, ",", REPT(" ", 100)), (COLUMNS($AH$2:AP329)-1)*100+1, 100))</f>
        <v/>
      </c>
      <c r="AQ329" t="str">
        <f>TRIM(MID(SUBSTITUTE($F329, ",", REPT(" ", 100)), (COLUMNS($AH$2:AQ329)-1)*100+1, 100))</f>
        <v/>
      </c>
      <c r="AR329" t="str">
        <f>TRIM(MID(SUBSTITUTE($F329, ",", REPT(" ", 100)), (COLUMNS($AH$2:AR329)-1)*100+1, 100))</f>
        <v/>
      </c>
      <c r="AS329" t="str">
        <f>TRIM(MID(SUBSTITUTE($F329, ",", REPT(" ", 100)), (COLUMNS($AH$2:AS329)-1)*100+1, 100))</f>
        <v/>
      </c>
      <c r="AT329" t="str">
        <f>TRIM(MID(SUBSTITUTE($F329, ",", REPT(" ", 100)), (COLUMNS($AH$2:AT329)-1)*100+1, 100))</f>
        <v/>
      </c>
      <c r="AU329" t="str">
        <f>TRIM(MID(SUBSTITUTE($F329, ",", REPT(" ", 100)), (COLUMNS($AH$2:AU329)-1)*100+1, 100))</f>
        <v/>
      </c>
      <c r="AV329" t="str">
        <f>TRIM(MID(SUBSTITUTE($F329, ",", REPT(" ", 100)), (COLUMNS($AH$2:AV329)-1)*100+1, 100))</f>
        <v/>
      </c>
      <c r="AW329" t="str">
        <f>TRIM(MID(SUBSTITUTE($F329, ",", REPT(" ", 100)), (COLUMNS($AH$2:AW329)-1)*100+1, 100))</f>
        <v/>
      </c>
      <c r="AX329" t="str">
        <f>TRIM(MID(SUBSTITUTE($F329, ",", REPT(" ", 100)), (COLUMNS($AH$2:AX329)-1)*100+1, 100))</f>
        <v/>
      </c>
      <c r="AY329" t="str">
        <f>TRIM(MID(SUBSTITUTE($F329, ",", REPT(" ", 100)), (COLUMNS($AH$2:AY329)-1)*100+1, 100))</f>
        <v/>
      </c>
      <c r="AZ329" t="str">
        <f>TRIM(MID(SUBSTITUTE($F329, ",", REPT(" ", 100)), (COLUMNS($AH$2:AZ329)-1)*100+1, 100))</f>
        <v/>
      </c>
      <c r="BA329" t="str">
        <f>TRIM(MID(SUBSTITUTE($F329, ",", REPT(" ", 100)), (COLUMNS($AH$2:BA329)-1)*100+1, 100))</f>
        <v/>
      </c>
    </row>
    <row r="330" spans="1:53" x14ac:dyDescent="0.5">
      <c r="A330" s="1">
        <v>45986</v>
      </c>
      <c r="B330" s="2">
        <v>10</v>
      </c>
      <c r="C330" s="272"/>
      <c r="D330" s="295"/>
      <c r="E330" s="58">
        <v>0</v>
      </c>
      <c r="F330" s="38" t="s">
        <v>410</v>
      </c>
      <c r="AJ330" t="str">
        <f>TRIM(MID(SUBSTITUTE($F330, ",", REPT(" ", 100)), (COLUMNS($AH$2:AJ330)-1)*100+1, 100))</f>
        <v/>
      </c>
      <c r="AK330" s="1">
        <v>45986</v>
      </c>
      <c r="AL330" s="2">
        <v>10</v>
      </c>
      <c r="AM330" s="2">
        <v>4</v>
      </c>
      <c r="AO330" t="str">
        <f>TRIM(MID(SUBSTITUTE($F330, ",", REPT(" ", 100)), (COLUMNS($AH$2:AO330)-1)*100+1, 100))</f>
        <v/>
      </c>
      <c r="AP330" t="str">
        <f>TRIM(MID(SUBSTITUTE($F330, ",", REPT(" ", 100)), (COLUMNS($AH$2:AP330)-1)*100+1, 100))</f>
        <v/>
      </c>
      <c r="AQ330" t="str">
        <f>TRIM(MID(SUBSTITUTE($F330, ",", REPT(" ", 100)), (COLUMNS($AH$2:AQ330)-1)*100+1, 100))</f>
        <v/>
      </c>
      <c r="AR330" t="str">
        <f>TRIM(MID(SUBSTITUTE($F330, ",", REPT(" ", 100)), (COLUMNS($AH$2:AR330)-1)*100+1, 100))</f>
        <v/>
      </c>
      <c r="AS330" t="str">
        <f>TRIM(MID(SUBSTITUTE($F330, ",", REPT(" ", 100)), (COLUMNS($AH$2:AS330)-1)*100+1, 100))</f>
        <v/>
      </c>
      <c r="AT330" t="str">
        <f>TRIM(MID(SUBSTITUTE($F330, ",", REPT(" ", 100)), (COLUMNS($AH$2:AT330)-1)*100+1, 100))</f>
        <v/>
      </c>
      <c r="AU330" t="str">
        <f>TRIM(MID(SUBSTITUTE($F330, ",", REPT(" ", 100)), (COLUMNS($AH$2:AU330)-1)*100+1, 100))</f>
        <v/>
      </c>
      <c r="AV330" t="str">
        <f>TRIM(MID(SUBSTITUTE($F330, ",", REPT(" ", 100)), (COLUMNS($AH$2:AV330)-1)*100+1, 100))</f>
        <v/>
      </c>
      <c r="AW330" t="str">
        <f>TRIM(MID(SUBSTITUTE($F330, ",", REPT(" ", 100)), (COLUMNS($AH$2:AW330)-1)*100+1, 100))</f>
        <v/>
      </c>
      <c r="AX330" t="str">
        <f>TRIM(MID(SUBSTITUTE($F330, ",", REPT(" ", 100)), (COLUMNS($AH$2:AX330)-1)*100+1, 100))</f>
        <v/>
      </c>
      <c r="AY330" t="str">
        <f>TRIM(MID(SUBSTITUTE($F330, ",", REPT(" ", 100)), (COLUMNS($AH$2:AY330)-1)*100+1, 100))</f>
        <v/>
      </c>
      <c r="AZ330" t="str">
        <f>TRIM(MID(SUBSTITUTE($F330, ",", REPT(" ", 100)), (COLUMNS($AH$2:AZ330)-1)*100+1, 100))</f>
        <v/>
      </c>
      <c r="BA330" t="str">
        <f>TRIM(MID(SUBSTITUTE($F330, ",", REPT(" ", 100)), (COLUMNS($AH$2:BA330)-1)*100+1, 100))</f>
        <v/>
      </c>
    </row>
    <row r="331" spans="1:53" x14ac:dyDescent="0.5">
      <c r="A331" s="1">
        <v>45987</v>
      </c>
      <c r="B331" s="2">
        <v>9.9</v>
      </c>
      <c r="C331" s="272"/>
      <c r="D331" s="295"/>
      <c r="E331" s="58">
        <v>0</v>
      </c>
      <c r="F331" s="38" t="s">
        <v>411</v>
      </c>
      <c r="AJ331" t="str">
        <f>TRIM(MID(SUBSTITUTE($F331, ",", REPT(" ", 100)), (COLUMNS($AH$2:AJ331)-1)*100+1, 100))</f>
        <v/>
      </c>
      <c r="AK331" s="1">
        <v>45987</v>
      </c>
      <c r="AL331" s="2">
        <v>9.9</v>
      </c>
      <c r="AM331" s="2">
        <v>6</v>
      </c>
      <c r="AO331" t="str">
        <f>TRIM(MID(SUBSTITUTE($F331, ",", REPT(" ", 100)), (COLUMNS($AH$2:AO331)-1)*100+1, 100))</f>
        <v/>
      </c>
      <c r="AP331" t="str">
        <f>TRIM(MID(SUBSTITUTE($F331, ",", REPT(" ", 100)), (COLUMNS($AH$2:AP331)-1)*100+1, 100))</f>
        <v/>
      </c>
      <c r="AQ331" t="str">
        <f>TRIM(MID(SUBSTITUTE($F331, ",", REPT(" ", 100)), (COLUMNS($AH$2:AQ331)-1)*100+1, 100))</f>
        <v/>
      </c>
      <c r="AR331" t="str">
        <f>TRIM(MID(SUBSTITUTE($F331, ",", REPT(" ", 100)), (COLUMNS($AH$2:AR331)-1)*100+1, 100))</f>
        <v/>
      </c>
      <c r="AS331" t="str">
        <f>TRIM(MID(SUBSTITUTE($F331, ",", REPT(" ", 100)), (COLUMNS($AH$2:AS331)-1)*100+1, 100))</f>
        <v/>
      </c>
      <c r="AT331" t="str">
        <f>TRIM(MID(SUBSTITUTE($F331, ",", REPT(" ", 100)), (COLUMNS($AH$2:AT331)-1)*100+1, 100))</f>
        <v/>
      </c>
      <c r="AU331" t="str">
        <f>TRIM(MID(SUBSTITUTE($F331, ",", REPT(" ", 100)), (COLUMNS($AH$2:AU331)-1)*100+1, 100))</f>
        <v/>
      </c>
      <c r="AV331" t="str">
        <f>TRIM(MID(SUBSTITUTE($F331, ",", REPT(" ", 100)), (COLUMNS($AH$2:AV331)-1)*100+1, 100))</f>
        <v/>
      </c>
      <c r="AW331" t="str">
        <f>TRIM(MID(SUBSTITUTE($F331, ",", REPT(" ", 100)), (COLUMNS($AH$2:AW331)-1)*100+1, 100))</f>
        <v/>
      </c>
      <c r="AX331" t="str">
        <f>TRIM(MID(SUBSTITUTE($F331, ",", REPT(" ", 100)), (COLUMNS($AH$2:AX331)-1)*100+1, 100))</f>
        <v/>
      </c>
      <c r="AY331" t="str">
        <f>TRIM(MID(SUBSTITUTE($F331, ",", REPT(" ", 100)), (COLUMNS($AH$2:AY331)-1)*100+1, 100))</f>
        <v/>
      </c>
      <c r="AZ331" t="str">
        <f>TRIM(MID(SUBSTITUTE($F331, ",", REPT(" ", 100)), (COLUMNS($AH$2:AZ331)-1)*100+1, 100))</f>
        <v/>
      </c>
      <c r="BA331" t="str">
        <f>TRIM(MID(SUBSTITUTE($F331, ",", REPT(" ", 100)), (COLUMNS($AH$2:BA331)-1)*100+1, 100))</f>
        <v/>
      </c>
    </row>
    <row r="332" spans="1:53" x14ac:dyDescent="0.5">
      <c r="A332" s="1">
        <v>45988</v>
      </c>
      <c r="B332" s="2">
        <v>4.7</v>
      </c>
      <c r="C332" s="272"/>
      <c r="D332" s="295"/>
      <c r="E332" s="58">
        <v>0</v>
      </c>
      <c r="F332" s="38" t="s">
        <v>412</v>
      </c>
      <c r="AJ332" t="str">
        <f>TRIM(MID(SUBSTITUTE($F332, ",", REPT(" ", 100)), (COLUMNS($AH$2:AJ332)-1)*100+1, 100))</f>
        <v/>
      </c>
      <c r="AK332" s="1">
        <v>45988</v>
      </c>
      <c r="AL332" s="2">
        <v>4.7</v>
      </c>
      <c r="AM332" s="2">
        <v>6</v>
      </c>
      <c r="AO332" t="str">
        <f>TRIM(MID(SUBSTITUTE($F332, ",", REPT(" ", 100)), (COLUMNS($AH$2:AO332)-1)*100+1, 100))</f>
        <v/>
      </c>
      <c r="AP332" t="str">
        <f>TRIM(MID(SUBSTITUTE($F332, ",", REPT(" ", 100)), (COLUMNS($AH$2:AP332)-1)*100+1, 100))</f>
        <v/>
      </c>
      <c r="AQ332" t="str">
        <f>TRIM(MID(SUBSTITUTE($F332, ",", REPT(" ", 100)), (COLUMNS($AH$2:AQ332)-1)*100+1, 100))</f>
        <v/>
      </c>
      <c r="AR332" t="str">
        <f>TRIM(MID(SUBSTITUTE($F332, ",", REPT(" ", 100)), (COLUMNS($AH$2:AR332)-1)*100+1, 100))</f>
        <v/>
      </c>
      <c r="AS332" t="str">
        <f>TRIM(MID(SUBSTITUTE($F332, ",", REPT(" ", 100)), (COLUMNS($AH$2:AS332)-1)*100+1, 100))</f>
        <v/>
      </c>
      <c r="AT332" t="str">
        <f>TRIM(MID(SUBSTITUTE($F332, ",", REPT(" ", 100)), (COLUMNS($AH$2:AT332)-1)*100+1, 100))</f>
        <v/>
      </c>
      <c r="AU332" t="str">
        <f>TRIM(MID(SUBSTITUTE($F332, ",", REPT(" ", 100)), (COLUMNS($AH$2:AU332)-1)*100+1, 100))</f>
        <v/>
      </c>
      <c r="AV332" t="str">
        <f>TRIM(MID(SUBSTITUTE($F332, ",", REPT(" ", 100)), (COLUMNS($AH$2:AV332)-1)*100+1, 100))</f>
        <v/>
      </c>
      <c r="AW332" t="str">
        <f>TRIM(MID(SUBSTITUTE($F332, ",", REPT(" ", 100)), (COLUMNS($AH$2:AW332)-1)*100+1, 100))</f>
        <v/>
      </c>
      <c r="AX332" t="str">
        <f>TRIM(MID(SUBSTITUTE($F332, ",", REPT(" ", 100)), (COLUMNS($AH$2:AX332)-1)*100+1, 100))</f>
        <v/>
      </c>
      <c r="AY332" t="str">
        <f>TRIM(MID(SUBSTITUTE($F332, ",", REPT(" ", 100)), (COLUMNS($AH$2:AY332)-1)*100+1, 100))</f>
        <v/>
      </c>
      <c r="AZ332" t="str">
        <f>TRIM(MID(SUBSTITUTE($F332, ",", REPT(" ", 100)), (COLUMNS($AH$2:AZ332)-1)*100+1, 100))</f>
        <v/>
      </c>
      <c r="BA332" t="str">
        <f>TRIM(MID(SUBSTITUTE($F332, ",", REPT(" ", 100)), (COLUMNS($AH$2:BA332)-1)*100+1, 100))</f>
        <v/>
      </c>
    </row>
    <row r="333" spans="1:53" x14ac:dyDescent="0.5">
      <c r="A333" s="1">
        <v>45989</v>
      </c>
      <c r="B333" s="2">
        <v>5.3</v>
      </c>
      <c r="C333" s="272"/>
      <c r="D333" s="295"/>
      <c r="E333" s="58">
        <v>0</v>
      </c>
      <c r="F333" s="38" t="s">
        <v>176</v>
      </c>
      <c r="AJ333" t="str">
        <f>TRIM(MID(SUBSTITUTE($F333, ",", REPT(" ", 100)), (COLUMNS($AH$2:AJ333)-1)*100+1, 100))</f>
        <v/>
      </c>
      <c r="AK333" s="1">
        <v>45989</v>
      </c>
      <c r="AL333" s="2">
        <v>5.3</v>
      </c>
      <c r="AM333" s="2">
        <v>2</v>
      </c>
      <c r="AO333" t="str">
        <f>TRIM(MID(SUBSTITUTE($F333, ",", REPT(" ", 100)), (COLUMNS($AH$2:AO333)-1)*100+1, 100))</f>
        <v/>
      </c>
      <c r="AP333" t="str">
        <f>TRIM(MID(SUBSTITUTE($F333, ",", REPT(" ", 100)), (COLUMNS($AH$2:AP333)-1)*100+1, 100))</f>
        <v/>
      </c>
      <c r="AQ333" t="str">
        <f>TRIM(MID(SUBSTITUTE($F333, ",", REPT(" ", 100)), (COLUMNS($AH$2:AQ333)-1)*100+1, 100))</f>
        <v/>
      </c>
      <c r="AR333" t="str">
        <f>TRIM(MID(SUBSTITUTE($F333, ",", REPT(" ", 100)), (COLUMNS($AH$2:AR333)-1)*100+1, 100))</f>
        <v/>
      </c>
      <c r="AS333" t="str">
        <f>TRIM(MID(SUBSTITUTE($F333, ",", REPT(" ", 100)), (COLUMNS($AH$2:AS333)-1)*100+1, 100))</f>
        <v/>
      </c>
      <c r="AT333" t="str">
        <f>TRIM(MID(SUBSTITUTE($F333, ",", REPT(" ", 100)), (COLUMNS($AH$2:AT333)-1)*100+1, 100))</f>
        <v/>
      </c>
      <c r="AU333" t="str">
        <f>TRIM(MID(SUBSTITUTE($F333, ",", REPT(" ", 100)), (COLUMNS($AH$2:AU333)-1)*100+1, 100))</f>
        <v/>
      </c>
      <c r="AV333" t="str">
        <f>TRIM(MID(SUBSTITUTE($F333, ",", REPT(" ", 100)), (COLUMNS($AH$2:AV333)-1)*100+1, 100))</f>
        <v/>
      </c>
      <c r="AW333" t="str">
        <f>TRIM(MID(SUBSTITUTE($F333, ",", REPT(" ", 100)), (COLUMNS($AH$2:AW333)-1)*100+1, 100))</f>
        <v/>
      </c>
      <c r="AX333" t="str">
        <f>TRIM(MID(SUBSTITUTE($F333, ",", REPT(" ", 100)), (COLUMNS($AH$2:AX333)-1)*100+1, 100))</f>
        <v/>
      </c>
      <c r="AY333" t="str">
        <f>TRIM(MID(SUBSTITUTE($F333, ",", REPT(" ", 100)), (COLUMNS($AH$2:AY333)-1)*100+1, 100))</f>
        <v/>
      </c>
      <c r="AZ333" t="str">
        <f>TRIM(MID(SUBSTITUTE($F333, ",", REPT(" ", 100)), (COLUMNS($AH$2:AZ333)-1)*100+1, 100))</f>
        <v/>
      </c>
      <c r="BA333" t="str">
        <f>TRIM(MID(SUBSTITUTE($F333, ",", REPT(" ", 100)), (COLUMNS($AH$2:BA333)-1)*100+1, 100))</f>
        <v/>
      </c>
    </row>
    <row r="334" spans="1:53" x14ac:dyDescent="0.5">
      <c r="A334" s="1">
        <v>45990</v>
      </c>
      <c r="B334" s="2">
        <v>4.7</v>
      </c>
      <c r="C334" s="272"/>
      <c r="D334" s="295"/>
      <c r="E334" s="58">
        <v>1</v>
      </c>
      <c r="F334" s="38" t="s">
        <v>176</v>
      </c>
      <c r="AJ334" t="str">
        <f>TRIM(MID(SUBSTITUTE($F334, ",", REPT(" ", 100)), (COLUMNS($AH$2:AJ334)-1)*100+1, 100))</f>
        <v/>
      </c>
      <c r="AK334" s="1">
        <v>45990</v>
      </c>
      <c r="AL334" s="2"/>
      <c r="AM334" s="2">
        <v>6</v>
      </c>
      <c r="AO334" t="str">
        <f>TRIM(MID(SUBSTITUTE($F334, ",", REPT(" ", 100)), (COLUMNS($AH$2:AO334)-1)*100+1, 100))</f>
        <v/>
      </c>
      <c r="AP334" t="str">
        <f>TRIM(MID(SUBSTITUTE($F334, ",", REPT(" ", 100)), (COLUMNS($AH$2:AP334)-1)*100+1, 100))</f>
        <v/>
      </c>
      <c r="AQ334" t="str">
        <f>TRIM(MID(SUBSTITUTE($F334, ",", REPT(" ", 100)), (COLUMNS($AH$2:AQ334)-1)*100+1, 100))</f>
        <v/>
      </c>
      <c r="AR334" t="str">
        <f>TRIM(MID(SUBSTITUTE($F334, ",", REPT(" ", 100)), (COLUMNS($AH$2:AR334)-1)*100+1, 100))</f>
        <v/>
      </c>
      <c r="AS334" t="str">
        <f>TRIM(MID(SUBSTITUTE($F334, ",", REPT(" ", 100)), (COLUMNS($AH$2:AS334)-1)*100+1, 100))</f>
        <v/>
      </c>
      <c r="AT334" t="str">
        <f>TRIM(MID(SUBSTITUTE($F334, ",", REPT(" ", 100)), (COLUMNS($AH$2:AT334)-1)*100+1, 100))</f>
        <v/>
      </c>
      <c r="AU334" t="str">
        <f>TRIM(MID(SUBSTITUTE($F334, ",", REPT(" ", 100)), (COLUMNS($AH$2:AU334)-1)*100+1, 100))</f>
        <v/>
      </c>
      <c r="AV334" t="str">
        <f>TRIM(MID(SUBSTITUTE($F334, ",", REPT(" ", 100)), (COLUMNS($AH$2:AV334)-1)*100+1, 100))</f>
        <v/>
      </c>
      <c r="AW334" t="str">
        <f>TRIM(MID(SUBSTITUTE($F334, ",", REPT(" ", 100)), (COLUMNS($AH$2:AW334)-1)*100+1, 100))</f>
        <v/>
      </c>
      <c r="AX334" t="str">
        <f>TRIM(MID(SUBSTITUTE($F334, ",", REPT(" ", 100)), (COLUMNS($AH$2:AX334)-1)*100+1, 100))</f>
        <v/>
      </c>
      <c r="AY334" t="str">
        <f>TRIM(MID(SUBSTITUTE($F334, ",", REPT(" ", 100)), (COLUMNS($AH$2:AY334)-1)*100+1, 100))</f>
        <v/>
      </c>
      <c r="AZ334" t="str">
        <f>TRIM(MID(SUBSTITUTE($F334, ",", REPT(" ", 100)), (COLUMNS($AH$2:AZ334)-1)*100+1, 100))</f>
        <v/>
      </c>
      <c r="BA334" t="str">
        <f>TRIM(MID(SUBSTITUTE($F334, ",", REPT(" ", 100)), (COLUMNS($AH$2:BA334)-1)*100+1, 100))</f>
        <v/>
      </c>
    </row>
    <row r="335" spans="1:53" x14ac:dyDescent="0.5">
      <c r="A335" s="1">
        <v>45991</v>
      </c>
      <c r="B335" s="2">
        <v>7</v>
      </c>
      <c r="C335" s="272"/>
      <c r="D335" s="295"/>
      <c r="E335" s="58">
        <v>0</v>
      </c>
      <c r="F335" s="38" t="s">
        <v>176</v>
      </c>
      <c r="AJ335" t="str">
        <f>TRIM(MID(SUBSTITUTE($F335, ",", REPT(" ", 100)), (COLUMNS($AH$2:AJ335)-1)*100+1, 100))</f>
        <v/>
      </c>
      <c r="AK335" s="1">
        <v>45991</v>
      </c>
      <c r="AL335" s="2"/>
      <c r="AM335" s="2">
        <v>6</v>
      </c>
      <c r="AO335" t="str">
        <f>TRIM(MID(SUBSTITUTE($F335, ",", REPT(" ", 100)), (COLUMNS($AH$2:AO335)-1)*100+1, 100))</f>
        <v/>
      </c>
      <c r="AP335" t="str">
        <f>TRIM(MID(SUBSTITUTE($F335, ",", REPT(" ", 100)), (COLUMNS($AH$2:AP335)-1)*100+1, 100))</f>
        <v/>
      </c>
      <c r="AQ335" t="str">
        <f>TRIM(MID(SUBSTITUTE($F335, ",", REPT(" ", 100)), (COLUMNS($AH$2:AQ335)-1)*100+1, 100))</f>
        <v/>
      </c>
      <c r="AR335" t="str">
        <f>TRIM(MID(SUBSTITUTE($F335, ",", REPT(" ", 100)), (COLUMNS($AH$2:AR335)-1)*100+1, 100))</f>
        <v/>
      </c>
      <c r="AS335" t="str">
        <f>TRIM(MID(SUBSTITUTE($F335, ",", REPT(" ", 100)), (COLUMNS($AH$2:AS335)-1)*100+1, 100))</f>
        <v/>
      </c>
      <c r="AT335" t="str">
        <f>TRIM(MID(SUBSTITUTE($F335, ",", REPT(" ", 100)), (COLUMNS($AH$2:AT335)-1)*100+1, 100))</f>
        <v/>
      </c>
      <c r="AU335" t="str">
        <f>TRIM(MID(SUBSTITUTE($F335, ",", REPT(" ", 100)), (COLUMNS($AH$2:AU335)-1)*100+1, 100))</f>
        <v/>
      </c>
      <c r="AV335" t="str">
        <f>TRIM(MID(SUBSTITUTE($F335, ",", REPT(" ", 100)), (COLUMNS($AH$2:AV335)-1)*100+1, 100))</f>
        <v/>
      </c>
      <c r="AW335" t="str">
        <f>TRIM(MID(SUBSTITUTE($F335, ",", REPT(" ", 100)), (COLUMNS($AH$2:AW335)-1)*100+1, 100))</f>
        <v/>
      </c>
      <c r="AX335" t="str">
        <f>TRIM(MID(SUBSTITUTE($F335, ",", REPT(" ", 100)), (COLUMNS($AH$2:AX335)-1)*100+1, 100))</f>
        <v/>
      </c>
      <c r="AY335" t="str">
        <f>TRIM(MID(SUBSTITUTE($F335, ",", REPT(" ", 100)), (COLUMNS($AH$2:AY335)-1)*100+1, 100))</f>
        <v/>
      </c>
      <c r="AZ335" t="str">
        <f>TRIM(MID(SUBSTITUTE($F335, ",", REPT(" ", 100)), (COLUMNS($AH$2:AZ335)-1)*100+1, 100))</f>
        <v/>
      </c>
      <c r="BA335" t="str">
        <f>TRIM(MID(SUBSTITUTE($F335, ",", REPT(" ", 100)), (COLUMNS($AH$2:BA335)-1)*100+1, 100))</f>
        <v/>
      </c>
    </row>
    <row r="336" spans="1:53" x14ac:dyDescent="0.5">
      <c r="A336" s="1">
        <v>45992</v>
      </c>
      <c r="B336" s="2">
        <v>7</v>
      </c>
      <c r="C336" s="272">
        <f>AVERAGE(B336:B366)</f>
        <v>5.8258064516129036</v>
      </c>
      <c r="D336" s="295"/>
      <c r="E336" s="58">
        <v>1</v>
      </c>
      <c r="F336" s="38" t="s">
        <v>261</v>
      </c>
      <c r="AJ336" t="str">
        <f>TRIM(MID(SUBSTITUTE($F336, ",", REPT(" ", 100)), (COLUMNS($AH$2:AJ336)-1)*100+1, 100))</f>
        <v>Delhi</v>
      </c>
      <c r="AK336" s="1">
        <v>45992</v>
      </c>
      <c r="AL336" s="2"/>
      <c r="AM336" s="2">
        <v>6</v>
      </c>
      <c r="AO336" t="str">
        <f>TRIM(MID(SUBSTITUTE($F336, ",", REPT(" ", 100)), (COLUMNS($AH$2:AO336)-1)*100+1, 100))</f>
        <v/>
      </c>
      <c r="AP336" t="str">
        <f>TRIM(MID(SUBSTITUTE($F336, ",", REPT(" ", 100)), (COLUMNS($AH$2:AP336)-1)*100+1, 100))</f>
        <v/>
      </c>
      <c r="AQ336" t="str">
        <f>TRIM(MID(SUBSTITUTE($F336, ",", REPT(" ", 100)), (COLUMNS($AH$2:AQ336)-1)*100+1, 100))</f>
        <v/>
      </c>
      <c r="AR336" t="str">
        <f>TRIM(MID(SUBSTITUTE($F336, ",", REPT(" ", 100)), (COLUMNS($AH$2:AR336)-1)*100+1, 100))</f>
        <v/>
      </c>
      <c r="AS336" t="str">
        <f>TRIM(MID(SUBSTITUTE($F336, ",", REPT(" ", 100)), (COLUMNS($AH$2:AS336)-1)*100+1, 100))</f>
        <v/>
      </c>
      <c r="AT336" t="str">
        <f>TRIM(MID(SUBSTITUTE($F336, ",", REPT(" ", 100)), (COLUMNS($AH$2:AT336)-1)*100+1, 100))</f>
        <v/>
      </c>
      <c r="AU336" t="str">
        <f>TRIM(MID(SUBSTITUTE($F336, ",", REPT(" ", 100)), (COLUMNS($AH$2:AU336)-1)*100+1, 100))</f>
        <v/>
      </c>
      <c r="AV336" t="str">
        <f>TRIM(MID(SUBSTITUTE($F336, ",", REPT(" ", 100)), (COLUMNS($AH$2:AV336)-1)*100+1, 100))</f>
        <v/>
      </c>
      <c r="AW336" t="str">
        <f>TRIM(MID(SUBSTITUTE($F336, ",", REPT(" ", 100)), (COLUMNS($AH$2:AW336)-1)*100+1, 100))</f>
        <v/>
      </c>
      <c r="AX336" t="str">
        <f>TRIM(MID(SUBSTITUTE($F336, ",", REPT(" ", 100)), (COLUMNS($AH$2:AX336)-1)*100+1, 100))</f>
        <v/>
      </c>
      <c r="AY336" t="str">
        <f>TRIM(MID(SUBSTITUTE($F336, ",", REPT(" ", 100)), (COLUMNS($AH$2:AY336)-1)*100+1, 100))</f>
        <v/>
      </c>
      <c r="AZ336" t="str">
        <f>TRIM(MID(SUBSTITUTE($F336, ",", REPT(" ", 100)), (COLUMNS($AH$2:AZ336)-1)*100+1, 100))</f>
        <v/>
      </c>
      <c r="BA336" t="str">
        <f>TRIM(MID(SUBSTITUTE($F336, ",", REPT(" ", 100)), (COLUMNS($AH$2:BA336)-1)*100+1, 100))</f>
        <v/>
      </c>
    </row>
    <row r="337" spans="1:53" x14ac:dyDescent="0.5">
      <c r="A337" s="1">
        <v>45993</v>
      </c>
      <c r="B337" s="2">
        <v>7</v>
      </c>
      <c r="C337" s="272"/>
      <c r="D337" s="295"/>
      <c r="E337" s="58">
        <v>0</v>
      </c>
      <c r="F337" s="38" t="s">
        <v>194</v>
      </c>
      <c r="AJ337" t="str">
        <f>TRIM(MID(SUBSTITUTE($F337, ",", REPT(" ", 100)), (COLUMNS($AH$2:AJ337)-1)*100+1, 100))</f>
        <v/>
      </c>
      <c r="AK337" s="1">
        <v>45993</v>
      </c>
      <c r="AL337" s="2"/>
      <c r="AM337" s="2">
        <v>4</v>
      </c>
      <c r="AO337" t="str">
        <f>TRIM(MID(SUBSTITUTE($F337, ",", REPT(" ", 100)), (COLUMNS($AH$2:AO337)-1)*100+1, 100))</f>
        <v/>
      </c>
      <c r="AP337" t="str">
        <f>TRIM(MID(SUBSTITUTE($F337, ",", REPT(" ", 100)), (COLUMNS($AH$2:AP337)-1)*100+1, 100))</f>
        <v/>
      </c>
      <c r="AQ337" t="str">
        <f>TRIM(MID(SUBSTITUTE($F337, ",", REPT(" ", 100)), (COLUMNS($AH$2:AQ337)-1)*100+1, 100))</f>
        <v/>
      </c>
      <c r="AR337" t="str">
        <f>TRIM(MID(SUBSTITUTE($F337, ",", REPT(" ", 100)), (COLUMNS($AH$2:AR337)-1)*100+1, 100))</f>
        <v/>
      </c>
      <c r="AS337" t="str">
        <f>TRIM(MID(SUBSTITUTE($F337, ",", REPT(" ", 100)), (COLUMNS($AH$2:AS337)-1)*100+1, 100))</f>
        <v/>
      </c>
      <c r="AT337" t="str">
        <f>TRIM(MID(SUBSTITUTE($F337, ",", REPT(" ", 100)), (COLUMNS($AH$2:AT337)-1)*100+1, 100))</f>
        <v/>
      </c>
      <c r="AU337" t="str">
        <f>TRIM(MID(SUBSTITUTE($F337, ",", REPT(" ", 100)), (COLUMNS($AH$2:AU337)-1)*100+1, 100))</f>
        <v/>
      </c>
      <c r="AV337" t="str">
        <f>TRIM(MID(SUBSTITUTE($F337, ",", REPT(" ", 100)), (COLUMNS($AH$2:AV337)-1)*100+1, 100))</f>
        <v/>
      </c>
      <c r="AW337" t="str">
        <f>TRIM(MID(SUBSTITUTE($F337, ",", REPT(" ", 100)), (COLUMNS($AH$2:AW337)-1)*100+1, 100))</f>
        <v/>
      </c>
      <c r="AX337" t="str">
        <f>TRIM(MID(SUBSTITUTE($F337, ",", REPT(" ", 100)), (COLUMNS($AH$2:AX337)-1)*100+1, 100))</f>
        <v/>
      </c>
      <c r="AY337" t="str">
        <f>TRIM(MID(SUBSTITUTE($F337, ",", REPT(" ", 100)), (COLUMNS($AH$2:AY337)-1)*100+1, 100))</f>
        <v/>
      </c>
      <c r="AZ337" t="str">
        <f>TRIM(MID(SUBSTITUTE($F337, ",", REPT(" ", 100)), (COLUMNS($AH$2:AZ337)-1)*100+1, 100))</f>
        <v/>
      </c>
      <c r="BA337" t="str">
        <f>TRIM(MID(SUBSTITUTE($F337, ",", REPT(" ", 100)), (COLUMNS($AH$2:BA337)-1)*100+1, 100))</f>
        <v/>
      </c>
    </row>
    <row r="338" spans="1:53" x14ac:dyDescent="0.5">
      <c r="A338" s="1">
        <v>45994</v>
      </c>
      <c r="B338" s="2">
        <v>5</v>
      </c>
      <c r="C338" s="272"/>
      <c r="D338" s="295"/>
      <c r="E338" s="58">
        <v>0</v>
      </c>
      <c r="F338" s="38" t="s">
        <v>194</v>
      </c>
      <c r="AJ338" t="str">
        <f>TRIM(MID(SUBSTITUTE($F338, ",", REPT(" ", 100)), (COLUMNS($AH$2:AJ338)-1)*100+1, 100))</f>
        <v/>
      </c>
      <c r="AK338" s="1">
        <v>45994</v>
      </c>
      <c r="AL338" s="2"/>
      <c r="AM338" s="2">
        <v>4</v>
      </c>
      <c r="AO338" t="str">
        <f>TRIM(MID(SUBSTITUTE($F338, ",", REPT(" ", 100)), (COLUMNS($AH$2:AO338)-1)*100+1, 100))</f>
        <v/>
      </c>
      <c r="AP338" t="str">
        <f>TRIM(MID(SUBSTITUTE($F338, ",", REPT(" ", 100)), (COLUMNS($AH$2:AP338)-1)*100+1, 100))</f>
        <v/>
      </c>
      <c r="AQ338" t="str">
        <f>TRIM(MID(SUBSTITUTE($F338, ",", REPT(" ", 100)), (COLUMNS($AH$2:AQ338)-1)*100+1, 100))</f>
        <v/>
      </c>
      <c r="AR338" t="str">
        <f>TRIM(MID(SUBSTITUTE($F338, ",", REPT(" ", 100)), (COLUMNS($AH$2:AR338)-1)*100+1, 100))</f>
        <v/>
      </c>
      <c r="AS338" t="str">
        <f>TRIM(MID(SUBSTITUTE($F338, ",", REPT(" ", 100)), (COLUMNS($AH$2:AS338)-1)*100+1, 100))</f>
        <v/>
      </c>
      <c r="AT338" t="str">
        <f>TRIM(MID(SUBSTITUTE($F338, ",", REPT(" ", 100)), (COLUMNS($AH$2:AT338)-1)*100+1, 100))</f>
        <v/>
      </c>
      <c r="AU338" t="str">
        <f>TRIM(MID(SUBSTITUTE($F338, ",", REPT(" ", 100)), (COLUMNS($AH$2:AU338)-1)*100+1, 100))</f>
        <v/>
      </c>
      <c r="AV338" t="str">
        <f>TRIM(MID(SUBSTITUTE($F338, ",", REPT(" ", 100)), (COLUMNS($AH$2:AV338)-1)*100+1, 100))</f>
        <v/>
      </c>
      <c r="AW338" t="str">
        <f>TRIM(MID(SUBSTITUTE($F338, ",", REPT(" ", 100)), (COLUMNS($AH$2:AW338)-1)*100+1, 100))</f>
        <v/>
      </c>
      <c r="AX338" t="str">
        <f>TRIM(MID(SUBSTITUTE($F338, ",", REPT(" ", 100)), (COLUMNS($AH$2:AX338)-1)*100+1, 100))</f>
        <v/>
      </c>
      <c r="AY338" t="str">
        <f>TRIM(MID(SUBSTITUTE($F338, ",", REPT(" ", 100)), (COLUMNS($AH$2:AY338)-1)*100+1, 100))</f>
        <v/>
      </c>
      <c r="AZ338" t="str">
        <f>TRIM(MID(SUBSTITUTE($F338, ",", REPT(" ", 100)), (COLUMNS($AH$2:AZ338)-1)*100+1, 100))</f>
        <v/>
      </c>
      <c r="BA338" t="str">
        <f>TRIM(MID(SUBSTITUTE($F338, ",", REPT(" ", 100)), (COLUMNS($AH$2:BA338)-1)*100+1, 100))</f>
        <v/>
      </c>
    </row>
    <row r="339" spans="1:53" x14ac:dyDescent="0.5">
      <c r="A339" s="1">
        <v>45995</v>
      </c>
      <c r="B339" s="2">
        <v>5.8</v>
      </c>
      <c r="C339" s="272"/>
      <c r="D339" s="295"/>
      <c r="E339" s="58">
        <v>0</v>
      </c>
      <c r="F339" s="38" t="s">
        <v>194</v>
      </c>
      <c r="AJ339" t="str">
        <f>TRIM(MID(SUBSTITUTE($F339, ",", REPT(" ", 100)), (COLUMNS($AH$2:AJ339)-1)*100+1, 100))</f>
        <v/>
      </c>
      <c r="AK339" s="1">
        <v>45995</v>
      </c>
      <c r="AL339" s="2"/>
      <c r="AM339" s="2">
        <v>6</v>
      </c>
      <c r="AO339" t="str">
        <f>TRIM(MID(SUBSTITUTE($F339, ",", REPT(" ", 100)), (COLUMNS($AH$2:AO339)-1)*100+1, 100))</f>
        <v/>
      </c>
      <c r="AP339" t="str">
        <f>TRIM(MID(SUBSTITUTE($F339, ",", REPT(" ", 100)), (COLUMNS($AH$2:AP339)-1)*100+1, 100))</f>
        <v/>
      </c>
      <c r="AQ339" t="str">
        <f>TRIM(MID(SUBSTITUTE($F339, ",", REPT(" ", 100)), (COLUMNS($AH$2:AQ339)-1)*100+1, 100))</f>
        <v/>
      </c>
      <c r="AR339" t="str">
        <f>TRIM(MID(SUBSTITUTE($F339, ",", REPT(" ", 100)), (COLUMNS($AH$2:AR339)-1)*100+1, 100))</f>
        <v/>
      </c>
      <c r="AS339" t="str">
        <f>TRIM(MID(SUBSTITUTE($F339, ",", REPT(" ", 100)), (COLUMNS($AH$2:AS339)-1)*100+1, 100))</f>
        <v/>
      </c>
      <c r="AT339" t="str">
        <f>TRIM(MID(SUBSTITUTE($F339, ",", REPT(" ", 100)), (COLUMNS($AH$2:AT339)-1)*100+1, 100))</f>
        <v/>
      </c>
      <c r="AU339" t="str">
        <f>TRIM(MID(SUBSTITUTE($F339, ",", REPT(" ", 100)), (COLUMNS($AH$2:AU339)-1)*100+1, 100))</f>
        <v/>
      </c>
      <c r="AV339" t="str">
        <f>TRIM(MID(SUBSTITUTE($F339, ",", REPT(" ", 100)), (COLUMNS($AH$2:AV339)-1)*100+1, 100))</f>
        <v/>
      </c>
      <c r="AW339" t="str">
        <f>TRIM(MID(SUBSTITUTE($F339, ",", REPT(" ", 100)), (COLUMNS($AH$2:AW339)-1)*100+1, 100))</f>
        <v/>
      </c>
      <c r="AX339" t="str">
        <f>TRIM(MID(SUBSTITUTE($F339, ",", REPT(" ", 100)), (COLUMNS($AH$2:AX339)-1)*100+1, 100))</f>
        <v/>
      </c>
      <c r="AY339" t="str">
        <f>TRIM(MID(SUBSTITUTE($F339, ",", REPT(" ", 100)), (COLUMNS($AH$2:AY339)-1)*100+1, 100))</f>
        <v/>
      </c>
      <c r="AZ339" t="str">
        <f>TRIM(MID(SUBSTITUTE($F339, ",", REPT(" ", 100)), (COLUMNS($AH$2:AZ339)-1)*100+1, 100))</f>
        <v/>
      </c>
      <c r="BA339" t="str">
        <f>TRIM(MID(SUBSTITUTE($F339, ",", REPT(" ", 100)), (COLUMNS($AH$2:BA339)-1)*100+1, 100))</f>
        <v/>
      </c>
    </row>
    <row r="340" spans="1:53" x14ac:dyDescent="0.5">
      <c r="A340" s="1">
        <v>45996</v>
      </c>
      <c r="B340" s="2">
        <v>5.5</v>
      </c>
      <c r="C340" s="272"/>
      <c r="D340" s="295"/>
      <c r="E340" s="58">
        <v>0</v>
      </c>
      <c r="F340" s="38" t="s">
        <v>414</v>
      </c>
      <c r="AJ340" t="str">
        <f>TRIM(MID(SUBSTITUTE($F340, ",", REPT(" ", 100)), (COLUMNS($AH$2:AJ340)-1)*100+1, 100))</f>
        <v/>
      </c>
      <c r="AK340" s="1">
        <v>45996</v>
      </c>
      <c r="AL340" s="2"/>
      <c r="AM340" s="2">
        <v>6</v>
      </c>
      <c r="AO340" t="str">
        <f>TRIM(MID(SUBSTITUTE($F340, ",", REPT(" ", 100)), (COLUMNS($AH$2:AO340)-1)*100+1, 100))</f>
        <v/>
      </c>
      <c r="AP340" t="str">
        <f>TRIM(MID(SUBSTITUTE($F340, ",", REPT(" ", 100)), (COLUMNS($AH$2:AP340)-1)*100+1, 100))</f>
        <v/>
      </c>
      <c r="AQ340" t="str">
        <f>TRIM(MID(SUBSTITUTE($F340, ",", REPT(" ", 100)), (COLUMNS($AH$2:AQ340)-1)*100+1, 100))</f>
        <v/>
      </c>
      <c r="AR340" t="str">
        <f>TRIM(MID(SUBSTITUTE($F340, ",", REPT(" ", 100)), (COLUMNS($AH$2:AR340)-1)*100+1, 100))</f>
        <v/>
      </c>
      <c r="AS340" t="str">
        <f>TRIM(MID(SUBSTITUTE($F340, ",", REPT(" ", 100)), (COLUMNS($AH$2:AS340)-1)*100+1, 100))</f>
        <v/>
      </c>
      <c r="AT340" t="str">
        <f>TRIM(MID(SUBSTITUTE($F340, ",", REPT(" ", 100)), (COLUMNS($AH$2:AT340)-1)*100+1, 100))</f>
        <v/>
      </c>
      <c r="AU340" t="str">
        <f>TRIM(MID(SUBSTITUTE($F340, ",", REPT(" ", 100)), (COLUMNS($AH$2:AU340)-1)*100+1, 100))</f>
        <v/>
      </c>
      <c r="AV340" t="str">
        <f>TRIM(MID(SUBSTITUTE($F340, ",", REPT(" ", 100)), (COLUMNS($AH$2:AV340)-1)*100+1, 100))</f>
        <v/>
      </c>
      <c r="AW340" t="str">
        <f>TRIM(MID(SUBSTITUTE($F340, ",", REPT(" ", 100)), (COLUMNS($AH$2:AW340)-1)*100+1, 100))</f>
        <v/>
      </c>
      <c r="AX340" t="str">
        <f>TRIM(MID(SUBSTITUTE($F340, ",", REPT(" ", 100)), (COLUMNS($AH$2:AX340)-1)*100+1, 100))</f>
        <v/>
      </c>
      <c r="AY340" t="str">
        <f>TRIM(MID(SUBSTITUTE($F340, ",", REPT(" ", 100)), (COLUMNS($AH$2:AY340)-1)*100+1, 100))</f>
        <v/>
      </c>
      <c r="AZ340" t="str">
        <f>TRIM(MID(SUBSTITUTE($F340, ",", REPT(" ", 100)), (COLUMNS($AH$2:AZ340)-1)*100+1, 100))</f>
        <v/>
      </c>
      <c r="BA340" t="str">
        <f>TRIM(MID(SUBSTITUTE($F340, ",", REPT(" ", 100)), (COLUMNS($AH$2:BA340)-1)*100+1, 100))</f>
        <v/>
      </c>
    </row>
    <row r="341" spans="1:53" x14ac:dyDescent="0.5">
      <c r="A341" s="1">
        <v>45997</v>
      </c>
      <c r="B341" s="2">
        <v>5.4</v>
      </c>
      <c r="C341" s="272"/>
      <c r="D341" s="295"/>
      <c r="E341" s="58">
        <v>1</v>
      </c>
      <c r="F341" s="38" t="s">
        <v>415</v>
      </c>
      <c r="AJ341" t="str">
        <f>TRIM(MID(SUBSTITUTE($F341, ",", REPT(" ", 100)), (COLUMNS($AH$2:AJ341)-1)*100+1, 100))</f>
        <v/>
      </c>
      <c r="AK341" s="1">
        <v>45997</v>
      </c>
      <c r="AL341" s="2"/>
      <c r="AM341" s="2">
        <v>6</v>
      </c>
      <c r="AO341" t="str">
        <f>TRIM(MID(SUBSTITUTE($F341, ",", REPT(" ", 100)), (COLUMNS($AH$2:AO341)-1)*100+1, 100))</f>
        <v/>
      </c>
      <c r="AP341" t="str">
        <f>TRIM(MID(SUBSTITUTE($F341, ",", REPT(" ", 100)), (COLUMNS($AH$2:AP341)-1)*100+1, 100))</f>
        <v/>
      </c>
      <c r="AQ341" t="str">
        <f>TRIM(MID(SUBSTITUTE($F341, ",", REPT(" ", 100)), (COLUMNS($AH$2:AQ341)-1)*100+1, 100))</f>
        <v/>
      </c>
      <c r="AR341" t="str">
        <f>TRIM(MID(SUBSTITUTE($F341, ",", REPT(" ", 100)), (COLUMNS($AH$2:AR341)-1)*100+1, 100))</f>
        <v/>
      </c>
      <c r="AS341" t="str">
        <f>TRIM(MID(SUBSTITUTE($F341, ",", REPT(" ", 100)), (COLUMNS($AH$2:AS341)-1)*100+1, 100))</f>
        <v/>
      </c>
      <c r="AT341" t="str">
        <f>TRIM(MID(SUBSTITUTE($F341, ",", REPT(" ", 100)), (COLUMNS($AH$2:AT341)-1)*100+1, 100))</f>
        <v/>
      </c>
      <c r="AU341" t="str">
        <f>TRIM(MID(SUBSTITUTE($F341, ",", REPT(" ", 100)), (COLUMNS($AH$2:AU341)-1)*100+1, 100))</f>
        <v/>
      </c>
      <c r="AV341" t="str">
        <f>TRIM(MID(SUBSTITUTE($F341, ",", REPT(" ", 100)), (COLUMNS($AH$2:AV341)-1)*100+1, 100))</f>
        <v/>
      </c>
      <c r="AW341" t="str">
        <f>TRIM(MID(SUBSTITUTE($F341, ",", REPT(" ", 100)), (COLUMNS($AH$2:AW341)-1)*100+1, 100))</f>
        <v/>
      </c>
      <c r="AX341" t="str">
        <f>TRIM(MID(SUBSTITUTE($F341, ",", REPT(" ", 100)), (COLUMNS($AH$2:AX341)-1)*100+1, 100))</f>
        <v/>
      </c>
      <c r="AY341" t="str">
        <f>TRIM(MID(SUBSTITUTE($F341, ",", REPT(" ", 100)), (COLUMNS($AH$2:AY341)-1)*100+1, 100))</f>
        <v/>
      </c>
      <c r="AZ341" t="str">
        <f>TRIM(MID(SUBSTITUTE($F341, ",", REPT(" ", 100)), (COLUMNS($AH$2:AZ341)-1)*100+1, 100))</f>
        <v/>
      </c>
      <c r="BA341" t="str">
        <f>TRIM(MID(SUBSTITUTE($F341, ",", REPT(" ", 100)), (COLUMNS($AH$2:BA341)-1)*100+1, 100))</f>
        <v/>
      </c>
    </row>
    <row r="342" spans="1:53" x14ac:dyDescent="0.5">
      <c r="A342" s="1">
        <v>45998</v>
      </c>
      <c r="B342" s="2">
        <v>5.3</v>
      </c>
      <c r="C342" s="272"/>
      <c r="D342" s="295"/>
      <c r="E342" s="58">
        <v>1</v>
      </c>
      <c r="F342" s="38" t="s">
        <v>416</v>
      </c>
      <c r="AJ342" t="str">
        <f>TRIM(MID(SUBSTITUTE($F342, ",", REPT(" ", 100)), (COLUMNS($AH$2:AJ342)-1)*100+1, 100))</f>
        <v/>
      </c>
      <c r="AK342" s="1">
        <v>45998</v>
      </c>
      <c r="AL342" s="2"/>
      <c r="AM342" s="2">
        <v>6</v>
      </c>
      <c r="AO342" t="str">
        <f>TRIM(MID(SUBSTITUTE($F342, ",", REPT(" ", 100)), (COLUMNS($AH$2:AO342)-1)*100+1, 100))</f>
        <v/>
      </c>
      <c r="AP342" t="str">
        <f>TRIM(MID(SUBSTITUTE($F342, ",", REPT(" ", 100)), (COLUMNS($AH$2:AP342)-1)*100+1, 100))</f>
        <v/>
      </c>
      <c r="AQ342" t="str">
        <f>TRIM(MID(SUBSTITUTE($F342, ",", REPT(" ", 100)), (COLUMNS($AH$2:AQ342)-1)*100+1, 100))</f>
        <v/>
      </c>
      <c r="AR342" t="str">
        <f>TRIM(MID(SUBSTITUTE($F342, ",", REPT(" ", 100)), (COLUMNS($AH$2:AR342)-1)*100+1, 100))</f>
        <v/>
      </c>
      <c r="AS342" t="str">
        <f>TRIM(MID(SUBSTITUTE($F342, ",", REPT(" ", 100)), (COLUMNS($AH$2:AS342)-1)*100+1, 100))</f>
        <v/>
      </c>
      <c r="AT342" t="str">
        <f>TRIM(MID(SUBSTITUTE($F342, ",", REPT(" ", 100)), (COLUMNS($AH$2:AT342)-1)*100+1, 100))</f>
        <v/>
      </c>
      <c r="AU342" t="str">
        <f>TRIM(MID(SUBSTITUTE($F342, ",", REPT(" ", 100)), (COLUMNS($AH$2:AU342)-1)*100+1, 100))</f>
        <v/>
      </c>
      <c r="AV342" t="str">
        <f>TRIM(MID(SUBSTITUTE($F342, ",", REPT(" ", 100)), (COLUMNS($AH$2:AV342)-1)*100+1, 100))</f>
        <v/>
      </c>
      <c r="AW342" t="str">
        <f>TRIM(MID(SUBSTITUTE($F342, ",", REPT(" ", 100)), (COLUMNS($AH$2:AW342)-1)*100+1, 100))</f>
        <v/>
      </c>
      <c r="AX342" t="str">
        <f>TRIM(MID(SUBSTITUTE($F342, ",", REPT(" ", 100)), (COLUMNS($AH$2:AX342)-1)*100+1, 100))</f>
        <v/>
      </c>
      <c r="AY342" t="str">
        <f>TRIM(MID(SUBSTITUTE($F342, ",", REPT(" ", 100)), (COLUMNS($AH$2:AY342)-1)*100+1, 100))</f>
        <v/>
      </c>
      <c r="AZ342" t="str">
        <f>TRIM(MID(SUBSTITUTE($F342, ",", REPT(" ", 100)), (COLUMNS($AH$2:AZ342)-1)*100+1, 100))</f>
        <v/>
      </c>
      <c r="BA342" t="str">
        <f>TRIM(MID(SUBSTITUTE($F342, ",", REPT(" ", 100)), (COLUMNS($AH$2:BA342)-1)*100+1, 100))</f>
        <v/>
      </c>
    </row>
    <row r="343" spans="1:53" x14ac:dyDescent="0.5">
      <c r="A343" s="1">
        <v>45999</v>
      </c>
      <c r="B343" s="2">
        <v>4.5</v>
      </c>
      <c r="C343" s="272"/>
      <c r="D343" s="295"/>
      <c r="E343" s="58">
        <v>0</v>
      </c>
      <c r="F343" s="38" t="s">
        <v>194</v>
      </c>
      <c r="AJ343" t="str">
        <f>TRIM(MID(SUBSTITUTE($F343, ",", REPT(" ", 100)), (COLUMNS($AH$2:AJ343)-1)*100+1, 100))</f>
        <v/>
      </c>
      <c r="AK343" s="1">
        <v>45999</v>
      </c>
      <c r="AL343" s="2"/>
      <c r="AM343" s="2">
        <v>4</v>
      </c>
      <c r="AO343" t="str">
        <f>TRIM(MID(SUBSTITUTE($F343, ",", REPT(" ", 100)), (COLUMNS($AH$2:AO343)-1)*100+1, 100))</f>
        <v/>
      </c>
      <c r="AP343" t="str">
        <f>TRIM(MID(SUBSTITUTE($F343, ",", REPT(" ", 100)), (COLUMNS($AH$2:AP343)-1)*100+1, 100))</f>
        <v/>
      </c>
      <c r="AQ343" t="str">
        <f>TRIM(MID(SUBSTITUTE($F343, ",", REPT(" ", 100)), (COLUMNS($AH$2:AQ343)-1)*100+1, 100))</f>
        <v/>
      </c>
      <c r="AR343" t="str">
        <f>TRIM(MID(SUBSTITUTE($F343, ",", REPT(" ", 100)), (COLUMNS($AH$2:AR343)-1)*100+1, 100))</f>
        <v/>
      </c>
      <c r="AS343" t="str">
        <f>TRIM(MID(SUBSTITUTE($F343, ",", REPT(" ", 100)), (COLUMNS($AH$2:AS343)-1)*100+1, 100))</f>
        <v/>
      </c>
      <c r="AT343" t="str">
        <f>TRIM(MID(SUBSTITUTE($F343, ",", REPT(" ", 100)), (COLUMNS($AH$2:AT343)-1)*100+1, 100))</f>
        <v/>
      </c>
      <c r="AU343" t="str">
        <f>TRIM(MID(SUBSTITUTE($F343, ",", REPT(" ", 100)), (COLUMNS($AH$2:AU343)-1)*100+1, 100))</f>
        <v/>
      </c>
      <c r="AV343" t="str">
        <f>TRIM(MID(SUBSTITUTE($F343, ",", REPT(" ", 100)), (COLUMNS($AH$2:AV343)-1)*100+1, 100))</f>
        <v/>
      </c>
      <c r="AW343" t="str">
        <f>TRIM(MID(SUBSTITUTE($F343, ",", REPT(" ", 100)), (COLUMNS($AH$2:AW343)-1)*100+1, 100))</f>
        <v/>
      </c>
      <c r="AX343" t="str">
        <f>TRIM(MID(SUBSTITUTE($F343, ",", REPT(" ", 100)), (COLUMNS($AH$2:AX343)-1)*100+1, 100))</f>
        <v/>
      </c>
      <c r="AY343" t="str">
        <f>TRIM(MID(SUBSTITUTE($F343, ",", REPT(" ", 100)), (COLUMNS($AH$2:AY343)-1)*100+1, 100))</f>
        <v/>
      </c>
      <c r="AZ343" t="str">
        <f>TRIM(MID(SUBSTITUTE($F343, ",", REPT(" ", 100)), (COLUMNS($AH$2:AZ343)-1)*100+1, 100))</f>
        <v/>
      </c>
      <c r="BA343" t="str">
        <f>TRIM(MID(SUBSTITUTE($F343, ",", REPT(" ", 100)), (COLUMNS($AH$2:BA343)-1)*100+1, 100))</f>
        <v/>
      </c>
    </row>
    <row r="344" spans="1:53" x14ac:dyDescent="0.5">
      <c r="A344" s="1">
        <v>46000</v>
      </c>
      <c r="B344" s="2">
        <v>4.7</v>
      </c>
      <c r="C344" s="272"/>
      <c r="D344" s="295"/>
      <c r="E344" s="58">
        <v>1</v>
      </c>
      <c r="F344" s="38" t="s">
        <v>194</v>
      </c>
      <c r="AJ344" t="str">
        <f>TRIM(MID(SUBSTITUTE($F344, ",", REPT(" ", 100)), (COLUMNS($AH$2:AJ344)-1)*100+1, 100))</f>
        <v/>
      </c>
      <c r="AK344" s="1">
        <v>46000</v>
      </c>
      <c r="AL344" s="2"/>
      <c r="AM344" s="2">
        <v>4</v>
      </c>
      <c r="AO344" t="str">
        <f>TRIM(MID(SUBSTITUTE($F344, ",", REPT(" ", 100)), (COLUMNS($AH$2:AO344)-1)*100+1, 100))</f>
        <v/>
      </c>
      <c r="AP344" t="str">
        <f>TRIM(MID(SUBSTITUTE($F344, ",", REPT(" ", 100)), (COLUMNS($AH$2:AP344)-1)*100+1, 100))</f>
        <v/>
      </c>
      <c r="AQ344" t="str">
        <f>TRIM(MID(SUBSTITUTE($F344, ",", REPT(" ", 100)), (COLUMNS($AH$2:AQ344)-1)*100+1, 100))</f>
        <v/>
      </c>
      <c r="AR344" t="str">
        <f>TRIM(MID(SUBSTITUTE($F344, ",", REPT(" ", 100)), (COLUMNS($AH$2:AR344)-1)*100+1, 100))</f>
        <v/>
      </c>
      <c r="AS344" t="str">
        <f>TRIM(MID(SUBSTITUTE($F344, ",", REPT(" ", 100)), (COLUMNS($AH$2:AS344)-1)*100+1, 100))</f>
        <v/>
      </c>
      <c r="AT344" t="str">
        <f>TRIM(MID(SUBSTITUTE($F344, ",", REPT(" ", 100)), (COLUMNS($AH$2:AT344)-1)*100+1, 100))</f>
        <v/>
      </c>
      <c r="AU344" t="str">
        <f>TRIM(MID(SUBSTITUTE($F344, ",", REPT(" ", 100)), (COLUMNS($AH$2:AU344)-1)*100+1, 100))</f>
        <v/>
      </c>
      <c r="AV344" t="str">
        <f>TRIM(MID(SUBSTITUTE($F344, ",", REPT(" ", 100)), (COLUMNS($AH$2:AV344)-1)*100+1, 100))</f>
        <v/>
      </c>
      <c r="AW344" t="str">
        <f>TRIM(MID(SUBSTITUTE($F344, ",", REPT(" ", 100)), (COLUMNS($AH$2:AW344)-1)*100+1, 100))</f>
        <v/>
      </c>
      <c r="AX344" t="str">
        <f>TRIM(MID(SUBSTITUTE($F344, ",", REPT(" ", 100)), (COLUMNS($AH$2:AX344)-1)*100+1, 100))</f>
        <v/>
      </c>
      <c r="AY344" t="str">
        <f>TRIM(MID(SUBSTITUTE($F344, ",", REPT(" ", 100)), (COLUMNS($AH$2:AY344)-1)*100+1, 100))</f>
        <v/>
      </c>
      <c r="AZ344" t="str">
        <f>TRIM(MID(SUBSTITUTE($F344, ",", REPT(" ", 100)), (COLUMNS($AH$2:AZ344)-1)*100+1, 100))</f>
        <v/>
      </c>
      <c r="BA344" t="str">
        <f>TRIM(MID(SUBSTITUTE($F344, ",", REPT(" ", 100)), (COLUMNS($AH$2:BA344)-1)*100+1, 100))</f>
        <v/>
      </c>
    </row>
    <row r="345" spans="1:53" x14ac:dyDescent="0.5">
      <c r="A345" s="1">
        <v>46001</v>
      </c>
      <c r="B345" s="2">
        <v>5</v>
      </c>
      <c r="C345" s="272"/>
      <c r="D345" s="295"/>
      <c r="E345" s="58">
        <v>1</v>
      </c>
      <c r="F345" s="38" t="s">
        <v>194</v>
      </c>
      <c r="AJ345" t="str">
        <f>TRIM(MID(SUBSTITUTE($F345, ",", REPT(" ", 100)), (COLUMNS($AH$2:AJ345)-1)*100+1, 100))</f>
        <v/>
      </c>
      <c r="AK345" s="1">
        <v>46001</v>
      </c>
      <c r="AL345" s="2"/>
      <c r="AM345" s="2">
        <v>4</v>
      </c>
      <c r="AO345" t="str">
        <f>TRIM(MID(SUBSTITUTE($F345, ",", REPT(" ", 100)), (COLUMNS($AH$2:AO345)-1)*100+1, 100))</f>
        <v/>
      </c>
      <c r="AP345" t="str">
        <f>TRIM(MID(SUBSTITUTE($F345, ",", REPT(" ", 100)), (COLUMNS($AH$2:AP345)-1)*100+1, 100))</f>
        <v/>
      </c>
      <c r="AQ345" t="str">
        <f>TRIM(MID(SUBSTITUTE($F345, ",", REPT(" ", 100)), (COLUMNS($AH$2:AQ345)-1)*100+1, 100))</f>
        <v/>
      </c>
      <c r="AR345" t="str">
        <f>TRIM(MID(SUBSTITUTE($F345, ",", REPT(" ", 100)), (COLUMNS($AH$2:AR345)-1)*100+1, 100))</f>
        <v/>
      </c>
      <c r="AS345" t="str">
        <f>TRIM(MID(SUBSTITUTE($F345, ",", REPT(" ", 100)), (COLUMNS($AH$2:AS345)-1)*100+1, 100))</f>
        <v/>
      </c>
      <c r="AT345" t="str">
        <f>TRIM(MID(SUBSTITUTE($F345, ",", REPT(" ", 100)), (COLUMNS($AH$2:AT345)-1)*100+1, 100))</f>
        <v/>
      </c>
      <c r="AU345" t="str">
        <f>TRIM(MID(SUBSTITUTE($F345, ",", REPT(" ", 100)), (COLUMNS($AH$2:AU345)-1)*100+1, 100))</f>
        <v/>
      </c>
      <c r="AV345" t="str">
        <f>TRIM(MID(SUBSTITUTE($F345, ",", REPT(" ", 100)), (COLUMNS($AH$2:AV345)-1)*100+1, 100))</f>
        <v/>
      </c>
      <c r="AW345" t="str">
        <f>TRIM(MID(SUBSTITUTE($F345, ",", REPT(" ", 100)), (COLUMNS($AH$2:AW345)-1)*100+1, 100))</f>
        <v/>
      </c>
      <c r="AX345" t="str">
        <f>TRIM(MID(SUBSTITUTE($F345, ",", REPT(" ", 100)), (COLUMNS($AH$2:AX345)-1)*100+1, 100))</f>
        <v/>
      </c>
      <c r="AY345" t="str">
        <f>TRIM(MID(SUBSTITUTE($F345, ",", REPT(" ", 100)), (COLUMNS($AH$2:AY345)-1)*100+1, 100))</f>
        <v/>
      </c>
      <c r="AZ345" t="str">
        <f>TRIM(MID(SUBSTITUTE($F345, ",", REPT(" ", 100)), (COLUMNS($AH$2:AZ345)-1)*100+1, 100))</f>
        <v/>
      </c>
      <c r="BA345" t="str">
        <f>TRIM(MID(SUBSTITUTE($F345, ",", REPT(" ", 100)), (COLUMNS($AH$2:BA345)-1)*100+1, 100))</f>
        <v/>
      </c>
    </row>
    <row r="346" spans="1:53" x14ac:dyDescent="0.5">
      <c r="A346" s="1">
        <v>46002</v>
      </c>
      <c r="B346" s="2">
        <v>5.5</v>
      </c>
      <c r="C346" s="272"/>
      <c r="D346" s="295"/>
      <c r="E346" s="58">
        <v>0</v>
      </c>
      <c r="F346" s="38" t="s">
        <v>194</v>
      </c>
      <c r="AJ346" t="str">
        <f>TRIM(MID(SUBSTITUTE($F346, ",", REPT(" ", 100)), (COLUMNS($AH$2:AJ346)-1)*100+1, 100))</f>
        <v/>
      </c>
      <c r="AK346" s="1">
        <v>46002</v>
      </c>
      <c r="AL346" s="2"/>
      <c r="AM346" s="2">
        <v>4</v>
      </c>
      <c r="AO346" t="str">
        <f>TRIM(MID(SUBSTITUTE($F346, ",", REPT(" ", 100)), (COLUMNS($AH$2:AO346)-1)*100+1, 100))</f>
        <v/>
      </c>
      <c r="AP346" t="str">
        <f>TRIM(MID(SUBSTITUTE($F346, ",", REPT(" ", 100)), (COLUMNS($AH$2:AP346)-1)*100+1, 100))</f>
        <v/>
      </c>
      <c r="AQ346" t="str">
        <f>TRIM(MID(SUBSTITUTE($F346, ",", REPT(" ", 100)), (COLUMNS($AH$2:AQ346)-1)*100+1, 100))</f>
        <v/>
      </c>
      <c r="AR346" t="str">
        <f>TRIM(MID(SUBSTITUTE($F346, ",", REPT(" ", 100)), (COLUMNS($AH$2:AR346)-1)*100+1, 100))</f>
        <v/>
      </c>
      <c r="AS346" t="str">
        <f>TRIM(MID(SUBSTITUTE($F346, ",", REPT(" ", 100)), (COLUMNS($AH$2:AS346)-1)*100+1, 100))</f>
        <v/>
      </c>
      <c r="AT346" t="str">
        <f>TRIM(MID(SUBSTITUTE($F346, ",", REPT(" ", 100)), (COLUMNS($AH$2:AT346)-1)*100+1, 100))</f>
        <v/>
      </c>
      <c r="AU346" t="str">
        <f>TRIM(MID(SUBSTITUTE($F346, ",", REPT(" ", 100)), (COLUMNS($AH$2:AU346)-1)*100+1, 100))</f>
        <v/>
      </c>
      <c r="AV346" t="str">
        <f>TRIM(MID(SUBSTITUTE($F346, ",", REPT(" ", 100)), (COLUMNS($AH$2:AV346)-1)*100+1, 100))</f>
        <v/>
      </c>
      <c r="AW346" t="str">
        <f>TRIM(MID(SUBSTITUTE($F346, ",", REPT(" ", 100)), (COLUMNS($AH$2:AW346)-1)*100+1, 100))</f>
        <v/>
      </c>
      <c r="AX346" t="str">
        <f>TRIM(MID(SUBSTITUTE($F346, ",", REPT(" ", 100)), (COLUMNS($AH$2:AX346)-1)*100+1, 100))</f>
        <v/>
      </c>
      <c r="AY346" t="str">
        <f>TRIM(MID(SUBSTITUTE($F346, ",", REPT(" ", 100)), (COLUMNS($AH$2:AY346)-1)*100+1, 100))</f>
        <v/>
      </c>
      <c r="AZ346" t="str">
        <f>TRIM(MID(SUBSTITUTE($F346, ",", REPT(" ", 100)), (COLUMNS($AH$2:AZ346)-1)*100+1, 100))</f>
        <v/>
      </c>
      <c r="BA346" t="str">
        <f>TRIM(MID(SUBSTITUTE($F346, ",", REPT(" ", 100)), (COLUMNS($AH$2:BA346)-1)*100+1, 100))</f>
        <v/>
      </c>
    </row>
    <row r="347" spans="1:53" x14ac:dyDescent="0.5">
      <c r="A347" s="1">
        <v>46003</v>
      </c>
      <c r="B347" s="2">
        <v>6</v>
      </c>
      <c r="C347" s="272"/>
      <c r="D347" s="295"/>
      <c r="E347" s="58">
        <v>0</v>
      </c>
      <c r="F347" s="38" t="s">
        <v>194</v>
      </c>
      <c r="AJ347" t="str">
        <f>TRIM(MID(SUBSTITUTE($F347, ",", REPT(" ", 100)), (COLUMNS($AH$2:AJ347)-1)*100+1, 100))</f>
        <v/>
      </c>
      <c r="AK347" s="1">
        <v>46003</v>
      </c>
      <c r="AL347" s="2"/>
      <c r="AM347" s="2">
        <v>6</v>
      </c>
      <c r="AO347" t="str">
        <f>TRIM(MID(SUBSTITUTE($F347, ",", REPT(" ", 100)), (COLUMNS($AH$2:AO347)-1)*100+1, 100))</f>
        <v/>
      </c>
      <c r="AP347" t="str">
        <f>TRIM(MID(SUBSTITUTE($F347, ",", REPT(" ", 100)), (COLUMNS($AH$2:AP347)-1)*100+1, 100))</f>
        <v/>
      </c>
      <c r="AQ347" t="str">
        <f>TRIM(MID(SUBSTITUTE($F347, ",", REPT(" ", 100)), (COLUMNS($AH$2:AQ347)-1)*100+1, 100))</f>
        <v/>
      </c>
      <c r="AR347" t="str">
        <f>TRIM(MID(SUBSTITUTE($F347, ",", REPT(" ", 100)), (COLUMNS($AH$2:AR347)-1)*100+1, 100))</f>
        <v/>
      </c>
      <c r="AS347" t="str">
        <f>TRIM(MID(SUBSTITUTE($F347, ",", REPT(" ", 100)), (COLUMNS($AH$2:AS347)-1)*100+1, 100))</f>
        <v/>
      </c>
      <c r="AT347" t="str">
        <f>TRIM(MID(SUBSTITUTE($F347, ",", REPT(" ", 100)), (COLUMNS($AH$2:AT347)-1)*100+1, 100))</f>
        <v/>
      </c>
      <c r="AU347" t="str">
        <f>TRIM(MID(SUBSTITUTE($F347, ",", REPT(" ", 100)), (COLUMNS($AH$2:AU347)-1)*100+1, 100))</f>
        <v/>
      </c>
      <c r="AV347" t="str">
        <f>TRIM(MID(SUBSTITUTE($F347, ",", REPT(" ", 100)), (COLUMNS($AH$2:AV347)-1)*100+1, 100))</f>
        <v/>
      </c>
      <c r="AW347" t="str">
        <f>TRIM(MID(SUBSTITUTE($F347, ",", REPT(" ", 100)), (COLUMNS($AH$2:AW347)-1)*100+1, 100))</f>
        <v/>
      </c>
      <c r="AX347" t="str">
        <f>TRIM(MID(SUBSTITUTE($F347, ",", REPT(" ", 100)), (COLUMNS($AH$2:AX347)-1)*100+1, 100))</f>
        <v/>
      </c>
      <c r="AY347" t="str">
        <f>TRIM(MID(SUBSTITUTE($F347, ",", REPT(" ", 100)), (COLUMNS($AH$2:AY347)-1)*100+1, 100))</f>
        <v/>
      </c>
      <c r="AZ347" t="str">
        <f>TRIM(MID(SUBSTITUTE($F347, ",", REPT(" ", 100)), (COLUMNS($AH$2:AZ347)-1)*100+1, 100))</f>
        <v/>
      </c>
      <c r="BA347" t="str">
        <f>TRIM(MID(SUBSTITUTE($F347, ",", REPT(" ", 100)), (COLUMNS($AH$2:BA347)-1)*100+1, 100))</f>
        <v/>
      </c>
    </row>
    <row r="348" spans="1:53" x14ac:dyDescent="0.5">
      <c r="A348" s="1">
        <v>46004</v>
      </c>
      <c r="B348" s="2">
        <v>8</v>
      </c>
      <c r="C348" s="272"/>
      <c r="D348" s="295"/>
      <c r="E348" s="58">
        <v>0</v>
      </c>
      <c r="F348" s="38" t="s">
        <v>194</v>
      </c>
      <c r="AJ348" t="str">
        <f>TRIM(MID(SUBSTITUTE($F348, ",", REPT(" ", 100)), (COLUMNS($AH$2:AJ348)-1)*100+1, 100))</f>
        <v/>
      </c>
      <c r="AK348" s="1">
        <v>46004</v>
      </c>
      <c r="AL348" s="2"/>
      <c r="AM348" s="2">
        <v>4</v>
      </c>
      <c r="AO348" t="str">
        <f>TRIM(MID(SUBSTITUTE($F348, ",", REPT(" ", 100)), (COLUMNS($AH$2:AO348)-1)*100+1, 100))</f>
        <v/>
      </c>
      <c r="AP348" t="str">
        <f>TRIM(MID(SUBSTITUTE($F348, ",", REPT(" ", 100)), (COLUMNS($AH$2:AP348)-1)*100+1, 100))</f>
        <v/>
      </c>
      <c r="AQ348" t="str">
        <f>TRIM(MID(SUBSTITUTE($F348, ",", REPT(" ", 100)), (COLUMNS($AH$2:AQ348)-1)*100+1, 100))</f>
        <v/>
      </c>
      <c r="AR348" t="str">
        <f>TRIM(MID(SUBSTITUTE($F348, ",", REPT(" ", 100)), (COLUMNS($AH$2:AR348)-1)*100+1, 100))</f>
        <v/>
      </c>
      <c r="AS348" t="str">
        <f>TRIM(MID(SUBSTITUTE($F348, ",", REPT(" ", 100)), (COLUMNS($AH$2:AS348)-1)*100+1, 100))</f>
        <v/>
      </c>
      <c r="AT348" t="str">
        <f>TRIM(MID(SUBSTITUTE($F348, ",", REPT(" ", 100)), (COLUMNS($AH$2:AT348)-1)*100+1, 100))</f>
        <v/>
      </c>
      <c r="AU348" t="str">
        <f>TRIM(MID(SUBSTITUTE($F348, ",", REPT(" ", 100)), (COLUMNS($AH$2:AU348)-1)*100+1, 100))</f>
        <v/>
      </c>
      <c r="AV348" t="str">
        <f>TRIM(MID(SUBSTITUTE($F348, ",", REPT(" ", 100)), (COLUMNS($AH$2:AV348)-1)*100+1, 100))</f>
        <v/>
      </c>
      <c r="AW348" t="str">
        <f>TRIM(MID(SUBSTITUTE($F348, ",", REPT(" ", 100)), (COLUMNS($AH$2:AW348)-1)*100+1, 100))</f>
        <v/>
      </c>
      <c r="AX348" t="str">
        <f>TRIM(MID(SUBSTITUTE($F348, ",", REPT(" ", 100)), (COLUMNS($AH$2:AX348)-1)*100+1, 100))</f>
        <v/>
      </c>
      <c r="AY348" t="str">
        <f>TRIM(MID(SUBSTITUTE($F348, ",", REPT(" ", 100)), (COLUMNS($AH$2:AY348)-1)*100+1, 100))</f>
        <v/>
      </c>
      <c r="AZ348" t="str">
        <f>TRIM(MID(SUBSTITUTE($F348, ",", REPT(" ", 100)), (COLUMNS($AH$2:AZ348)-1)*100+1, 100))</f>
        <v/>
      </c>
      <c r="BA348" t="str">
        <f>TRIM(MID(SUBSTITUTE($F348, ",", REPT(" ", 100)), (COLUMNS($AH$2:BA348)-1)*100+1, 100))</f>
        <v/>
      </c>
    </row>
    <row r="349" spans="1:53" x14ac:dyDescent="0.5">
      <c r="A349" s="1">
        <v>46005</v>
      </c>
      <c r="B349" s="2">
        <v>6</v>
      </c>
      <c r="C349" s="272"/>
      <c r="D349" s="295"/>
      <c r="E349" s="58">
        <v>1</v>
      </c>
      <c r="F349" s="38" t="s">
        <v>194</v>
      </c>
      <c r="AJ349" t="str">
        <f>TRIM(MID(SUBSTITUTE($F349, ",", REPT(" ", 100)), (COLUMNS($AH$2:AJ349)-1)*100+1, 100))</f>
        <v/>
      </c>
      <c r="AK349" s="1">
        <v>46005</v>
      </c>
      <c r="AL349" s="2"/>
      <c r="AM349" s="2">
        <v>6</v>
      </c>
      <c r="AO349" t="str">
        <f>TRIM(MID(SUBSTITUTE($F349, ",", REPT(" ", 100)), (COLUMNS($AH$2:AO349)-1)*100+1, 100))</f>
        <v/>
      </c>
      <c r="AP349" t="str">
        <f>TRIM(MID(SUBSTITUTE($F349, ",", REPT(" ", 100)), (COLUMNS($AH$2:AP349)-1)*100+1, 100))</f>
        <v/>
      </c>
      <c r="AQ349" t="str">
        <f>TRIM(MID(SUBSTITUTE($F349, ",", REPT(" ", 100)), (COLUMNS($AH$2:AQ349)-1)*100+1, 100))</f>
        <v/>
      </c>
      <c r="AR349" t="str">
        <f>TRIM(MID(SUBSTITUTE($F349, ",", REPT(" ", 100)), (COLUMNS($AH$2:AR349)-1)*100+1, 100))</f>
        <v/>
      </c>
      <c r="AS349" t="str">
        <f>TRIM(MID(SUBSTITUTE($F349, ",", REPT(" ", 100)), (COLUMNS($AH$2:AS349)-1)*100+1, 100))</f>
        <v/>
      </c>
      <c r="AT349" t="str">
        <f>TRIM(MID(SUBSTITUTE($F349, ",", REPT(" ", 100)), (COLUMNS($AH$2:AT349)-1)*100+1, 100))</f>
        <v/>
      </c>
      <c r="AU349" t="str">
        <f>TRIM(MID(SUBSTITUTE($F349, ",", REPT(" ", 100)), (COLUMNS($AH$2:AU349)-1)*100+1, 100))</f>
        <v/>
      </c>
      <c r="AV349" t="str">
        <f>TRIM(MID(SUBSTITUTE($F349, ",", REPT(" ", 100)), (COLUMNS($AH$2:AV349)-1)*100+1, 100))</f>
        <v/>
      </c>
      <c r="AW349" t="str">
        <f>TRIM(MID(SUBSTITUTE($F349, ",", REPT(" ", 100)), (COLUMNS($AH$2:AW349)-1)*100+1, 100))</f>
        <v/>
      </c>
      <c r="AX349" t="str">
        <f>TRIM(MID(SUBSTITUTE($F349, ",", REPT(" ", 100)), (COLUMNS($AH$2:AX349)-1)*100+1, 100))</f>
        <v/>
      </c>
      <c r="AY349" t="str">
        <f>TRIM(MID(SUBSTITUTE($F349, ",", REPT(" ", 100)), (COLUMNS($AH$2:AY349)-1)*100+1, 100))</f>
        <v/>
      </c>
      <c r="AZ349" t="str">
        <f>TRIM(MID(SUBSTITUTE($F349, ",", REPT(" ", 100)), (COLUMNS($AH$2:AZ349)-1)*100+1, 100))</f>
        <v/>
      </c>
      <c r="BA349" t="str">
        <f>TRIM(MID(SUBSTITUTE($F349, ",", REPT(" ", 100)), (COLUMNS($AH$2:BA349)-1)*100+1, 100))</f>
        <v/>
      </c>
    </row>
    <row r="350" spans="1:53" x14ac:dyDescent="0.5">
      <c r="A350" s="1">
        <v>46006</v>
      </c>
      <c r="B350" s="2">
        <v>8</v>
      </c>
      <c r="C350" s="272"/>
      <c r="D350" s="295"/>
      <c r="E350" s="58">
        <v>0</v>
      </c>
      <c r="F350" s="38" t="s">
        <v>194</v>
      </c>
      <c r="AJ350" t="str">
        <f>TRIM(MID(SUBSTITUTE($F350, ",", REPT(" ", 100)), (COLUMNS($AH$2:AJ350)-1)*100+1, 100))</f>
        <v/>
      </c>
      <c r="AK350" s="1">
        <v>46006</v>
      </c>
      <c r="AL350" s="2"/>
      <c r="AM350" s="2">
        <v>4</v>
      </c>
      <c r="AO350" t="str">
        <f>TRIM(MID(SUBSTITUTE($F350, ",", REPT(" ", 100)), (COLUMNS($AH$2:AO350)-1)*100+1, 100))</f>
        <v/>
      </c>
      <c r="AP350" t="str">
        <f>TRIM(MID(SUBSTITUTE($F350, ",", REPT(" ", 100)), (COLUMNS($AH$2:AP350)-1)*100+1, 100))</f>
        <v/>
      </c>
      <c r="AQ350" t="str">
        <f>TRIM(MID(SUBSTITUTE($F350, ",", REPT(" ", 100)), (COLUMNS($AH$2:AQ350)-1)*100+1, 100))</f>
        <v/>
      </c>
      <c r="AR350" t="str">
        <f>TRIM(MID(SUBSTITUTE($F350, ",", REPT(" ", 100)), (COLUMNS($AH$2:AR350)-1)*100+1, 100))</f>
        <v/>
      </c>
      <c r="AS350" t="str">
        <f>TRIM(MID(SUBSTITUTE($F350, ",", REPT(" ", 100)), (COLUMNS($AH$2:AS350)-1)*100+1, 100))</f>
        <v/>
      </c>
      <c r="AT350" t="str">
        <f>TRIM(MID(SUBSTITUTE($F350, ",", REPT(" ", 100)), (COLUMNS($AH$2:AT350)-1)*100+1, 100))</f>
        <v/>
      </c>
      <c r="AU350" t="str">
        <f>TRIM(MID(SUBSTITUTE($F350, ",", REPT(" ", 100)), (COLUMNS($AH$2:AU350)-1)*100+1, 100))</f>
        <v/>
      </c>
      <c r="AV350" t="str">
        <f>TRIM(MID(SUBSTITUTE($F350, ",", REPT(" ", 100)), (COLUMNS($AH$2:AV350)-1)*100+1, 100))</f>
        <v/>
      </c>
      <c r="AW350" t="str">
        <f>TRIM(MID(SUBSTITUTE($F350, ",", REPT(" ", 100)), (COLUMNS($AH$2:AW350)-1)*100+1, 100))</f>
        <v/>
      </c>
      <c r="AX350" t="str">
        <f>TRIM(MID(SUBSTITUTE($F350, ",", REPT(" ", 100)), (COLUMNS($AH$2:AX350)-1)*100+1, 100))</f>
        <v/>
      </c>
      <c r="AY350" t="str">
        <f>TRIM(MID(SUBSTITUTE($F350, ",", REPT(" ", 100)), (COLUMNS($AH$2:AY350)-1)*100+1, 100))</f>
        <v/>
      </c>
      <c r="AZ350" t="str">
        <f>TRIM(MID(SUBSTITUTE($F350, ",", REPT(" ", 100)), (COLUMNS($AH$2:AZ350)-1)*100+1, 100))</f>
        <v/>
      </c>
      <c r="BA350" t="str">
        <f>TRIM(MID(SUBSTITUTE($F350, ",", REPT(" ", 100)), (COLUMNS($AH$2:BA350)-1)*100+1, 100))</f>
        <v/>
      </c>
    </row>
    <row r="351" spans="1:53" x14ac:dyDescent="0.5">
      <c r="A351" s="1">
        <v>46007</v>
      </c>
      <c r="B351" s="2">
        <v>4.0999999999999996</v>
      </c>
      <c r="C351" s="272"/>
      <c r="D351" s="295"/>
      <c r="E351" s="58">
        <v>0</v>
      </c>
      <c r="F351" s="38" t="s">
        <v>194</v>
      </c>
      <c r="AJ351" t="str">
        <f>TRIM(MID(SUBSTITUTE($F351, ",", REPT(" ", 100)), (COLUMNS($AH$2:AJ351)-1)*100+1, 100))</f>
        <v/>
      </c>
      <c r="AK351" s="1">
        <v>46007</v>
      </c>
      <c r="AL351" s="2"/>
      <c r="AM351" s="2">
        <v>4</v>
      </c>
      <c r="AO351" t="str">
        <f>TRIM(MID(SUBSTITUTE($F351, ",", REPT(" ", 100)), (COLUMNS($AH$2:AO351)-1)*100+1, 100))</f>
        <v/>
      </c>
      <c r="AP351" t="str">
        <f>TRIM(MID(SUBSTITUTE($F351, ",", REPT(" ", 100)), (COLUMNS($AH$2:AP351)-1)*100+1, 100))</f>
        <v/>
      </c>
      <c r="AQ351" t="str">
        <f>TRIM(MID(SUBSTITUTE($F351, ",", REPT(" ", 100)), (COLUMNS($AH$2:AQ351)-1)*100+1, 100))</f>
        <v/>
      </c>
      <c r="AR351" t="str">
        <f>TRIM(MID(SUBSTITUTE($F351, ",", REPT(" ", 100)), (COLUMNS($AH$2:AR351)-1)*100+1, 100))</f>
        <v/>
      </c>
      <c r="AS351" t="str">
        <f>TRIM(MID(SUBSTITUTE($F351, ",", REPT(" ", 100)), (COLUMNS($AH$2:AS351)-1)*100+1, 100))</f>
        <v/>
      </c>
      <c r="AT351" t="str">
        <f>TRIM(MID(SUBSTITUTE($F351, ",", REPT(" ", 100)), (COLUMNS($AH$2:AT351)-1)*100+1, 100))</f>
        <v/>
      </c>
      <c r="AU351" t="str">
        <f>TRIM(MID(SUBSTITUTE($F351, ",", REPT(" ", 100)), (COLUMNS($AH$2:AU351)-1)*100+1, 100))</f>
        <v/>
      </c>
      <c r="AV351" t="str">
        <f>TRIM(MID(SUBSTITUTE($F351, ",", REPT(" ", 100)), (COLUMNS($AH$2:AV351)-1)*100+1, 100))</f>
        <v/>
      </c>
      <c r="AW351" t="str">
        <f>TRIM(MID(SUBSTITUTE($F351, ",", REPT(" ", 100)), (COLUMNS($AH$2:AW351)-1)*100+1, 100))</f>
        <v/>
      </c>
      <c r="AX351" t="str">
        <f>TRIM(MID(SUBSTITUTE($F351, ",", REPT(" ", 100)), (COLUMNS($AH$2:AX351)-1)*100+1, 100))</f>
        <v/>
      </c>
      <c r="AY351" t="str">
        <f>TRIM(MID(SUBSTITUTE($F351, ",", REPT(" ", 100)), (COLUMNS($AH$2:AY351)-1)*100+1, 100))</f>
        <v/>
      </c>
      <c r="AZ351" t="str">
        <f>TRIM(MID(SUBSTITUTE($F351, ",", REPT(" ", 100)), (COLUMNS($AH$2:AZ351)-1)*100+1, 100))</f>
        <v/>
      </c>
      <c r="BA351" t="str">
        <f>TRIM(MID(SUBSTITUTE($F351, ",", REPT(" ", 100)), (COLUMNS($AH$2:BA351)-1)*100+1, 100))</f>
        <v/>
      </c>
    </row>
    <row r="352" spans="1:53" x14ac:dyDescent="0.5">
      <c r="A352" s="1">
        <v>46008</v>
      </c>
      <c r="B352" s="2">
        <v>4.5</v>
      </c>
      <c r="C352" s="272"/>
      <c r="D352" s="295"/>
      <c r="E352" s="58">
        <v>0</v>
      </c>
      <c r="F352" s="38" t="s">
        <v>194</v>
      </c>
      <c r="AJ352" t="str">
        <f>TRIM(MID(SUBSTITUTE($F352, ",", REPT(" ", 100)), (COLUMNS($AH$2:AJ352)-1)*100+1, 100))</f>
        <v/>
      </c>
      <c r="AK352" s="1">
        <v>46008</v>
      </c>
      <c r="AL352" s="2"/>
      <c r="AM352" s="2">
        <v>2</v>
      </c>
      <c r="AO352" t="str">
        <f>TRIM(MID(SUBSTITUTE($F352, ",", REPT(" ", 100)), (COLUMNS($AH$2:AO352)-1)*100+1, 100))</f>
        <v/>
      </c>
      <c r="AP352" t="str">
        <f>TRIM(MID(SUBSTITUTE($F352, ",", REPT(" ", 100)), (COLUMNS($AH$2:AP352)-1)*100+1, 100))</f>
        <v/>
      </c>
      <c r="AQ352" t="str">
        <f>TRIM(MID(SUBSTITUTE($F352, ",", REPT(" ", 100)), (COLUMNS($AH$2:AQ352)-1)*100+1, 100))</f>
        <v/>
      </c>
      <c r="AR352" t="str">
        <f>TRIM(MID(SUBSTITUTE($F352, ",", REPT(" ", 100)), (COLUMNS($AH$2:AR352)-1)*100+1, 100))</f>
        <v/>
      </c>
      <c r="AS352" t="str">
        <f>TRIM(MID(SUBSTITUTE($F352, ",", REPT(" ", 100)), (COLUMNS($AH$2:AS352)-1)*100+1, 100))</f>
        <v/>
      </c>
      <c r="AT352" t="str">
        <f>TRIM(MID(SUBSTITUTE($F352, ",", REPT(" ", 100)), (COLUMNS($AH$2:AT352)-1)*100+1, 100))</f>
        <v/>
      </c>
      <c r="AU352" t="str">
        <f>TRIM(MID(SUBSTITUTE($F352, ",", REPT(" ", 100)), (COLUMNS($AH$2:AU352)-1)*100+1, 100))</f>
        <v/>
      </c>
      <c r="AV352" t="str">
        <f>TRIM(MID(SUBSTITUTE($F352, ",", REPT(" ", 100)), (COLUMNS($AH$2:AV352)-1)*100+1, 100))</f>
        <v/>
      </c>
      <c r="AW352" t="str">
        <f>TRIM(MID(SUBSTITUTE($F352, ",", REPT(" ", 100)), (COLUMNS($AH$2:AW352)-1)*100+1, 100))</f>
        <v/>
      </c>
      <c r="AX352" t="str">
        <f>TRIM(MID(SUBSTITUTE($F352, ",", REPT(" ", 100)), (COLUMNS($AH$2:AX352)-1)*100+1, 100))</f>
        <v/>
      </c>
      <c r="AY352" t="str">
        <f>TRIM(MID(SUBSTITUTE($F352, ",", REPT(" ", 100)), (COLUMNS($AH$2:AY352)-1)*100+1, 100))</f>
        <v/>
      </c>
      <c r="AZ352" t="str">
        <f>TRIM(MID(SUBSTITUTE($F352, ",", REPT(" ", 100)), (COLUMNS($AH$2:AZ352)-1)*100+1, 100))</f>
        <v/>
      </c>
      <c r="BA352" t="str">
        <f>TRIM(MID(SUBSTITUTE($F352, ",", REPT(" ", 100)), (COLUMNS($AH$2:BA352)-1)*100+1, 100))</f>
        <v/>
      </c>
    </row>
    <row r="353" spans="1:53" x14ac:dyDescent="0.5">
      <c r="A353" s="1">
        <v>46009</v>
      </c>
      <c r="B353" s="2">
        <v>3</v>
      </c>
      <c r="C353" s="272"/>
      <c r="D353" s="295"/>
      <c r="E353" s="58">
        <v>1</v>
      </c>
      <c r="F353" s="38" t="s">
        <v>194</v>
      </c>
      <c r="AJ353" t="str">
        <f>TRIM(MID(SUBSTITUTE($F353, ",", REPT(" ", 100)), (COLUMNS($AH$2:AJ353)-1)*100+1, 100))</f>
        <v/>
      </c>
      <c r="AK353" s="1">
        <v>46009</v>
      </c>
      <c r="AL353" s="2"/>
      <c r="AM353" s="2">
        <v>4</v>
      </c>
      <c r="AO353" t="str">
        <f>TRIM(MID(SUBSTITUTE($F353, ",", REPT(" ", 100)), (COLUMNS($AH$2:AO353)-1)*100+1, 100))</f>
        <v/>
      </c>
      <c r="AP353" t="str">
        <f>TRIM(MID(SUBSTITUTE($F353, ",", REPT(" ", 100)), (COLUMNS($AH$2:AP353)-1)*100+1, 100))</f>
        <v/>
      </c>
      <c r="AQ353" t="str">
        <f>TRIM(MID(SUBSTITUTE($F353, ",", REPT(" ", 100)), (COLUMNS($AH$2:AQ353)-1)*100+1, 100))</f>
        <v/>
      </c>
      <c r="AR353" t="str">
        <f>TRIM(MID(SUBSTITUTE($F353, ",", REPT(" ", 100)), (COLUMNS($AH$2:AR353)-1)*100+1, 100))</f>
        <v/>
      </c>
      <c r="AS353" t="str">
        <f>TRIM(MID(SUBSTITUTE($F353, ",", REPT(" ", 100)), (COLUMNS($AH$2:AS353)-1)*100+1, 100))</f>
        <v/>
      </c>
      <c r="AT353" t="str">
        <f>TRIM(MID(SUBSTITUTE($F353, ",", REPT(" ", 100)), (COLUMNS($AH$2:AT353)-1)*100+1, 100))</f>
        <v/>
      </c>
      <c r="AU353" t="str">
        <f>TRIM(MID(SUBSTITUTE($F353, ",", REPT(" ", 100)), (COLUMNS($AH$2:AU353)-1)*100+1, 100))</f>
        <v/>
      </c>
      <c r="AV353" t="str">
        <f>TRIM(MID(SUBSTITUTE($F353, ",", REPT(" ", 100)), (COLUMNS($AH$2:AV353)-1)*100+1, 100))</f>
        <v/>
      </c>
      <c r="AW353" t="str">
        <f>TRIM(MID(SUBSTITUTE($F353, ",", REPT(" ", 100)), (COLUMNS($AH$2:AW353)-1)*100+1, 100))</f>
        <v/>
      </c>
      <c r="AX353" t="str">
        <f>TRIM(MID(SUBSTITUTE($F353, ",", REPT(" ", 100)), (COLUMNS($AH$2:AX353)-1)*100+1, 100))</f>
        <v/>
      </c>
      <c r="AY353" t="str">
        <f>TRIM(MID(SUBSTITUTE($F353, ",", REPT(" ", 100)), (COLUMNS($AH$2:AY353)-1)*100+1, 100))</f>
        <v/>
      </c>
      <c r="AZ353" t="str">
        <f>TRIM(MID(SUBSTITUTE($F353, ",", REPT(" ", 100)), (COLUMNS($AH$2:AZ353)-1)*100+1, 100))</f>
        <v/>
      </c>
      <c r="BA353" t="str">
        <f>TRIM(MID(SUBSTITUTE($F353, ",", REPT(" ", 100)), (COLUMNS($AH$2:BA353)-1)*100+1, 100))</f>
        <v/>
      </c>
    </row>
    <row r="354" spans="1:53" x14ac:dyDescent="0.5">
      <c r="A354" s="1">
        <v>46010</v>
      </c>
      <c r="B354" s="2">
        <v>8</v>
      </c>
      <c r="C354" s="272"/>
      <c r="D354" s="295"/>
      <c r="E354" s="58">
        <v>1</v>
      </c>
      <c r="F354" s="38" t="s">
        <v>194</v>
      </c>
      <c r="AJ354" t="str">
        <f>TRIM(MID(SUBSTITUTE($F354, ",", REPT(" ", 100)), (COLUMNS($AH$2:AJ354)-1)*100+1, 100))</f>
        <v/>
      </c>
      <c r="AK354" s="1">
        <v>46010</v>
      </c>
      <c r="AL354" s="2"/>
      <c r="AM354" s="2">
        <v>2</v>
      </c>
      <c r="AO354" t="str">
        <f>TRIM(MID(SUBSTITUTE($F354, ",", REPT(" ", 100)), (COLUMNS($AH$2:AO354)-1)*100+1, 100))</f>
        <v/>
      </c>
      <c r="AP354" t="str">
        <f>TRIM(MID(SUBSTITUTE($F354, ",", REPT(" ", 100)), (COLUMNS($AH$2:AP354)-1)*100+1, 100))</f>
        <v/>
      </c>
      <c r="AQ354" t="str">
        <f>TRIM(MID(SUBSTITUTE($F354, ",", REPT(" ", 100)), (COLUMNS($AH$2:AQ354)-1)*100+1, 100))</f>
        <v/>
      </c>
      <c r="AR354" t="str">
        <f>TRIM(MID(SUBSTITUTE($F354, ",", REPT(" ", 100)), (COLUMNS($AH$2:AR354)-1)*100+1, 100))</f>
        <v/>
      </c>
      <c r="AS354" t="str">
        <f>TRIM(MID(SUBSTITUTE($F354, ",", REPT(" ", 100)), (COLUMNS($AH$2:AS354)-1)*100+1, 100))</f>
        <v/>
      </c>
      <c r="AT354" t="str">
        <f>TRIM(MID(SUBSTITUTE($F354, ",", REPT(" ", 100)), (COLUMNS($AH$2:AT354)-1)*100+1, 100))</f>
        <v/>
      </c>
      <c r="AU354" t="str">
        <f>TRIM(MID(SUBSTITUTE($F354, ",", REPT(" ", 100)), (COLUMNS($AH$2:AU354)-1)*100+1, 100))</f>
        <v/>
      </c>
      <c r="AV354" t="str">
        <f>TRIM(MID(SUBSTITUTE($F354, ",", REPT(" ", 100)), (COLUMNS($AH$2:AV354)-1)*100+1, 100))</f>
        <v/>
      </c>
      <c r="AW354" t="str">
        <f>TRIM(MID(SUBSTITUTE($F354, ",", REPT(" ", 100)), (COLUMNS($AH$2:AW354)-1)*100+1, 100))</f>
        <v/>
      </c>
      <c r="AX354" t="str">
        <f>TRIM(MID(SUBSTITUTE($F354, ",", REPT(" ", 100)), (COLUMNS($AH$2:AX354)-1)*100+1, 100))</f>
        <v/>
      </c>
      <c r="AY354" t="str">
        <f>TRIM(MID(SUBSTITUTE($F354, ",", REPT(" ", 100)), (COLUMNS($AH$2:AY354)-1)*100+1, 100))</f>
        <v/>
      </c>
      <c r="AZ354" t="str">
        <f>TRIM(MID(SUBSTITUTE($F354, ",", REPT(" ", 100)), (COLUMNS($AH$2:AZ354)-1)*100+1, 100))</f>
        <v/>
      </c>
      <c r="BA354" t="str">
        <f>TRIM(MID(SUBSTITUTE($F354, ",", REPT(" ", 100)), (COLUMNS($AH$2:BA354)-1)*100+1, 100))</f>
        <v/>
      </c>
    </row>
    <row r="355" spans="1:53" x14ac:dyDescent="0.5">
      <c r="A355" s="1">
        <v>46011</v>
      </c>
      <c r="B355" s="2">
        <v>5.5</v>
      </c>
      <c r="C355" s="272"/>
      <c r="D355" s="295"/>
      <c r="E355" s="58">
        <v>1</v>
      </c>
      <c r="F355" s="38" t="s">
        <v>194</v>
      </c>
      <c r="AJ355" t="str">
        <f>TRIM(MID(SUBSTITUTE($F355, ",", REPT(" ", 100)), (COLUMNS($AH$2:AJ355)-1)*100+1, 100))</f>
        <v/>
      </c>
      <c r="AK355" s="1">
        <v>46011</v>
      </c>
      <c r="AL355" s="2"/>
      <c r="AM355" s="2">
        <v>4</v>
      </c>
      <c r="AO355" t="str">
        <f>TRIM(MID(SUBSTITUTE($F355, ",", REPT(" ", 100)), (COLUMNS($AH$2:AO355)-1)*100+1, 100))</f>
        <v/>
      </c>
      <c r="AP355" t="str">
        <f>TRIM(MID(SUBSTITUTE($F355, ",", REPT(" ", 100)), (COLUMNS($AH$2:AP355)-1)*100+1, 100))</f>
        <v/>
      </c>
      <c r="AQ355" t="str">
        <f>TRIM(MID(SUBSTITUTE($F355, ",", REPT(" ", 100)), (COLUMNS($AH$2:AQ355)-1)*100+1, 100))</f>
        <v/>
      </c>
      <c r="AR355" t="str">
        <f>TRIM(MID(SUBSTITUTE($F355, ",", REPT(" ", 100)), (COLUMNS($AH$2:AR355)-1)*100+1, 100))</f>
        <v/>
      </c>
      <c r="AS355" t="str">
        <f>TRIM(MID(SUBSTITUTE($F355, ",", REPT(" ", 100)), (COLUMNS($AH$2:AS355)-1)*100+1, 100))</f>
        <v/>
      </c>
      <c r="AT355" t="str">
        <f>TRIM(MID(SUBSTITUTE($F355, ",", REPT(" ", 100)), (COLUMNS($AH$2:AT355)-1)*100+1, 100))</f>
        <v/>
      </c>
      <c r="AU355" t="str">
        <f>TRIM(MID(SUBSTITUTE($F355, ",", REPT(" ", 100)), (COLUMNS($AH$2:AU355)-1)*100+1, 100))</f>
        <v/>
      </c>
      <c r="AV355" t="str">
        <f>TRIM(MID(SUBSTITUTE($F355, ",", REPT(" ", 100)), (COLUMNS($AH$2:AV355)-1)*100+1, 100))</f>
        <v/>
      </c>
      <c r="AW355" t="str">
        <f>TRIM(MID(SUBSTITUTE($F355, ",", REPT(" ", 100)), (COLUMNS($AH$2:AW355)-1)*100+1, 100))</f>
        <v/>
      </c>
      <c r="AX355" t="str">
        <f>TRIM(MID(SUBSTITUTE($F355, ",", REPT(" ", 100)), (COLUMNS($AH$2:AX355)-1)*100+1, 100))</f>
        <v/>
      </c>
      <c r="AY355" t="str">
        <f>TRIM(MID(SUBSTITUTE($F355, ",", REPT(" ", 100)), (COLUMNS($AH$2:AY355)-1)*100+1, 100))</f>
        <v/>
      </c>
      <c r="AZ355" t="str">
        <f>TRIM(MID(SUBSTITUTE($F355, ",", REPT(" ", 100)), (COLUMNS($AH$2:AZ355)-1)*100+1, 100))</f>
        <v/>
      </c>
      <c r="BA355" t="str">
        <f>TRIM(MID(SUBSTITUTE($F355, ",", REPT(" ", 100)), (COLUMNS($AH$2:BA355)-1)*100+1, 100))</f>
        <v/>
      </c>
    </row>
    <row r="356" spans="1:53" x14ac:dyDescent="0.5">
      <c r="A356" s="1">
        <v>46012</v>
      </c>
      <c r="B356" s="2">
        <v>6</v>
      </c>
      <c r="C356" s="272"/>
      <c r="D356" s="295"/>
      <c r="E356" s="58">
        <v>0</v>
      </c>
      <c r="F356" s="38" t="s">
        <v>194</v>
      </c>
      <c r="AJ356" t="str">
        <f>TRIM(MID(SUBSTITUTE($F356, ",", REPT(" ", 100)), (COLUMNS($AH$2:AJ356)-1)*100+1, 100))</f>
        <v/>
      </c>
      <c r="AK356" s="1">
        <v>46012</v>
      </c>
      <c r="AL356" s="2"/>
      <c r="AM356" s="2">
        <v>4</v>
      </c>
      <c r="AO356" t="str">
        <f>TRIM(MID(SUBSTITUTE($F356, ",", REPT(" ", 100)), (COLUMNS($AH$2:AO356)-1)*100+1, 100))</f>
        <v/>
      </c>
      <c r="AP356" t="str">
        <f>TRIM(MID(SUBSTITUTE($F356, ",", REPT(" ", 100)), (COLUMNS($AH$2:AP356)-1)*100+1, 100))</f>
        <v/>
      </c>
      <c r="AQ356" t="str">
        <f>TRIM(MID(SUBSTITUTE($F356, ",", REPT(" ", 100)), (COLUMNS($AH$2:AQ356)-1)*100+1, 100))</f>
        <v/>
      </c>
      <c r="AR356" t="str">
        <f>TRIM(MID(SUBSTITUTE($F356, ",", REPT(" ", 100)), (COLUMNS($AH$2:AR356)-1)*100+1, 100))</f>
        <v/>
      </c>
      <c r="AS356" t="str">
        <f>TRIM(MID(SUBSTITUTE($F356, ",", REPT(" ", 100)), (COLUMNS($AH$2:AS356)-1)*100+1, 100))</f>
        <v/>
      </c>
      <c r="AT356" t="str">
        <f>TRIM(MID(SUBSTITUTE($F356, ",", REPT(" ", 100)), (COLUMNS($AH$2:AT356)-1)*100+1, 100))</f>
        <v/>
      </c>
      <c r="AU356" t="str">
        <f>TRIM(MID(SUBSTITUTE($F356, ",", REPT(" ", 100)), (COLUMNS($AH$2:AU356)-1)*100+1, 100))</f>
        <v/>
      </c>
      <c r="AV356" t="str">
        <f>TRIM(MID(SUBSTITUTE($F356, ",", REPT(" ", 100)), (COLUMNS($AH$2:AV356)-1)*100+1, 100))</f>
        <v/>
      </c>
      <c r="AW356" t="str">
        <f>TRIM(MID(SUBSTITUTE($F356, ",", REPT(" ", 100)), (COLUMNS($AH$2:AW356)-1)*100+1, 100))</f>
        <v/>
      </c>
      <c r="AX356" t="str">
        <f>TRIM(MID(SUBSTITUTE($F356, ",", REPT(" ", 100)), (COLUMNS($AH$2:AX356)-1)*100+1, 100))</f>
        <v/>
      </c>
      <c r="AY356" t="str">
        <f>TRIM(MID(SUBSTITUTE($F356, ",", REPT(" ", 100)), (COLUMNS($AH$2:AY356)-1)*100+1, 100))</f>
        <v/>
      </c>
      <c r="AZ356" t="str">
        <f>TRIM(MID(SUBSTITUTE($F356, ",", REPT(" ", 100)), (COLUMNS($AH$2:AZ356)-1)*100+1, 100))</f>
        <v/>
      </c>
      <c r="BA356" t="str">
        <f>TRIM(MID(SUBSTITUTE($F356, ",", REPT(" ", 100)), (COLUMNS($AH$2:BA356)-1)*100+1, 100))</f>
        <v/>
      </c>
    </row>
    <row r="357" spans="1:53" x14ac:dyDescent="0.5">
      <c r="A357" s="1">
        <v>46013</v>
      </c>
      <c r="B357" s="2">
        <v>4.9000000000000004</v>
      </c>
      <c r="C357" s="272"/>
      <c r="D357" s="295"/>
      <c r="E357" s="58">
        <v>0</v>
      </c>
      <c r="F357" s="38" t="s">
        <v>194</v>
      </c>
      <c r="AJ357" t="str">
        <f>TRIM(MID(SUBSTITUTE($F357, ",", REPT(" ", 100)), (COLUMNS($AH$2:AJ357)-1)*100+1, 100))</f>
        <v/>
      </c>
      <c r="AK357" s="1">
        <v>46013</v>
      </c>
      <c r="AL357" s="2"/>
      <c r="AM357" s="2">
        <v>4</v>
      </c>
      <c r="AO357" t="str">
        <f>TRIM(MID(SUBSTITUTE($F357, ",", REPT(" ", 100)), (COLUMNS($AH$2:AO357)-1)*100+1, 100))</f>
        <v/>
      </c>
      <c r="AP357" t="str">
        <f>TRIM(MID(SUBSTITUTE($F357, ",", REPT(" ", 100)), (COLUMNS($AH$2:AP357)-1)*100+1, 100))</f>
        <v/>
      </c>
      <c r="AQ357" t="str">
        <f>TRIM(MID(SUBSTITUTE($F357, ",", REPT(" ", 100)), (COLUMNS($AH$2:AQ357)-1)*100+1, 100))</f>
        <v/>
      </c>
      <c r="AR357" t="str">
        <f>TRIM(MID(SUBSTITUTE($F357, ",", REPT(" ", 100)), (COLUMNS($AH$2:AR357)-1)*100+1, 100))</f>
        <v/>
      </c>
      <c r="AS357" t="str">
        <f>TRIM(MID(SUBSTITUTE($F357, ",", REPT(" ", 100)), (COLUMNS($AH$2:AS357)-1)*100+1, 100))</f>
        <v/>
      </c>
      <c r="AT357" t="str">
        <f>TRIM(MID(SUBSTITUTE($F357, ",", REPT(" ", 100)), (COLUMNS($AH$2:AT357)-1)*100+1, 100))</f>
        <v/>
      </c>
      <c r="AU357" t="str">
        <f>TRIM(MID(SUBSTITUTE($F357, ",", REPT(" ", 100)), (COLUMNS($AH$2:AU357)-1)*100+1, 100))</f>
        <v/>
      </c>
      <c r="AV357" t="str">
        <f>TRIM(MID(SUBSTITUTE($F357, ",", REPT(" ", 100)), (COLUMNS($AH$2:AV357)-1)*100+1, 100))</f>
        <v/>
      </c>
      <c r="AW357" t="str">
        <f>TRIM(MID(SUBSTITUTE($F357, ",", REPT(" ", 100)), (COLUMNS($AH$2:AW357)-1)*100+1, 100))</f>
        <v/>
      </c>
      <c r="AX357" t="str">
        <f>TRIM(MID(SUBSTITUTE($F357, ",", REPT(" ", 100)), (COLUMNS($AH$2:AX357)-1)*100+1, 100))</f>
        <v/>
      </c>
      <c r="AY357" t="str">
        <f>TRIM(MID(SUBSTITUTE($F357, ",", REPT(" ", 100)), (COLUMNS($AH$2:AY357)-1)*100+1, 100))</f>
        <v/>
      </c>
      <c r="AZ357" t="str">
        <f>TRIM(MID(SUBSTITUTE($F357, ",", REPT(" ", 100)), (COLUMNS($AH$2:AZ357)-1)*100+1, 100))</f>
        <v/>
      </c>
      <c r="BA357" t="str">
        <f>TRIM(MID(SUBSTITUTE($F357, ",", REPT(" ", 100)), (COLUMNS($AH$2:BA357)-1)*100+1, 100))</f>
        <v/>
      </c>
    </row>
    <row r="358" spans="1:53" x14ac:dyDescent="0.5">
      <c r="A358" s="1">
        <v>46014</v>
      </c>
      <c r="B358" s="2">
        <v>5.3</v>
      </c>
      <c r="C358" s="272"/>
      <c r="D358" s="295"/>
      <c r="E358" s="58">
        <v>0</v>
      </c>
      <c r="F358" s="38" t="s">
        <v>194</v>
      </c>
      <c r="AJ358" t="str">
        <f>TRIM(MID(SUBSTITUTE($F358, ",", REPT(" ", 100)), (COLUMNS($AH$2:AJ358)-1)*100+1, 100))</f>
        <v/>
      </c>
      <c r="AK358" s="1">
        <v>46014</v>
      </c>
      <c r="AL358" s="2"/>
      <c r="AM358" s="2">
        <v>4</v>
      </c>
      <c r="AO358" t="str">
        <f>TRIM(MID(SUBSTITUTE($F358, ",", REPT(" ", 100)), (COLUMNS($AH$2:AO358)-1)*100+1, 100))</f>
        <v/>
      </c>
      <c r="AP358" t="str">
        <f>TRIM(MID(SUBSTITUTE($F358, ",", REPT(" ", 100)), (COLUMNS($AH$2:AP358)-1)*100+1, 100))</f>
        <v/>
      </c>
      <c r="AQ358" t="str">
        <f>TRIM(MID(SUBSTITUTE($F358, ",", REPT(" ", 100)), (COLUMNS($AH$2:AQ358)-1)*100+1, 100))</f>
        <v/>
      </c>
      <c r="AR358" t="str">
        <f>TRIM(MID(SUBSTITUTE($F358, ",", REPT(" ", 100)), (COLUMNS($AH$2:AR358)-1)*100+1, 100))</f>
        <v/>
      </c>
      <c r="AS358" t="str">
        <f>TRIM(MID(SUBSTITUTE($F358, ",", REPT(" ", 100)), (COLUMNS($AH$2:AS358)-1)*100+1, 100))</f>
        <v/>
      </c>
      <c r="AT358" t="str">
        <f>TRIM(MID(SUBSTITUTE($F358, ",", REPT(" ", 100)), (COLUMNS($AH$2:AT358)-1)*100+1, 100))</f>
        <v/>
      </c>
      <c r="AU358" t="str">
        <f>TRIM(MID(SUBSTITUTE($F358, ",", REPT(" ", 100)), (COLUMNS($AH$2:AU358)-1)*100+1, 100))</f>
        <v/>
      </c>
      <c r="AV358" t="str">
        <f>TRIM(MID(SUBSTITUTE($F358, ",", REPT(" ", 100)), (COLUMNS($AH$2:AV358)-1)*100+1, 100))</f>
        <v/>
      </c>
      <c r="AW358" t="str">
        <f>TRIM(MID(SUBSTITUTE($F358, ",", REPT(" ", 100)), (COLUMNS($AH$2:AW358)-1)*100+1, 100))</f>
        <v/>
      </c>
      <c r="AX358" t="str">
        <f>TRIM(MID(SUBSTITUTE($F358, ",", REPT(" ", 100)), (COLUMNS($AH$2:AX358)-1)*100+1, 100))</f>
        <v/>
      </c>
      <c r="AY358" t="str">
        <f>TRIM(MID(SUBSTITUTE($F358, ",", REPT(" ", 100)), (COLUMNS($AH$2:AY358)-1)*100+1, 100))</f>
        <v/>
      </c>
      <c r="AZ358" t="str">
        <f>TRIM(MID(SUBSTITUTE($F358, ",", REPT(" ", 100)), (COLUMNS($AH$2:AZ358)-1)*100+1, 100))</f>
        <v/>
      </c>
      <c r="BA358" t="str">
        <f>TRIM(MID(SUBSTITUTE($F358, ",", REPT(" ", 100)), (COLUMNS($AH$2:BA358)-1)*100+1, 100))</f>
        <v/>
      </c>
    </row>
    <row r="359" spans="1:53" x14ac:dyDescent="0.5">
      <c r="A359" s="1">
        <v>46015</v>
      </c>
      <c r="B359" s="2">
        <v>5.3</v>
      </c>
      <c r="C359" s="272"/>
      <c r="D359" s="295"/>
      <c r="E359" s="58">
        <v>1</v>
      </c>
      <c r="F359" s="38" t="s">
        <v>194</v>
      </c>
      <c r="AJ359" t="str">
        <f>TRIM(MID(SUBSTITUTE($F359, ",", REPT(" ", 100)), (COLUMNS($AH$2:AJ359)-1)*100+1, 100))</f>
        <v/>
      </c>
      <c r="AK359" s="1">
        <v>46015</v>
      </c>
      <c r="AL359" s="2"/>
      <c r="AM359" s="2">
        <v>10</v>
      </c>
      <c r="AO359" t="str">
        <f>TRIM(MID(SUBSTITUTE($F359, ",", REPT(" ", 100)), (COLUMNS($AH$2:AO359)-1)*100+1, 100))</f>
        <v/>
      </c>
      <c r="AP359" t="str">
        <f>TRIM(MID(SUBSTITUTE($F359, ",", REPT(" ", 100)), (COLUMNS($AH$2:AP359)-1)*100+1, 100))</f>
        <v/>
      </c>
      <c r="AQ359" t="str">
        <f>TRIM(MID(SUBSTITUTE($F359, ",", REPT(" ", 100)), (COLUMNS($AH$2:AQ359)-1)*100+1, 100))</f>
        <v/>
      </c>
      <c r="AR359" t="str">
        <f>TRIM(MID(SUBSTITUTE($F359, ",", REPT(" ", 100)), (COLUMNS($AH$2:AR359)-1)*100+1, 100))</f>
        <v/>
      </c>
      <c r="AS359" t="str">
        <f>TRIM(MID(SUBSTITUTE($F359, ",", REPT(" ", 100)), (COLUMNS($AH$2:AS359)-1)*100+1, 100))</f>
        <v/>
      </c>
      <c r="AT359" t="str">
        <f>TRIM(MID(SUBSTITUTE($F359, ",", REPT(" ", 100)), (COLUMNS($AH$2:AT359)-1)*100+1, 100))</f>
        <v/>
      </c>
      <c r="AU359" t="str">
        <f>TRIM(MID(SUBSTITUTE($F359, ",", REPT(" ", 100)), (COLUMNS($AH$2:AU359)-1)*100+1, 100))</f>
        <v/>
      </c>
      <c r="AV359" t="str">
        <f>TRIM(MID(SUBSTITUTE($F359, ",", REPT(" ", 100)), (COLUMNS($AH$2:AV359)-1)*100+1, 100))</f>
        <v/>
      </c>
      <c r="AW359" t="str">
        <f>TRIM(MID(SUBSTITUTE($F359, ",", REPT(" ", 100)), (COLUMNS($AH$2:AW359)-1)*100+1, 100))</f>
        <v/>
      </c>
      <c r="AX359" t="str">
        <f>TRIM(MID(SUBSTITUTE($F359, ",", REPT(" ", 100)), (COLUMNS($AH$2:AX359)-1)*100+1, 100))</f>
        <v/>
      </c>
      <c r="AY359" t="str">
        <f>TRIM(MID(SUBSTITUTE($F359, ",", REPT(" ", 100)), (COLUMNS($AH$2:AY359)-1)*100+1, 100))</f>
        <v/>
      </c>
      <c r="AZ359" t="str">
        <f>TRIM(MID(SUBSTITUTE($F359, ",", REPT(" ", 100)), (COLUMNS($AH$2:AZ359)-1)*100+1, 100))</f>
        <v/>
      </c>
      <c r="BA359" t="str">
        <f>TRIM(MID(SUBSTITUTE($F359, ",", REPT(" ", 100)), (COLUMNS($AH$2:BA359)-1)*100+1, 100))</f>
        <v/>
      </c>
    </row>
    <row r="360" spans="1:53" x14ac:dyDescent="0.5">
      <c r="A360" s="1">
        <v>46016</v>
      </c>
      <c r="B360" s="2">
        <v>6</v>
      </c>
      <c r="C360" s="272"/>
      <c r="D360" s="295"/>
      <c r="E360" s="58">
        <v>1</v>
      </c>
      <c r="F360" s="38" t="s">
        <v>194</v>
      </c>
      <c r="AJ360" t="str">
        <f>TRIM(MID(SUBSTITUTE($F360, ",", REPT(" ", 100)), (COLUMNS($AH$2:AJ360)-1)*100+1, 100))</f>
        <v/>
      </c>
      <c r="AK360" s="1">
        <v>46016</v>
      </c>
      <c r="AL360" s="2"/>
      <c r="AM360" s="2">
        <v>6</v>
      </c>
      <c r="AO360" t="str">
        <f>TRIM(MID(SUBSTITUTE($F360, ",", REPT(" ", 100)), (COLUMNS($AH$2:AO360)-1)*100+1, 100))</f>
        <v/>
      </c>
      <c r="AP360" t="str">
        <f>TRIM(MID(SUBSTITUTE($F360, ",", REPT(" ", 100)), (COLUMNS($AH$2:AP360)-1)*100+1, 100))</f>
        <v/>
      </c>
      <c r="AQ360" t="str">
        <f>TRIM(MID(SUBSTITUTE($F360, ",", REPT(" ", 100)), (COLUMNS($AH$2:AQ360)-1)*100+1, 100))</f>
        <v/>
      </c>
      <c r="AR360" t="str">
        <f>TRIM(MID(SUBSTITUTE($F360, ",", REPT(" ", 100)), (COLUMNS($AH$2:AR360)-1)*100+1, 100))</f>
        <v/>
      </c>
      <c r="AS360" t="str">
        <f>TRIM(MID(SUBSTITUTE($F360, ",", REPT(" ", 100)), (COLUMNS($AH$2:AS360)-1)*100+1, 100))</f>
        <v/>
      </c>
      <c r="AT360" t="str">
        <f>TRIM(MID(SUBSTITUTE($F360, ",", REPT(" ", 100)), (COLUMNS($AH$2:AT360)-1)*100+1, 100))</f>
        <v/>
      </c>
      <c r="AU360" t="str">
        <f>TRIM(MID(SUBSTITUTE($F360, ",", REPT(" ", 100)), (COLUMNS($AH$2:AU360)-1)*100+1, 100))</f>
        <v/>
      </c>
      <c r="AV360" t="str">
        <f>TRIM(MID(SUBSTITUTE($F360, ",", REPT(" ", 100)), (COLUMNS($AH$2:AV360)-1)*100+1, 100))</f>
        <v/>
      </c>
      <c r="AW360" t="str">
        <f>TRIM(MID(SUBSTITUTE($F360, ",", REPT(" ", 100)), (COLUMNS($AH$2:AW360)-1)*100+1, 100))</f>
        <v/>
      </c>
      <c r="AX360" t="str">
        <f>TRIM(MID(SUBSTITUTE($F360, ",", REPT(" ", 100)), (COLUMNS($AH$2:AX360)-1)*100+1, 100))</f>
        <v/>
      </c>
      <c r="AY360" t="str">
        <f>TRIM(MID(SUBSTITUTE($F360, ",", REPT(" ", 100)), (COLUMNS($AH$2:AY360)-1)*100+1, 100))</f>
        <v/>
      </c>
      <c r="AZ360" t="str">
        <f>TRIM(MID(SUBSTITUTE($F360, ",", REPT(" ", 100)), (COLUMNS($AH$2:AZ360)-1)*100+1, 100))</f>
        <v/>
      </c>
      <c r="BA360" t="str">
        <f>TRIM(MID(SUBSTITUTE($F360, ",", REPT(" ", 100)), (COLUMNS($AH$2:BA360)-1)*100+1, 100))</f>
        <v/>
      </c>
    </row>
    <row r="361" spans="1:53" x14ac:dyDescent="0.5">
      <c r="A361" s="1">
        <v>46017</v>
      </c>
      <c r="B361" s="2">
        <v>9.5</v>
      </c>
      <c r="C361" s="272"/>
      <c r="D361" s="295"/>
      <c r="E361" s="58">
        <v>1</v>
      </c>
      <c r="F361" s="38" t="s">
        <v>195</v>
      </c>
      <c r="AJ361" t="str">
        <f>TRIM(MID(SUBSTITUTE($F361, ",", REPT(" ", 100)), (COLUMNS($AH$2:AJ361)-1)*100+1, 100))</f>
        <v/>
      </c>
      <c r="AK361" s="1">
        <v>46017</v>
      </c>
      <c r="AL361" s="2"/>
      <c r="AM361" s="2">
        <v>4</v>
      </c>
      <c r="AO361" t="str">
        <f>TRIM(MID(SUBSTITUTE($F361, ",", REPT(" ", 100)), (COLUMNS($AH$2:AO361)-1)*100+1, 100))</f>
        <v/>
      </c>
      <c r="AP361" t="str">
        <f>TRIM(MID(SUBSTITUTE($F361, ",", REPT(" ", 100)), (COLUMNS($AH$2:AP361)-1)*100+1, 100))</f>
        <v/>
      </c>
      <c r="AQ361" t="str">
        <f>TRIM(MID(SUBSTITUTE($F361, ",", REPT(" ", 100)), (COLUMNS($AH$2:AQ361)-1)*100+1, 100))</f>
        <v/>
      </c>
      <c r="AR361" t="str">
        <f>TRIM(MID(SUBSTITUTE($F361, ",", REPT(" ", 100)), (COLUMNS($AH$2:AR361)-1)*100+1, 100))</f>
        <v/>
      </c>
      <c r="AS361" t="str">
        <f>TRIM(MID(SUBSTITUTE($F361, ",", REPT(" ", 100)), (COLUMNS($AH$2:AS361)-1)*100+1, 100))</f>
        <v/>
      </c>
      <c r="AT361" t="str">
        <f>TRIM(MID(SUBSTITUTE($F361, ",", REPT(" ", 100)), (COLUMNS($AH$2:AT361)-1)*100+1, 100))</f>
        <v/>
      </c>
      <c r="AU361" t="str">
        <f>TRIM(MID(SUBSTITUTE($F361, ",", REPT(" ", 100)), (COLUMNS($AH$2:AU361)-1)*100+1, 100))</f>
        <v/>
      </c>
      <c r="AV361" t="str">
        <f>TRIM(MID(SUBSTITUTE($F361, ",", REPT(" ", 100)), (COLUMNS($AH$2:AV361)-1)*100+1, 100))</f>
        <v/>
      </c>
      <c r="AW361" t="str">
        <f>TRIM(MID(SUBSTITUTE($F361, ",", REPT(" ", 100)), (COLUMNS($AH$2:AW361)-1)*100+1, 100))</f>
        <v/>
      </c>
      <c r="AX361" t="str">
        <f>TRIM(MID(SUBSTITUTE($F361, ",", REPT(" ", 100)), (COLUMNS($AH$2:AX361)-1)*100+1, 100))</f>
        <v/>
      </c>
      <c r="AY361" t="str">
        <f>TRIM(MID(SUBSTITUTE($F361, ",", REPT(" ", 100)), (COLUMNS($AH$2:AY361)-1)*100+1, 100))</f>
        <v/>
      </c>
      <c r="AZ361" t="str">
        <f>TRIM(MID(SUBSTITUTE($F361, ",", REPT(" ", 100)), (COLUMNS($AH$2:AZ361)-1)*100+1, 100))</f>
        <v/>
      </c>
      <c r="BA361" t="str">
        <f>TRIM(MID(SUBSTITUTE($F361, ",", REPT(" ", 100)), (COLUMNS($AH$2:BA361)-1)*100+1, 100))</f>
        <v/>
      </c>
    </row>
    <row r="362" spans="1:53" x14ac:dyDescent="0.5">
      <c r="A362" s="1">
        <v>46018</v>
      </c>
      <c r="B362" s="2">
        <v>6</v>
      </c>
      <c r="C362" s="272"/>
      <c r="D362" s="295"/>
      <c r="E362" s="58">
        <v>1</v>
      </c>
      <c r="F362" s="38" t="s">
        <v>194</v>
      </c>
      <c r="AJ362" t="str">
        <f>TRIM(MID(SUBSTITUTE($F362, ",", REPT(" ", 100)), (COLUMNS($AH$2:AJ362)-1)*100+1, 100))</f>
        <v/>
      </c>
      <c r="AK362" s="1">
        <v>46018</v>
      </c>
      <c r="AL362" s="2"/>
      <c r="AM362" s="2">
        <v>4</v>
      </c>
      <c r="AO362" t="str">
        <f>TRIM(MID(SUBSTITUTE($F362, ",", REPT(" ", 100)), (COLUMNS($AH$2:AO362)-1)*100+1, 100))</f>
        <v/>
      </c>
      <c r="AP362" t="str">
        <f>TRIM(MID(SUBSTITUTE($F362, ",", REPT(" ", 100)), (COLUMNS($AH$2:AP362)-1)*100+1, 100))</f>
        <v/>
      </c>
      <c r="AQ362" t="str">
        <f>TRIM(MID(SUBSTITUTE($F362, ",", REPT(" ", 100)), (COLUMNS($AH$2:AQ362)-1)*100+1, 100))</f>
        <v/>
      </c>
      <c r="AR362" t="str">
        <f>TRIM(MID(SUBSTITUTE($F362, ",", REPT(" ", 100)), (COLUMNS($AH$2:AR362)-1)*100+1, 100))</f>
        <v/>
      </c>
      <c r="AS362" t="str">
        <f>TRIM(MID(SUBSTITUTE($F362, ",", REPT(" ", 100)), (COLUMNS($AH$2:AS362)-1)*100+1, 100))</f>
        <v/>
      </c>
      <c r="AT362" t="str">
        <f>TRIM(MID(SUBSTITUTE($F362, ",", REPT(" ", 100)), (COLUMNS($AH$2:AT362)-1)*100+1, 100))</f>
        <v/>
      </c>
      <c r="AU362" t="str">
        <f>TRIM(MID(SUBSTITUTE($F362, ",", REPT(" ", 100)), (COLUMNS($AH$2:AU362)-1)*100+1, 100))</f>
        <v/>
      </c>
      <c r="AV362" t="str">
        <f>TRIM(MID(SUBSTITUTE($F362, ",", REPT(" ", 100)), (COLUMNS($AH$2:AV362)-1)*100+1, 100))</f>
        <v/>
      </c>
      <c r="AW362" t="str">
        <f>TRIM(MID(SUBSTITUTE($F362, ",", REPT(" ", 100)), (COLUMNS($AH$2:AW362)-1)*100+1, 100))</f>
        <v/>
      </c>
      <c r="AX362" t="str">
        <f>TRIM(MID(SUBSTITUTE($F362, ",", REPT(" ", 100)), (COLUMNS($AH$2:AX362)-1)*100+1, 100))</f>
        <v/>
      </c>
      <c r="AY362" t="str">
        <f>TRIM(MID(SUBSTITUTE($F362, ",", REPT(" ", 100)), (COLUMNS($AH$2:AY362)-1)*100+1, 100))</f>
        <v/>
      </c>
      <c r="AZ362" t="str">
        <f>TRIM(MID(SUBSTITUTE($F362, ",", REPT(" ", 100)), (COLUMNS($AH$2:AZ362)-1)*100+1, 100))</f>
        <v/>
      </c>
      <c r="BA362" t="str">
        <f>TRIM(MID(SUBSTITUTE($F362, ",", REPT(" ", 100)), (COLUMNS($AH$2:BA362)-1)*100+1, 100))</f>
        <v/>
      </c>
    </row>
    <row r="363" spans="1:53" x14ac:dyDescent="0.5">
      <c r="A363" s="1">
        <v>46019</v>
      </c>
      <c r="B363" s="2">
        <v>8</v>
      </c>
      <c r="C363" s="272"/>
      <c r="D363" s="295"/>
      <c r="E363" s="58">
        <v>0</v>
      </c>
      <c r="F363" s="38" t="s">
        <v>194</v>
      </c>
      <c r="AJ363" t="str">
        <f>TRIM(MID(SUBSTITUTE($F363, ",", REPT(" ", 100)), (COLUMNS($AH$2:AJ363)-1)*100+1, 100))</f>
        <v/>
      </c>
      <c r="AK363" s="1">
        <v>46019</v>
      </c>
      <c r="AL363" s="2"/>
      <c r="AM363" s="2">
        <v>4</v>
      </c>
      <c r="AO363" t="str">
        <f>TRIM(MID(SUBSTITUTE($F363, ",", REPT(" ", 100)), (COLUMNS($AH$2:AO363)-1)*100+1, 100))</f>
        <v/>
      </c>
      <c r="AP363" t="str">
        <f>TRIM(MID(SUBSTITUTE($F363, ",", REPT(" ", 100)), (COLUMNS($AH$2:AP363)-1)*100+1, 100))</f>
        <v/>
      </c>
      <c r="AQ363" t="str">
        <f>TRIM(MID(SUBSTITUTE($F363, ",", REPT(" ", 100)), (COLUMNS($AH$2:AQ363)-1)*100+1, 100))</f>
        <v/>
      </c>
      <c r="AR363" t="str">
        <f>TRIM(MID(SUBSTITUTE($F363, ",", REPT(" ", 100)), (COLUMNS($AH$2:AR363)-1)*100+1, 100))</f>
        <v/>
      </c>
      <c r="AS363" t="str">
        <f>TRIM(MID(SUBSTITUTE($F363, ",", REPT(" ", 100)), (COLUMNS($AH$2:AS363)-1)*100+1, 100))</f>
        <v/>
      </c>
      <c r="AT363" t="str">
        <f>TRIM(MID(SUBSTITUTE($F363, ",", REPT(" ", 100)), (COLUMNS($AH$2:AT363)-1)*100+1, 100))</f>
        <v/>
      </c>
      <c r="AU363" t="str">
        <f>TRIM(MID(SUBSTITUTE($F363, ",", REPT(" ", 100)), (COLUMNS($AH$2:AU363)-1)*100+1, 100))</f>
        <v/>
      </c>
      <c r="AV363" t="str">
        <f>TRIM(MID(SUBSTITUTE($F363, ",", REPT(" ", 100)), (COLUMNS($AH$2:AV363)-1)*100+1, 100))</f>
        <v/>
      </c>
      <c r="AW363" t="str">
        <f>TRIM(MID(SUBSTITUTE($F363, ",", REPT(" ", 100)), (COLUMNS($AH$2:AW363)-1)*100+1, 100))</f>
        <v/>
      </c>
      <c r="AX363" t="str">
        <f>TRIM(MID(SUBSTITUTE($F363, ",", REPT(" ", 100)), (COLUMNS($AH$2:AX363)-1)*100+1, 100))</f>
        <v/>
      </c>
      <c r="AY363" t="str">
        <f>TRIM(MID(SUBSTITUTE($F363, ",", REPT(" ", 100)), (COLUMNS($AH$2:AY363)-1)*100+1, 100))</f>
        <v/>
      </c>
      <c r="AZ363" t="str">
        <f>TRIM(MID(SUBSTITUTE($F363, ",", REPT(" ", 100)), (COLUMNS($AH$2:AZ363)-1)*100+1, 100))</f>
        <v/>
      </c>
      <c r="BA363" t="str">
        <f>TRIM(MID(SUBSTITUTE($F363, ",", REPT(" ", 100)), (COLUMNS($AH$2:BA363)-1)*100+1, 100))</f>
        <v/>
      </c>
    </row>
    <row r="364" spans="1:53" x14ac:dyDescent="0.5">
      <c r="A364" s="1">
        <v>46020</v>
      </c>
      <c r="B364" s="2">
        <v>4.8</v>
      </c>
      <c r="C364" s="272"/>
      <c r="D364" s="295"/>
      <c r="E364" s="58">
        <v>0</v>
      </c>
      <c r="F364" s="38" t="s">
        <v>194</v>
      </c>
      <c r="AJ364" t="str">
        <f>TRIM(MID(SUBSTITUTE($F364, ",", REPT(" ", 100)), (COLUMNS($AH$2:AJ364)-1)*100+1, 100))</f>
        <v/>
      </c>
      <c r="AK364" s="1">
        <v>46020</v>
      </c>
      <c r="AL364" s="2"/>
      <c r="AM364" s="2">
        <v>6</v>
      </c>
      <c r="AO364" t="str">
        <f>TRIM(MID(SUBSTITUTE($F364, ",", REPT(" ", 100)), (COLUMNS($AH$2:AO364)-1)*100+1, 100))</f>
        <v/>
      </c>
      <c r="AP364" t="str">
        <f>TRIM(MID(SUBSTITUTE($F364, ",", REPT(" ", 100)), (COLUMNS($AH$2:AP364)-1)*100+1, 100))</f>
        <v/>
      </c>
      <c r="AQ364" t="str">
        <f>TRIM(MID(SUBSTITUTE($F364, ",", REPT(" ", 100)), (COLUMNS($AH$2:AQ364)-1)*100+1, 100))</f>
        <v/>
      </c>
      <c r="AR364" t="str">
        <f>TRIM(MID(SUBSTITUTE($F364, ",", REPT(" ", 100)), (COLUMNS($AH$2:AR364)-1)*100+1, 100))</f>
        <v/>
      </c>
      <c r="AS364" t="str">
        <f>TRIM(MID(SUBSTITUTE($F364, ",", REPT(" ", 100)), (COLUMNS($AH$2:AS364)-1)*100+1, 100))</f>
        <v/>
      </c>
      <c r="AT364" t="str">
        <f>TRIM(MID(SUBSTITUTE($F364, ",", REPT(" ", 100)), (COLUMNS($AH$2:AT364)-1)*100+1, 100))</f>
        <v/>
      </c>
      <c r="AU364" t="str">
        <f>TRIM(MID(SUBSTITUTE($F364, ",", REPT(" ", 100)), (COLUMNS($AH$2:AU364)-1)*100+1, 100))</f>
        <v/>
      </c>
      <c r="AV364" t="str">
        <f>TRIM(MID(SUBSTITUTE($F364, ",", REPT(" ", 100)), (COLUMNS($AH$2:AV364)-1)*100+1, 100))</f>
        <v/>
      </c>
      <c r="AW364" t="str">
        <f>TRIM(MID(SUBSTITUTE($F364, ",", REPT(" ", 100)), (COLUMNS($AH$2:AW364)-1)*100+1, 100))</f>
        <v/>
      </c>
      <c r="AX364" t="str">
        <f>TRIM(MID(SUBSTITUTE($F364, ",", REPT(" ", 100)), (COLUMNS($AH$2:AX364)-1)*100+1, 100))</f>
        <v/>
      </c>
      <c r="AY364" t="str">
        <f>TRIM(MID(SUBSTITUTE($F364, ",", REPT(" ", 100)), (COLUMNS($AH$2:AY364)-1)*100+1, 100))</f>
        <v/>
      </c>
      <c r="AZ364" t="str">
        <f>TRIM(MID(SUBSTITUTE($F364, ",", REPT(" ", 100)), (COLUMNS($AH$2:AZ364)-1)*100+1, 100))</f>
        <v/>
      </c>
      <c r="BA364" t="str">
        <f>TRIM(MID(SUBSTITUTE($F364, ",", REPT(" ", 100)), (COLUMNS($AH$2:BA364)-1)*100+1, 100))</f>
        <v/>
      </c>
    </row>
    <row r="365" spans="1:53" x14ac:dyDescent="0.5">
      <c r="A365" s="1">
        <v>46021</v>
      </c>
      <c r="B365" s="2">
        <v>5</v>
      </c>
      <c r="C365" s="272"/>
      <c r="D365" s="295"/>
      <c r="E365" s="58">
        <v>1</v>
      </c>
      <c r="F365" s="38" t="s">
        <v>194</v>
      </c>
      <c r="AJ365" t="str">
        <f>TRIM(MID(SUBSTITUTE($F365, ",", REPT(" ", 100)), (COLUMNS($AH$2:AJ365)-1)*100+1, 100))</f>
        <v/>
      </c>
      <c r="AK365" s="1">
        <v>46021</v>
      </c>
      <c r="AL365" s="2"/>
      <c r="AM365" s="2">
        <v>4</v>
      </c>
      <c r="AO365" t="str">
        <f>TRIM(MID(SUBSTITUTE($F365, ",", REPT(" ", 100)), (COLUMNS($AH$2:AO365)-1)*100+1, 100))</f>
        <v/>
      </c>
      <c r="AP365" t="str">
        <f>TRIM(MID(SUBSTITUTE($F365, ",", REPT(" ", 100)), (COLUMNS($AH$2:AP365)-1)*100+1, 100))</f>
        <v/>
      </c>
      <c r="AQ365" t="str">
        <f>TRIM(MID(SUBSTITUTE($F365, ",", REPT(" ", 100)), (COLUMNS($AH$2:AQ365)-1)*100+1, 100))</f>
        <v/>
      </c>
      <c r="AR365" t="str">
        <f>TRIM(MID(SUBSTITUTE($F365, ",", REPT(" ", 100)), (COLUMNS($AH$2:AR365)-1)*100+1, 100))</f>
        <v/>
      </c>
      <c r="AS365" t="str">
        <f>TRIM(MID(SUBSTITUTE($F365, ",", REPT(" ", 100)), (COLUMNS($AH$2:AS365)-1)*100+1, 100))</f>
        <v/>
      </c>
      <c r="AT365" t="str">
        <f>TRIM(MID(SUBSTITUTE($F365, ",", REPT(" ", 100)), (COLUMNS($AH$2:AT365)-1)*100+1, 100))</f>
        <v/>
      </c>
      <c r="AU365" t="str">
        <f>TRIM(MID(SUBSTITUTE($F365, ",", REPT(" ", 100)), (COLUMNS($AH$2:AU365)-1)*100+1, 100))</f>
        <v/>
      </c>
      <c r="AV365" t="str">
        <f>TRIM(MID(SUBSTITUTE($F365, ",", REPT(" ", 100)), (COLUMNS($AH$2:AV365)-1)*100+1, 100))</f>
        <v/>
      </c>
      <c r="AW365" t="str">
        <f>TRIM(MID(SUBSTITUTE($F365, ",", REPT(" ", 100)), (COLUMNS($AH$2:AW365)-1)*100+1, 100))</f>
        <v/>
      </c>
      <c r="AX365" t="str">
        <f>TRIM(MID(SUBSTITUTE($F365, ",", REPT(" ", 100)), (COLUMNS($AH$2:AX365)-1)*100+1, 100))</f>
        <v/>
      </c>
      <c r="AY365" t="str">
        <f>TRIM(MID(SUBSTITUTE($F365, ",", REPT(" ", 100)), (COLUMNS($AH$2:AY365)-1)*100+1, 100))</f>
        <v/>
      </c>
      <c r="AZ365" t="str">
        <f>TRIM(MID(SUBSTITUTE($F365, ",", REPT(" ", 100)), (COLUMNS($AH$2:AZ365)-1)*100+1, 100))</f>
        <v/>
      </c>
      <c r="BA365" t="str">
        <f>TRIM(MID(SUBSTITUTE($F365, ",", REPT(" ", 100)), (COLUMNS($AH$2:BA365)-1)*100+1, 100))</f>
        <v/>
      </c>
    </row>
    <row r="366" spans="1:53" x14ac:dyDescent="0.5">
      <c r="A366" s="1">
        <v>46022</v>
      </c>
      <c r="B366" s="2">
        <v>6</v>
      </c>
      <c r="C366" s="272"/>
      <c r="D366" s="295"/>
      <c r="E366" s="58">
        <v>1</v>
      </c>
      <c r="F366" s="38" t="s">
        <v>194</v>
      </c>
      <c r="AJ366" t="str">
        <f>TRIM(MID(SUBSTITUTE($F366, ",", REPT(" ", 100)), (COLUMNS($AH$2:AJ366)-1)*100+1, 100))</f>
        <v/>
      </c>
      <c r="AK366" s="1">
        <v>46022</v>
      </c>
      <c r="AL366" s="2"/>
      <c r="AM366" s="2">
        <v>6</v>
      </c>
      <c r="AO366" t="str">
        <f>TRIM(MID(SUBSTITUTE($F366, ",", REPT(" ", 100)), (COLUMNS($AH$2:AO366)-1)*100+1, 100))</f>
        <v/>
      </c>
      <c r="AP366" t="str">
        <f>TRIM(MID(SUBSTITUTE($F366, ",", REPT(" ", 100)), (COLUMNS($AH$2:AP366)-1)*100+1, 100))</f>
        <v/>
      </c>
      <c r="AQ366" t="str">
        <f>TRIM(MID(SUBSTITUTE($F366, ",", REPT(" ", 100)), (COLUMNS($AH$2:AQ366)-1)*100+1, 100))</f>
        <v/>
      </c>
      <c r="AR366" t="str">
        <f>TRIM(MID(SUBSTITUTE($F366, ",", REPT(" ", 100)), (COLUMNS($AH$2:AR366)-1)*100+1, 100))</f>
        <v/>
      </c>
      <c r="AS366" t="str">
        <f>TRIM(MID(SUBSTITUTE($F366, ",", REPT(" ", 100)), (COLUMNS($AH$2:AS366)-1)*100+1, 100))</f>
        <v/>
      </c>
      <c r="AT366" t="str">
        <f>TRIM(MID(SUBSTITUTE($F366, ",", REPT(" ", 100)), (COLUMNS($AH$2:AT366)-1)*100+1, 100))</f>
        <v/>
      </c>
      <c r="AU366" t="str">
        <f>TRIM(MID(SUBSTITUTE($F366, ",", REPT(" ", 100)), (COLUMNS($AH$2:AU366)-1)*100+1, 100))</f>
        <v/>
      </c>
      <c r="AV366" t="str">
        <f>TRIM(MID(SUBSTITUTE($F366, ",", REPT(" ", 100)), (COLUMNS($AH$2:AV366)-1)*100+1, 100))</f>
        <v/>
      </c>
      <c r="AW366" t="str">
        <f>TRIM(MID(SUBSTITUTE($F366, ",", REPT(" ", 100)), (COLUMNS($AH$2:AW366)-1)*100+1, 100))</f>
        <v/>
      </c>
      <c r="AX366" t="str">
        <f>TRIM(MID(SUBSTITUTE($F366, ",", REPT(" ", 100)), (COLUMNS($AH$2:AX366)-1)*100+1, 100))</f>
        <v/>
      </c>
      <c r="AY366" t="str">
        <f>TRIM(MID(SUBSTITUTE($F366, ",", REPT(" ", 100)), (COLUMNS($AH$2:AY366)-1)*100+1, 100))</f>
        <v/>
      </c>
      <c r="AZ366" t="str">
        <f>TRIM(MID(SUBSTITUTE($F366, ",", REPT(" ", 100)), (COLUMNS($AH$2:AZ366)-1)*100+1, 100))</f>
        <v/>
      </c>
      <c r="BA366" t="str">
        <f>TRIM(MID(SUBSTITUTE($F366, ",", REPT(" ", 100)), (COLUMNS($AH$2:BA366)-1)*100+1, 100))</f>
        <v/>
      </c>
    </row>
    <row r="367" spans="1:53" x14ac:dyDescent="0.5">
      <c r="A367" s="49"/>
      <c r="B367" s="5"/>
      <c r="C367" s="50"/>
    </row>
  </sheetData>
  <mergeCells count="24">
    <mergeCell ref="C306:C335"/>
    <mergeCell ref="C336:C366"/>
    <mergeCell ref="G287:G290"/>
    <mergeCell ref="H11:I11"/>
    <mergeCell ref="H13:I14"/>
    <mergeCell ref="C183:C213"/>
    <mergeCell ref="C2:C32"/>
    <mergeCell ref="C214:C244"/>
    <mergeCell ref="C245:C274"/>
    <mergeCell ref="C275:C305"/>
    <mergeCell ref="C33:C60"/>
    <mergeCell ref="C61:C91"/>
    <mergeCell ref="C92:C121"/>
    <mergeCell ref="C122:C152"/>
    <mergeCell ref="C153:C182"/>
    <mergeCell ref="U5:U8"/>
    <mergeCell ref="U9:U12"/>
    <mergeCell ref="U13:U16"/>
    <mergeCell ref="G237:G241"/>
    <mergeCell ref="D2:D366"/>
    <mergeCell ref="J13:J14"/>
    <mergeCell ref="N5:N16"/>
    <mergeCell ref="H1:J2"/>
    <mergeCell ref="G307:G308"/>
  </mergeCells>
  <phoneticPr fontId="1" type="noConversion"/>
  <conditionalFormatting sqref="B2:B36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6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 C2 C61 C9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2:U6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2:V6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2:W6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2:W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:AE2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3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3:AL6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1:AL9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2:AL1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2:AL3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3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3:AM6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1:AM8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2:AM8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5:AM8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8:AM9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2:AM1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2:AM3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3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6"/>
  <sheetViews>
    <sheetView zoomScale="41" zoomScaleNormal="70" workbookViewId="0">
      <selection activeCell="K19" sqref="K19:K30"/>
    </sheetView>
  </sheetViews>
  <sheetFormatPr defaultRowHeight="14" x14ac:dyDescent="0.45"/>
  <cols>
    <col min="1" max="1" width="13.5859375" style="5" customWidth="1"/>
    <col min="2" max="2" width="4.9375" style="5" bestFit="1" customWidth="1"/>
    <col min="3" max="3" width="11.76171875" style="5" bestFit="1" customWidth="1"/>
    <col min="4" max="4" width="11.76171875" style="3" bestFit="1" customWidth="1"/>
    <col min="5" max="5" width="8.9375" style="3"/>
    <col min="6" max="6" width="11.52734375" style="3" bestFit="1" customWidth="1"/>
    <col min="7" max="7" width="5.5859375" style="4" bestFit="1" customWidth="1"/>
    <col min="8" max="8" width="14.3515625" style="3" bestFit="1" customWidth="1"/>
    <col min="9" max="9" width="12.1171875" style="3" bestFit="1" customWidth="1"/>
    <col min="10" max="10" width="8.9375" style="3" bestFit="1" customWidth="1"/>
    <col min="11" max="11" width="9.46875" style="5" bestFit="1" customWidth="1"/>
    <col min="12" max="12" width="12.1171875" style="3" bestFit="1" customWidth="1"/>
    <col min="13" max="13" width="12" style="5" bestFit="1" customWidth="1"/>
    <col min="14" max="14" width="9.46875" style="5" bestFit="1" customWidth="1"/>
    <col min="15" max="15" width="9.234375" style="5" bestFit="1" customWidth="1"/>
    <col min="16" max="16" width="6.9375" style="5" bestFit="1" customWidth="1"/>
    <col min="17" max="17" width="8.1171875" style="5" bestFit="1" customWidth="1"/>
    <col min="18" max="18" width="11.46875" style="5" bestFit="1" customWidth="1"/>
    <col min="19" max="16384" width="8.9375" style="3"/>
  </cols>
  <sheetData>
    <row r="1" spans="1:4" x14ac:dyDescent="0.45">
      <c r="A1" s="1">
        <v>45292</v>
      </c>
      <c r="B1" s="2">
        <v>6</v>
      </c>
      <c r="C1" s="272">
        <f>AVERAGE(B1:B31)</f>
        <v>5.290322580645161</v>
      </c>
      <c r="D1" s="301">
        <f>AVERAGE(B1:B366)</f>
        <v>5.1967213114754101</v>
      </c>
    </row>
    <row r="2" spans="1:4" x14ac:dyDescent="0.45">
      <c r="A2" s="1">
        <v>45293</v>
      </c>
      <c r="B2" s="2">
        <v>4</v>
      </c>
      <c r="C2" s="272"/>
      <c r="D2" s="301"/>
    </row>
    <row r="3" spans="1:4" x14ac:dyDescent="0.45">
      <c r="A3" s="1">
        <v>45294</v>
      </c>
      <c r="B3" s="2">
        <v>6</v>
      </c>
      <c r="C3" s="272"/>
      <c r="D3" s="301"/>
    </row>
    <row r="4" spans="1:4" x14ac:dyDescent="0.45">
      <c r="A4" s="1">
        <v>45295</v>
      </c>
      <c r="B4" s="2">
        <v>8</v>
      </c>
      <c r="C4" s="272"/>
      <c r="D4" s="301"/>
    </row>
    <row r="5" spans="1:4" x14ac:dyDescent="0.45">
      <c r="A5" s="1">
        <v>45296</v>
      </c>
      <c r="B5" s="2">
        <v>6</v>
      </c>
      <c r="C5" s="272"/>
      <c r="D5" s="301"/>
    </row>
    <row r="6" spans="1:4" x14ac:dyDescent="0.45">
      <c r="A6" s="1">
        <v>45297</v>
      </c>
      <c r="B6" s="2">
        <v>8</v>
      </c>
      <c r="C6" s="272"/>
      <c r="D6" s="301"/>
    </row>
    <row r="7" spans="1:4" x14ac:dyDescent="0.45">
      <c r="A7" s="1">
        <v>45298</v>
      </c>
      <c r="B7" s="2">
        <v>0</v>
      </c>
      <c r="C7" s="272"/>
      <c r="D7" s="301"/>
    </row>
    <row r="8" spans="1:4" x14ac:dyDescent="0.45">
      <c r="A8" s="1">
        <v>45299</v>
      </c>
      <c r="B8" s="2">
        <v>4</v>
      </c>
      <c r="C8" s="272"/>
      <c r="D8" s="301"/>
    </row>
    <row r="9" spans="1:4" x14ac:dyDescent="0.45">
      <c r="A9" s="1">
        <v>45300</v>
      </c>
      <c r="B9" s="2">
        <v>6</v>
      </c>
      <c r="C9" s="272"/>
      <c r="D9" s="301"/>
    </row>
    <row r="10" spans="1:4" x14ac:dyDescent="0.45">
      <c r="A10" s="1">
        <v>45301</v>
      </c>
      <c r="B10" s="2">
        <v>4</v>
      </c>
      <c r="C10" s="272"/>
      <c r="D10" s="301"/>
    </row>
    <row r="11" spans="1:4" x14ac:dyDescent="0.45">
      <c r="A11" s="1">
        <v>45302</v>
      </c>
      <c r="B11" s="2">
        <v>6</v>
      </c>
      <c r="C11" s="272"/>
      <c r="D11" s="301"/>
    </row>
    <row r="12" spans="1:4" x14ac:dyDescent="0.45">
      <c r="A12" s="1">
        <v>45303</v>
      </c>
      <c r="B12" s="2">
        <v>6</v>
      </c>
      <c r="C12" s="272"/>
      <c r="D12" s="301"/>
    </row>
    <row r="13" spans="1:4" x14ac:dyDescent="0.45">
      <c r="A13" s="1">
        <v>45304</v>
      </c>
      <c r="B13" s="2">
        <v>2</v>
      </c>
      <c r="C13" s="272"/>
      <c r="D13" s="301"/>
    </row>
    <row r="14" spans="1:4" x14ac:dyDescent="0.45">
      <c r="A14" s="1">
        <v>45305</v>
      </c>
      <c r="B14" s="2">
        <v>4</v>
      </c>
      <c r="C14" s="272"/>
      <c r="D14" s="301"/>
    </row>
    <row r="15" spans="1:4" x14ac:dyDescent="0.45">
      <c r="A15" s="1">
        <v>45306</v>
      </c>
      <c r="B15" s="2">
        <v>6</v>
      </c>
      <c r="C15" s="272"/>
      <c r="D15" s="301"/>
    </row>
    <row r="16" spans="1:4" x14ac:dyDescent="0.45">
      <c r="A16" s="1">
        <v>45307</v>
      </c>
      <c r="B16" s="2">
        <v>0</v>
      </c>
      <c r="C16" s="272"/>
      <c r="D16" s="301"/>
    </row>
    <row r="17" spans="1:19" ht="14.35" thickBot="1" x14ac:dyDescent="0.5">
      <c r="A17" s="1">
        <v>45308</v>
      </c>
      <c r="B17" s="2">
        <v>6</v>
      </c>
      <c r="C17" s="272"/>
      <c r="D17" s="301"/>
      <c r="F17" s="23"/>
      <c r="G17" s="27" t="s">
        <v>24</v>
      </c>
      <c r="H17" s="28" t="s">
        <v>25</v>
      </c>
    </row>
    <row r="18" spans="1:19" x14ac:dyDescent="0.45">
      <c r="A18" s="1">
        <v>45309</v>
      </c>
      <c r="B18" s="2">
        <v>6</v>
      </c>
      <c r="C18" s="272"/>
      <c r="D18" s="301"/>
      <c r="F18" s="24" t="s">
        <v>0</v>
      </c>
      <c r="G18" s="25">
        <v>10</v>
      </c>
      <c r="H18" s="26">
        <v>13</v>
      </c>
      <c r="I18" s="3">
        <f>AVERAGE(B1:B366)</f>
        <v>5.1967213114754101</v>
      </c>
      <c r="J18" s="6" t="s">
        <v>7</v>
      </c>
      <c r="K18" s="19" t="s">
        <v>20</v>
      </c>
      <c r="L18" s="20" t="s">
        <v>21</v>
      </c>
      <c r="M18" s="22" t="s">
        <v>0</v>
      </c>
      <c r="N18" s="22" t="s">
        <v>1</v>
      </c>
      <c r="O18" s="22" t="s">
        <v>2</v>
      </c>
      <c r="P18" s="22" t="s">
        <v>3</v>
      </c>
      <c r="Q18" s="22" t="s">
        <v>4</v>
      </c>
      <c r="R18" s="22" t="s">
        <v>5</v>
      </c>
      <c r="S18" s="23"/>
    </row>
    <row r="19" spans="1:19" x14ac:dyDescent="0.45">
      <c r="A19" s="1">
        <v>45310</v>
      </c>
      <c r="B19" s="2">
        <v>6</v>
      </c>
      <c r="C19" s="272"/>
      <c r="D19" s="301"/>
      <c r="F19" s="7" t="s">
        <v>1</v>
      </c>
      <c r="G19" s="8">
        <v>8</v>
      </c>
      <c r="H19" s="9">
        <v>33</v>
      </c>
      <c r="J19" s="10" t="s">
        <v>8</v>
      </c>
      <c r="K19" s="29">
        <v>5.290322580645161</v>
      </c>
      <c r="L19" s="299">
        <f>AVERAGE(K19:K30)</f>
        <v>5.1920096403411202</v>
      </c>
      <c r="M19" s="21">
        <f>COUNTIF(B1:B31,G18)</f>
        <v>3</v>
      </c>
      <c r="N19" s="21">
        <f>COUNTIF(B1:B31,G19)</f>
        <v>2</v>
      </c>
      <c r="O19" s="21">
        <f>COUNTIF(B1:B31,G20)</f>
        <v>13</v>
      </c>
      <c r="P19" s="21">
        <f>COUNTIF(B1:B31,G21)</f>
        <v>9</v>
      </c>
      <c r="Q19" s="21">
        <f>COUNTIF(B1:B31,G22)</f>
        <v>2</v>
      </c>
      <c r="R19" s="21">
        <f>COUNTIF(B1:B31,G23)</f>
        <v>2</v>
      </c>
      <c r="S19" s="297">
        <f>AVERAGE(K19:K22)</f>
        <v>4.9297923618835746</v>
      </c>
    </row>
    <row r="20" spans="1:19" x14ac:dyDescent="0.45">
      <c r="A20" s="1">
        <v>45311</v>
      </c>
      <c r="B20" s="2">
        <v>6</v>
      </c>
      <c r="C20" s="272"/>
      <c r="D20" s="301"/>
      <c r="F20" s="11" t="s">
        <v>2</v>
      </c>
      <c r="G20" s="8">
        <v>6</v>
      </c>
      <c r="H20" s="9">
        <v>158</v>
      </c>
      <c r="J20" s="10" t="s">
        <v>9</v>
      </c>
      <c r="K20" s="29">
        <v>4.4137931034482758</v>
      </c>
      <c r="L20" s="299"/>
      <c r="M20" s="21">
        <f>COUNTIF(B32:B60,G18)</f>
        <v>1</v>
      </c>
      <c r="N20" s="21">
        <f>COUNTIF(B32:B60,G19)</f>
        <v>0</v>
      </c>
      <c r="O20" s="21">
        <f>COUNTIF(B32:B60,G20)</f>
        <v>10</v>
      </c>
      <c r="P20" s="21">
        <f>COUNTIF(B32:B60,G21)</f>
        <v>13</v>
      </c>
      <c r="Q20" s="21">
        <f>COUNTIF(B32:B60,G22)</f>
        <v>3</v>
      </c>
      <c r="R20" s="21">
        <f>COUNTIF(B32:B60,G23)</f>
        <v>2</v>
      </c>
      <c r="S20" s="272"/>
    </row>
    <row r="21" spans="1:19" x14ac:dyDescent="0.45">
      <c r="A21" s="1">
        <v>45312</v>
      </c>
      <c r="B21" s="2">
        <v>6</v>
      </c>
      <c r="C21" s="272"/>
      <c r="D21" s="301"/>
      <c r="F21" s="12" t="s">
        <v>3</v>
      </c>
      <c r="G21" s="8">
        <v>4</v>
      </c>
      <c r="H21" s="9">
        <v>127</v>
      </c>
      <c r="J21" s="10" t="s">
        <v>10</v>
      </c>
      <c r="K21" s="29">
        <v>5.5483870967741939</v>
      </c>
      <c r="L21" s="299"/>
      <c r="M21" s="21">
        <f>COUNTIF(B61:B91,G18)</f>
        <v>0</v>
      </c>
      <c r="N21" s="21">
        <f>COUNTIF(B61:B91,G19)</f>
        <v>4</v>
      </c>
      <c r="O21" s="21">
        <f>COUNTIF(B61:B91,G20)</f>
        <v>18</v>
      </c>
      <c r="P21" s="21">
        <f>COUNTIF(B61:B91,G21)</f>
        <v>7</v>
      </c>
      <c r="Q21" s="21">
        <f>COUNTIF(B61:B91,G22)</f>
        <v>2</v>
      </c>
      <c r="R21" s="21">
        <f>COUNTIF(B61:B91,G23)</f>
        <v>0</v>
      </c>
      <c r="S21" s="272"/>
    </row>
    <row r="22" spans="1:19" x14ac:dyDescent="0.45">
      <c r="A22" s="1">
        <v>45313</v>
      </c>
      <c r="B22" s="2">
        <v>4</v>
      </c>
      <c r="C22" s="272"/>
      <c r="D22" s="301"/>
      <c r="F22" s="13" t="s">
        <v>4</v>
      </c>
      <c r="G22" s="8">
        <v>2</v>
      </c>
      <c r="H22" s="9">
        <v>26</v>
      </c>
      <c r="J22" s="10" t="s">
        <v>11</v>
      </c>
      <c r="K22" s="29">
        <v>4.4666666666666668</v>
      </c>
      <c r="L22" s="299"/>
      <c r="M22" s="21">
        <f>COUNTIF(B92:B121,G18)</f>
        <v>0</v>
      </c>
      <c r="N22" s="21">
        <f>COUNTIF(B92:B121,G19)</f>
        <v>1</v>
      </c>
      <c r="O22" s="21">
        <f>COUNTIF(B92:B121,G20)</f>
        <v>11</v>
      </c>
      <c r="P22" s="21">
        <f>COUNTIF(B92:B121,G21)</f>
        <v>14</v>
      </c>
      <c r="Q22" s="21">
        <f>COUNTIF(B92:B121,G22)</f>
        <v>2</v>
      </c>
      <c r="R22" s="21">
        <f>COUNTIF(B92:B121,G23)</f>
        <v>2</v>
      </c>
      <c r="S22" s="272"/>
    </row>
    <row r="23" spans="1:19" ht="14.35" thickBot="1" x14ac:dyDescent="0.5">
      <c r="A23" s="1">
        <v>45314</v>
      </c>
      <c r="B23" s="2">
        <v>4</v>
      </c>
      <c r="C23" s="272"/>
      <c r="D23" s="301"/>
      <c r="F23" s="14" t="s">
        <v>5</v>
      </c>
      <c r="G23" s="15">
        <v>0</v>
      </c>
      <c r="H23" s="16">
        <v>9</v>
      </c>
      <c r="J23" s="10" t="s">
        <v>12</v>
      </c>
      <c r="K23" s="29">
        <v>6.129032258064516</v>
      </c>
      <c r="L23" s="299"/>
      <c r="M23" s="21">
        <f>COUNTIF(B122:B152,G18)</f>
        <v>1</v>
      </c>
      <c r="N23" s="21">
        <f>COUNTIF(B122:B152,G19)</f>
        <v>6</v>
      </c>
      <c r="O23" s="21">
        <f>COUNTIF(B122:B152,G20)</f>
        <v>18</v>
      </c>
      <c r="P23" s="21">
        <f>COUNTIF(B122:B152,G21)</f>
        <v>6</v>
      </c>
      <c r="Q23" s="21">
        <f>COUNTIF(B122:B152,G22)</f>
        <v>0</v>
      </c>
      <c r="R23" s="21">
        <f>COUNTIF(B122:B152,G23)</f>
        <v>0</v>
      </c>
      <c r="S23" s="297">
        <f>AVERAGE(K23:K26)</f>
        <v>5.365591397849462</v>
      </c>
    </row>
    <row r="24" spans="1:19" ht="14.35" thickBot="1" x14ac:dyDescent="0.5">
      <c r="A24" s="1">
        <v>45315</v>
      </c>
      <c r="B24" s="2">
        <v>2</v>
      </c>
      <c r="C24" s="272"/>
      <c r="D24" s="301"/>
      <c r="F24" s="282" t="s">
        <v>6</v>
      </c>
      <c r="G24" s="283"/>
      <c r="H24" s="17">
        <f>SUM(H18:H23)</f>
        <v>366</v>
      </c>
      <c r="J24" s="10" t="s">
        <v>13</v>
      </c>
      <c r="K24" s="29">
        <v>5.333333333333333</v>
      </c>
      <c r="L24" s="299"/>
      <c r="M24" s="21">
        <f>COUNTIF(B153:B182,G18)</f>
        <v>3</v>
      </c>
      <c r="N24" s="21">
        <f>COUNTIF(B153:B182,G19)</f>
        <v>2</v>
      </c>
      <c r="O24" s="21">
        <f>COUNTIF(B153:B182,G20)</f>
        <v>11</v>
      </c>
      <c r="P24" s="21">
        <f>COUNTIF(B153:B182,G21)</f>
        <v>11</v>
      </c>
      <c r="Q24" s="21">
        <f>COUNTIF(B153:B182,G22)</f>
        <v>2</v>
      </c>
      <c r="R24" s="21">
        <f>COUNTIF(B153:B182,G23)</f>
        <v>1</v>
      </c>
      <c r="S24" s="272"/>
    </row>
    <row r="25" spans="1:19" x14ac:dyDescent="0.45">
      <c r="A25" s="1">
        <v>45316</v>
      </c>
      <c r="B25" s="2">
        <v>6</v>
      </c>
      <c r="C25" s="272"/>
      <c r="D25" s="301"/>
      <c r="J25" s="10" t="s">
        <v>14</v>
      </c>
      <c r="K25" s="29">
        <v>5.032258064516129</v>
      </c>
      <c r="L25" s="299"/>
      <c r="M25" s="21">
        <f>COUNTIF(B183:B213,G18)</f>
        <v>2</v>
      </c>
      <c r="N25" s="21">
        <f>COUNTIF(B183:B213,G19)</f>
        <v>1</v>
      </c>
      <c r="O25" s="21">
        <f>COUNTIF(B183:B213,G20)</f>
        <v>11</v>
      </c>
      <c r="P25" s="21">
        <f>COUNTIF(B183:B213,G21)</f>
        <v>14</v>
      </c>
      <c r="Q25" s="21">
        <f>COUNTIF(B183:B213,G22)</f>
        <v>3</v>
      </c>
      <c r="R25" s="21">
        <f>COUNTIF(B183:B213,G23)</f>
        <v>0</v>
      </c>
      <c r="S25" s="272"/>
    </row>
    <row r="26" spans="1:19" x14ac:dyDescent="0.45">
      <c r="A26" s="1">
        <v>45317</v>
      </c>
      <c r="B26" s="2">
        <v>10</v>
      </c>
      <c r="C26" s="272"/>
      <c r="D26" s="301"/>
      <c r="J26" s="10" t="s">
        <v>15</v>
      </c>
      <c r="K26" s="29">
        <v>4.967741935483871</v>
      </c>
      <c r="L26" s="299"/>
      <c r="M26" s="21">
        <f>COUNTIF(B214:B244,G18)</f>
        <v>0</v>
      </c>
      <c r="N26" s="21">
        <f>COUNTIF(B214:B244,G19)</f>
        <v>2</v>
      </c>
      <c r="O26" s="21">
        <f>COUNTIF(B214:B244,G20)</f>
        <v>14</v>
      </c>
      <c r="P26" s="21">
        <f>COUNTIF(B214:B244,G21)</f>
        <v>12</v>
      </c>
      <c r="Q26" s="21">
        <f>COUNTIF(B214:B244,G22)</f>
        <v>3</v>
      </c>
      <c r="R26" s="21">
        <f>COUNTIF(B214:B244,G23)</f>
        <v>0</v>
      </c>
      <c r="S26" s="272"/>
    </row>
    <row r="27" spans="1:19" x14ac:dyDescent="0.45">
      <c r="A27" s="1">
        <v>45318</v>
      </c>
      <c r="B27" s="2">
        <v>10</v>
      </c>
      <c r="C27" s="272"/>
      <c r="D27" s="301"/>
      <c r="F27" s="296" t="s">
        <v>23</v>
      </c>
      <c r="G27" s="296"/>
      <c r="H27" s="296"/>
      <c r="J27" s="10" t="s">
        <v>16</v>
      </c>
      <c r="K27" s="29">
        <v>5.2666666666666666</v>
      </c>
      <c r="L27" s="299"/>
      <c r="M27" s="21">
        <f>COUNTIF(B245:B274,G18)</f>
        <v>1</v>
      </c>
      <c r="N27" s="21">
        <f>COUNTIF(B245:B274,G19)</f>
        <v>3</v>
      </c>
      <c r="O27" s="21">
        <f>COUNTIF(B245:B274,G20)</f>
        <v>12</v>
      </c>
      <c r="P27" s="21">
        <f>COUNTIF(B245:B274,G21)</f>
        <v>12</v>
      </c>
      <c r="Q27" s="21">
        <f>COUNTIF(B245:B274,G22)</f>
        <v>2</v>
      </c>
      <c r="R27" s="21">
        <f>COUNTIF(B245:B274,G23)</f>
        <v>0</v>
      </c>
      <c r="S27" s="297">
        <f>AVERAGE(K27:K30)</f>
        <v>5.2806451612903231</v>
      </c>
    </row>
    <row r="28" spans="1:19" x14ac:dyDescent="0.45">
      <c r="A28" s="1">
        <v>45319</v>
      </c>
      <c r="B28" s="2">
        <v>10</v>
      </c>
      <c r="C28" s="272"/>
      <c r="D28" s="301"/>
      <c r="F28" s="298">
        <v>2024</v>
      </c>
      <c r="G28" s="298"/>
      <c r="H28" s="298"/>
      <c r="J28" s="10" t="s">
        <v>17</v>
      </c>
      <c r="K28" s="29">
        <v>5.612903225806452</v>
      </c>
      <c r="L28" s="299"/>
      <c r="M28" s="21">
        <f>COUNTIF(B275:B305,G18)</f>
        <v>1</v>
      </c>
      <c r="N28" s="21">
        <f>COUNTIF(B275:B305,G19)</f>
        <v>5</v>
      </c>
      <c r="O28" s="21">
        <f>COUNTIF(B275:B305,G20)</f>
        <v>16</v>
      </c>
      <c r="P28" s="21">
        <f>COUNTIF(B275:B305,G21)</f>
        <v>6</v>
      </c>
      <c r="Q28" s="21">
        <f>COUNTIF(B275:B305,G22)</f>
        <v>2</v>
      </c>
      <c r="R28" s="21">
        <f>COUNTIF(B275:B305,G23)</f>
        <v>1</v>
      </c>
      <c r="S28" s="272"/>
    </row>
    <row r="29" spans="1:19" x14ac:dyDescent="0.45">
      <c r="A29" s="1">
        <v>45320</v>
      </c>
      <c r="B29" s="2">
        <v>4</v>
      </c>
      <c r="C29" s="272"/>
      <c r="D29" s="301"/>
      <c r="J29" s="10" t="s">
        <v>18</v>
      </c>
      <c r="K29" s="29">
        <v>5.5333333333333332</v>
      </c>
      <c r="L29" s="299"/>
      <c r="M29" s="21">
        <f>COUNTIF(B306:B335,G18)</f>
        <v>0</v>
      </c>
      <c r="N29" s="21">
        <f>COUNTIF(B306:B335,G19)</f>
        <v>7</v>
      </c>
      <c r="O29" s="21">
        <f>COUNTIF(B306:B335,G20)</f>
        <v>14</v>
      </c>
      <c r="P29" s="21">
        <f>COUNTIF(B306:B335,G21)</f>
        <v>5</v>
      </c>
      <c r="Q29" s="21">
        <f>COUNTIF(B306:B335,G22)</f>
        <v>3</v>
      </c>
      <c r="R29" s="21">
        <f>COUNTIF(B306:B335,G23)</f>
        <v>1</v>
      </c>
      <c r="S29" s="272"/>
    </row>
    <row r="30" spans="1:19" ht="14.35" thickBot="1" x14ac:dyDescent="0.5">
      <c r="A30" s="1">
        <v>45321</v>
      </c>
      <c r="B30" s="2">
        <v>4</v>
      </c>
      <c r="C30" s="272"/>
      <c r="D30" s="301"/>
      <c r="J30" s="18" t="s">
        <v>19</v>
      </c>
      <c r="K30" s="30">
        <v>4.709677419354839</v>
      </c>
      <c r="L30" s="300"/>
      <c r="M30" s="21">
        <f>COUNTIF(B336:B366,G18)</f>
        <v>1</v>
      </c>
      <c r="N30" s="21">
        <f>COUNTIF(B336:B366,G19)</f>
        <v>0</v>
      </c>
      <c r="O30" s="21">
        <f>COUNTIF(B336:B366,G20)</f>
        <v>10</v>
      </c>
      <c r="P30" s="21">
        <f>COUNTIF(B336:B366,G21)</f>
        <v>18</v>
      </c>
      <c r="Q30" s="21">
        <f>COUNTIF(B336:B366,G22)</f>
        <v>2</v>
      </c>
      <c r="R30" s="21">
        <f>COUNTIF(B336:B366,G23)</f>
        <v>0</v>
      </c>
      <c r="S30" s="272"/>
    </row>
    <row r="31" spans="1:19" x14ac:dyDescent="0.45">
      <c r="A31" s="1">
        <v>45322</v>
      </c>
      <c r="B31" s="2">
        <v>4</v>
      </c>
      <c r="C31" s="272"/>
      <c r="D31" s="301"/>
    </row>
    <row r="32" spans="1:19" x14ac:dyDescent="0.45">
      <c r="A32" s="1">
        <v>45323</v>
      </c>
      <c r="B32" s="2">
        <v>6</v>
      </c>
      <c r="C32" s="272">
        <f>AVERAGE(B32:B60)</f>
        <v>4.4137931034482758</v>
      </c>
      <c r="D32" s="301"/>
    </row>
    <row r="33" spans="1:4" x14ac:dyDescent="0.45">
      <c r="A33" s="1">
        <v>45324</v>
      </c>
      <c r="B33" s="2">
        <v>6</v>
      </c>
      <c r="C33" s="272"/>
      <c r="D33" s="301"/>
    </row>
    <row r="34" spans="1:4" x14ac:dyDescent="0.45">
      <c r="A34" s="1">
        <v>45325</v>
      </c>
      <c r="B34" s="2">
        <v>6</v>
      </c>
      <c r="C34" s="272"/>
      <c r="D34" s="301"/>
    </row>
    <row r="35" spans="1:4" x14ac:dyDescent="0.45">
      <c r="A35" s="1">
        <v>45326</v>
      </c>
      <c r="B35" s="2">
        <v>4</v>
      </c>
      <c r="C35" s="272"/>
      <c r="D35" s="301"/>
    </row>
    <row r="36" spans="1:4" x14ac:dyDescent="0.45">
      <c r="A36" s="1">
        <v>45327</v>
      </c>
      <c r="B36" s="2">
        <v>2</v>
      </c>
      <c r="C36" s="272"/>
      <c r="D36" s="301"/>
    </row>
    <row r="37" spans="1:4" x14ac:dyDescent="0.45">
      <c r="A37" s="1">
        <v>45328</v>
      </c>
      <c r="B37" s="2">
        <v>6</v>
      </c>
      <c r="C37" s="272"/>
      <c r="D37" s="301"/>
    </row>
    <row r="38" spans="1:4" x14ac:dyDescent="0.45">
      <c r="A38" s="1">
        <v>45329</v>
      </c>
      <c r="B38" s="2">
        <v>4</v>
      </c>
      <c r="C38" s="272"/>
      <c r="D38" s="301"/>
    </row>
    <row r="39" spans="1:4" x14ac:dyDescent="0.45">
      <c r="A39" s="1">
        <v>45330</v>
      </c>
      <c r="B39" s="2">
        <v>6</v>
      </c>
      <c r="C39" s="272"/>
      <c r="D39" s="301"/>
    </row>
    <row r="40" spans="1:4" x14ac:dyDescent="0.45">
      <c r="A40" s="1">
        <v>45331</v>
      </c>
      <c r="B40" s="2">
        <v>6</v>
      </c>
      <c r="C40" s="272"/>
      <c r="D40" s="301"/>
    </row>
    <row r="41" spans="1:4" x14ac:dyDescent="0.45">
      <c r="A41" s="1">
        <v>45332</v>
      </c>
      <c r="B41" s="2">
        <v>4</v>
      </c>
      <c r="C41" s="272"/>
      <c r="D41" s="301"/>
    </row>
    <row r="42" spans="1:4" x14ac:dyDescent="0.45">
      <c r="A42" s="1">
        <v>45333</v>
      </c>
      <c r="B42" s="2">
        <v>4</v>
      </c>
      <c r="C42" s="272"/>
      <c r="D42" s="301"/>
    </row>
    <row r="43" spans="1:4" x14ac:dyDescent="0.45">
      <c r="A43" s="1">
        <v>45334</v>
      </c>
      <c r="B43" s="2">
        <v>4</v>
      </c>
      <c r="C43" s="272"/>
      <c r="D43" s="301"/>
    </row>
    <row r="44" spans="1:4" x14ac:dyDescent="0.45">
      <c r="A44" s="1">
        <v>45335</v>
      </c>
      <c r="B44" s="2">
        <v>6</v>
      </c>
      <c r="C44" s="272"/>
      <c r="D44" s="301"/>
    </row>
    <row r="45" spans="1:4" x14ac:dyDescent="0.45">
      <c r="A45" s="1">
        <v>45336</v>
      </c>
      <c r="B45" s="2">
        <v>10</v>
      </c>
      <c r="C45" s="272"/>
      <c r="D45" s="301"/>
    </row>
    <row r="46" spans="1:4" x14ac:dyDescent="0.45">
      <c r="A46" s="1">
        <v>45337</v>
      </c>
      <c r="B46" s="2">
        <v>6</v>
      </c>
      <c r="C46" s="272"/>
      <c r="D46" s="301"/>
    </row>
    <row r="47" spans="1:4" x14ac:dyDescent="0.45">
      <c r="A47" s="1">
        <v>45338</v>
      </c>
      <c r="B47" s="2">
        <v>2</v>
      </c>
      <c r="C47" s="272"/>
      <c r="D47" s="301"/>
    </row>
    <row r="48" spans="1:4" x14ac:dyDescent="0.45">
      <c r="A48" s="1">
        <v>45339</v>
      </c>
      <c r="B48" s="2">
        <v>4</v>
      </c>
      <c r="C48" s="272"/>
      <c r="D48" s="301"/>
    </row>
    <row r="49" spans="1:4" x14ac:dyDescent="0.45">
      <c r="A49" s="1">
        <v>45340</v>
      </c>
      <c r="B49" s="2">
        <v>4</v>
      </c>
      <c r="C49" s="272"/>
      <c r="D49" s="301"/>
    </row>
    <row r="50" spans="1:4" x14ac:dyDescent="0.45">
      <c r="A50" s="1">
        <v>45341</v>
      </c>
      <c r="B50" s="2">
        <v>4</v>
      </c>
      <c r="C50" s="272"/>
      <c r="D50" s="301"/>
    </row>
    <row r="51" spans="1:4" x14ac:dyDescent="0.45">
      <c r="A51" s="1">
        <v>45342</v>
      </c>
      <c r="B51" s="2">
        <v>0</v>
      </c>
      <c r="C51" s="272"/>
      <c r="D51" s="301"/>
    </row>
    <row r="52" spans="1:4" x14ac:dyDescent="0.45">
      <c r="A52" s="1">
        <v>45343</v>
      </c>
      <c r="B52" s="2">
        <v>0</v>
      </c>
      <c r="C52" s="272"/>
      <c r="D52" s="301"/>
    </row>
    <row r="53" spans="1:4" x14ac:dyDescent="0.45">
      <c r="A53" s="1">
        <v>45344</v>
      </c>
      <c r="B53" s="2">
        <v>2</v>
      </c>
      <c r="C53" s="272"/>
      <c r="D53" s="301"/>
    </row>
    <row r="54" spans="1:4" x14ac:dyDescent="0.45">
      <c r="A54" s="1">
        <v>45345</v>
      </c>
      <c r="B54" s="2">
        <v>4</v>
      </c>
      <c r="C54" s="272"/>
      <c r="D54" s="301"/>
    </row>
    <row r="55" spans="1:4" x14ac:dyDescent="0.45">
      <c r="A55" s="1">
        <v>45346</v>
      </c>
      <c r="B55" s="2">
        <v>4</v>
      </c>
      <c r="C55" s="272"/>
      <c r="D55" s="301"/>
    </row>
    <row r="56" spans="1:4" x14ac:dyDescent="0.45">
      <c r="A56" s="1">
        <v>45347</v>
      </c>
      <c r="B56" s="2">
        <v>6</v>
      </c>
      <c r="C56" s="272"/>
      <c r="D56" s="301"/>
    </row>
    <row r="57" spans="1:4" x14ac:dyDescent="0.45">
      <c r="A57" s="1">
        <v>45348</v>
      </c>
      <c r="B57" s="2">
        <v>4</v>
      </c>
      <c r="C57" s="272"/>
      <c r="D57" s="301"/>
    </row>
    <row r="58" spans="1:4" x14ac:dyDescent="0.45">
      <c r="A58" s="1">
        <v>45349</v>
      </c>
      <c r="B58" s="2">
        <v>4</v>
      </c>
      <c r="C58" s="272"/>
      <c r="D58" s="301"/>
    </row>
    <row r="59" spans="1:4" x14ac:dyDescent="0.45">
      <c r="A59" s="1">
        <v>45350</v>
      </c>
      <c r="B59" s="2">
        <v>4</v>
      </c>
      <c r="C59" s="272"/>
      <c r="D59" s="301"/>
    </row>
    <row r="60" spans="1:4" x14ac:dyDescent="0.45">
      <c r="A60" s="1">
        <v>45351</v>
      </c>
      <c r="B60" s="2">
        <v>6</v>
      </c>
      <c r="C60" s="272"/>
      <c r="D60" s="301"/>
    </row>
    <row r="61" spans="1:4" x14ac:dyDescent="0.45">
      <c r="A61" s="1">
        <v>45352</v>
      </c>
      <c r="B61" s="2">
        <v>6</v>
      </c>
      <c r="C61" s="272">
        <f>AVERAGE(B61:B91)</f>
        <v>5.5483870967741939</v>
      </c>
      <c r="D61" s="301"/>
    </row>
    <row r="62" spans="1:4" x14ac:dyDescent="0.45">
      <c r="A62" s="1">
        <v>45353</v>
      </c>
      <c r="B62" s="2">
        <v>6</v>
      </c>
      <c r="C62" s="272"/>
      <c r="D62" s="301"/>
    </row>
    <row r="63" spans="1:4" x14ac:dyDescent="0.45">
      <c r="A63" s="1">
        <v>45354</v>
      </c>
      <c r="B63" s="2">
        <v>8</v>
      </c>
      <c r="C63" s="272"/>
      <c r="D63" s="301"/>
    </row>
    <row r="64" spans="1:4" x14ac:dyDescent="0.45">
      <c r="A64" s="1">
        <v>45355</v>
      </c>
      <c r="B64" s="2">
        <v>6</v>
      </c>
      <c r="C64" s="272"/>
      <c r="D64" s="301"/>
    </row>
    <row r="65" spans="1:4" x14ac:dyDescent="0.45">
      <c r="A65" s="1">
        <v>45356</v>
      </c>
      <c r="B65" s="2">
        <v>4</v>
      </c>
      <c r="C65" s="272"/>
      <c r="D65" s="301"/>
    </row>
    <row r="66" spans="1:4" x14ac:dyDescent="0.45">
      <c r="A66" s="1">
        <v>45357</v>
      </c>
      <c r="B66" s="2">
        <v>4</v>
      </c>
      <c r="C66" s="272"/>
      <c r="D66" s="301"/>
    </row>
    <row r="67" spans="1:4" x14ac:dyDescent="0.45">
      <c r="A67" s="1">
        <v>45358</v>
      </c>
      <c r="B67" s="2">
        <v>6</v>
      </c>
      <c r="C67" s="272"/>
      <c r="D67" s="301"/>
    </row>
    <row r="68" spans="1:4" x14ac:dyDescent="0.45">
      <c r="A68" s="1">
        <v>45359</v>
      </c>
      <c r="B68" s="2">
        <v>6</v>
      </c>
      <c r="C68" s="272"/>
      <c r="D68" s="301"/>
    </row>
    <row r="69" spans="1:4" x14ac:dyDescent="0.45">
      <c r="A69" s="1">
        <v>45360</v>
      </c>
      <c r="B69" s="2">
        <v>6</v>
      </c>
      <c r="C69" s="272"/>
      <c r="D69" s="301"/>
    </row>
    <row r="70" spans="1:4" x14ac:dyDescent="0.45">
      <c r="A70" s="1">
        <v>45361</v>
      </c>
      <c r="B70" s="2">
        <v>6</v>
      </c>
      <c r="C70" s="272"/>
      <c r="D70" s="301"/>
    </row>
    <row r="71" spans="1:4" x14ac:dyDescent="0.45">
      <c r="A71" s="1">
        <v>45362</v>
      </c>
      <c r="B71" s="2">
        <v>4</v>
      </c>
      <c r="C71" s="272"/>
      <c r="D71" s="301"/>
    </row>
    <row r="72" spans="1:4" x14ac:dyDescent="0.45">
      <c r="A72" s="1">
        <v>45363</v>
      </c>
      <c r="B72" s="2">
        <v>6</v>
      </c>
      <c r="C72" s="272"/>
      <c r="D72" s="301"/>
    </row>
    <row r="73" spans="1:4" x14ac:dyDescent="0.45">
      <c r="A73" s="1">
        <v>45364</v>
      </c>
      <c r="B73" s="2">
        <v>6</v>
      </c>
      <c r="C73" s="272"/>
      <c r="D73" s="301"/>
    </row>
    <row r="74" spans="1:4" x14ac:dyDescent="0.45">
      <c r="A74" s="1">
        <v>45365</v>
      </c>
      <c r="B74" s="2">
        <v>4</v>
      </c>
      <c r="C74" s="272"/>
      <c r="D74" s="301"/>
    </row>
    <row r="75" spans="1:4" x14ac:dyDescent="0.45">
      <c r="A75" s="1">
        <v>45366</v>
      </c>
      <c r="B75" s="2">
        <v>6</v>
      </c>
      <c r="C75" s="272"/>
      <c r="D75" s="301"/>
    </row>
    <row r="76" spans="1:4" x14ac:dyDescent="0.45">
      <c r="A76" s="1">
        <v>45367</v>
      </c>
      <c r="B76" s="2">
        <v>6</v>
      </c>
      <c r="C76" s="272"/>
      <c r="D76" s="301"/>
    </row>
    <row r="77" spans="1:4" x14ac:dyDescent="0.45">
      <c r="A77" s="1">
        <v>45368</v>
      </c>
      <c r="B77" s="2">
        <v>4</v>
      </c>
      <c r="C77" s="272"/>
      <c r="D77" s="301"/>
    </row>
    <row r="78" spans="1:4" x14ac:dyDescent="0.45">
      <c r="A78" s="1">
        <v>45369</v>
      </c>
      <c r="B78" s="2">
        <v>6</v>
      </c>
      <c r="C78" s="272"/>
      <c r="D78" s="301"/>
    </row>
    <row r="79" spans="1:4" x14ac:dyDescent="0.45">
      <c r="A79" s="1">
        <v>45370</v>
      </c>
      <c r="B79" s="2">
        <v>2</v>
      </c>
      <c r="C79" s="272"/>
      <c r="D79" s="301"/>
    </row>
    <row r="80" spans="1:4" x14ac:dyDescent="0.45">
      <c r="A80" s="1">
        <v>45371</v>
      </c>
      <c r="B80" s="2">
        <v>8</v>
      </c>
      <c r="C80" s="272"/>
      <c r="D80" s="301"/>
    </row>
    <row r="81" spans="1:4" x14ac:dyDescent="0.45">
      <c r="A81" s="1">
        <v>45372</v>
      </c>
      <c r="B81" s="2">
        <v>6</v>
      </c>
      <c r="C81" s="272"/>
      <c r="D81" s="301"/>
    </row>
    <row r="82" spans="1:4" x14ac:dyDescent="0.45">
      <c r="A82" s="1">
        <v>45373</v>
      </c>
      <c r="B82" s="2">
        <v>8</v>
      </c>
      <c r="C82" s="272"/>
      <c r="D82" s="301"/>
    </row>
    <row r="83" spans="1:4" x14ac:dyDescent="0.45">
      <c r="A83" s="1">
        <v>45374</v>
      </c>
      <c r="B83" s="2">
        <v>6</v>
      </c>
      <c r="C83" s="272"/>
      <c r="D83" s="301"/>
    </row>
    <row r="84" spans="1:4" x14ac:dyDescent="0.45">
      <c r="A84" s="1">
        <v>45375</v>
      </c>
      <c r="B84" s="2">
        <v>2</v>
      </c>
      <c r="C84" s="272"/>
      <c r="D84" s="301"/>
    </row>
    <row r="85" spans="1:4" x14ac:dyDescent="0.45">
      <c r="A85" s="1">
        <v>45376</v>
      </c>
      <c r="B85" s="2">
        <v>8</v>
      </c>
      <c r="C85" s="272"/>
      <c r="D85" s="301"/>
    </row>
    <row r="86" spans="1:4" x14ac:dyDescent="0.45">
      <c r="A86" s="1">
        <v>45377</v>
      </c>
      <c r="B86" s="2">
        <v>6</v>
      </c>
      <c r="C86" s="272"/>
      <c r="D86" s="301"/>
    </row>
    <row r="87" spans="1:4" x14ac:dyDescent="0.45">
      <c r="A87" s="1">
        <v>45378</v>
      </c>
      <c r="B87" s="2">
        <v>4</v>
      </c>
      <c r="C87" s="272"/>
      <c r="D87" s="301"/>
    </row>
    <row r="88" spans="1:4" x14ac:dyDescent="0.45">
      <c r="A88" s="1">
        <v>45379</v>
      </c>
      <c r="B88" s="2">
        <v>6</v>
      </c>
      <c r="C88" s="272"/>
      <c r="D88" s="301"/>
    </row>
    <row r="89" spans="1:4" x14ac:dyDescent="0.45">
      <c r="A89" s="1">
        <v>45380</v>
      </c>
      <c r="B89" s="2">
        <v>4</v>
      </c>
      <c r="C89" s="272"/>
      <c r="D89" s="301"/>
    </row>
    <row r="90" spans="1:4" x14ac:dyDescent="0.45">
      <c r="A90" s="1">
        <v>45381</v>
      </c>
      <c r="B90" s="2">
        <v>6</v>
      </c>
      <c r="C90" s="272"/>
      <c r="D90" s="301"/>
    </row>
    <row r="91" spans="1:4" x14ac:dyDescent="0.45">
      <c r="A91" s="1">
        <v>45382</v>
      </c>
      <c r="B91" s="2">
        <v>6</v>
      </c>
      <c r="C91" s="272"/>
      <c r="D91" s="301"/>
    </row>
    <row r="92" spans="1:4" x14ac:dyDescent="0.45">
      <c r="A92" s="1">
        <v>45383</v>
      </c>
      <c r="B92" s="2">
        <v>4</v>
      </c>
      <c r="C92" s="272">
        <f>AVERAGE(B92:B121)</f>
        <v>4.4666666666666668</v>
      </c>
      <c r="D92" s="301"/>
    </row>
    <row r="93" spans="1:4" x14ac:dyDescent="0.45">
      <c r="A93" s="1">
        <v>45384</v>
      </c>
      <c r="B93" s="2">
        <v>4</v>
      </c>
      <c r="C93" s="272"/>
      <c r="D93" s="301"/>
    </row>
    <row r="94" spans="1:4" x14ac:dyDescent="0.45">
      <c r="A94" s="1">
        <v>45385</v>
      </c>
      <c r="B94" s="2">
        <v>4</v>
      </c>
      <c r="C94" s="272"/>
      <c r="D94" s="301"/>
    </row>
    <row r="95" spans="1:4" x14ac:dyDescent="0.45">
      <c r="A95" s="1">
        <v>45386</v>
      </c>
      <c r="B95" s="2">
        <v>4</v>
      </c>
      <c r="C95" s="272"/>
      <c r="D95" s="301"/>
    </row>
    <row r="96" spans="1:4" x14ac:dyDescent="0.45">
      <c r="A96" s="1">
        <v>45387</v>
      </c>
      <c r="B96" s="2">
        <v>0</v>
      </c>
      <c r="C96" s="272"/>
      <c r="D96" s="301"/>
    </row>
    <row r="97" spans="1:10" x14ac:dyDescent="0.45">
      <c r="A97" s="1">
        <v>45388</v>
      </c>
      <c r="B97" s="2">
        <v>2</v>
      </c>
      <c r="C97" s="272"/>
      <c r="D97" s="301"/>
    </row>
    <row r="98" spans="1:10" x14ac:dyDescent="0.45">
      <c r="A98" s="1">
        <v>45389</v>
      </c>
      <c r="B98" s="2">
        <v>4</v>
      </c>
      <c r="C98" s="272"/>
      <c r="D98" s="301"/>
    </row>
    <row r="99" spans="1:10" x14ac:dyDescent="0.45">
      <c r="A99" s="1">
        <v>45390</v>
      </c>
      <c r="B99" s="2">
        <v>4</v>
      </c>
      <c r="C99" s="272"/>
      <c r="D99" s="301"/>
    </row>
    <row r="100" spans="1:10" x14ac:dyDescent="0.45">
      <c r="A100" s="1">
        <v>45391</v>
      </c>
      <c r="B100" s="2">
        <v>6</v>
      </c>
      <c r="C100" s="272"/>
      <c r="D100" s="301"/>
    </row>
    <row r="101" spans="1:10" x14ac:dyDescent="0.45">
      <c r="A101" s="1">
        <v>45392</v>
      </c>
      <c r="B101" s="2">
        <v>2</v>
      </c>
      <c r="C101" s="272"/>
      <c r="D101" s="301"/>
    </row>
    <row r="102" spans="1:10" x14ac:dyDescent="0.45">
      <c r="A102" s="1">
        <v>45393</v>
      </c>
      <c r="B102" s="2">
        <v>0</v>
      </c>
      <c r="C102" s="272"/>
      <c r="D102" s="301"/>
    </row>
    <row r="103" spans="1:10" x14ac:dyDescent="0.45">
      <c r="A103" s="1">
        <v>45394</v>
      </c>
      <c r="B103" s="2">
        <v>6</v>
      </c>
      <c r="C103" s="272"/>
      <c r="D103" s="301"/>
    </row>
    <row r="104" spans="1:10" x14ac:dyDescent="0.45">
      <c r="A104" s="1">
        <v>45395</v>
      </c>
      <c r="B104" s="2">
        <v>6</v>
      </c>
      <c r="C104" s="272"/>
      <c r="D104" s="301"/>
    </row>
    <row r="105" spans="1:10" x14ac:dyDescent="0.45">
      <c r="A105" s="1">
        <v>45396</v>
      </c>
      <c r="B105" s="2">
        <v>4</v>
      </c>
      <c r="C105" s="272"/>
      <c r="D105" s="301"/>
    </row>
    <row r="106" spans="1:10" x14ac:dyDescent="0.45">
      <c r="A106" s="1">
        <v>45397</v>
      </c>
      <c r="B106" s="2">
        <v>6</v>
      </c>
      <c r="C106" s="272"/>
      <c r="D106" s="301"/>
    </row>
    <row r="107" spans="1:10" x14ac:dyDescent="0.45">
      <c r="A107" s="1">
        <v>45398</v>
      </c>
      <c r="B107" s="2">
        <v>4</v>
      </c>
      <c r="C107" s="272"/>
      <c r="D107" s="301"/>
    </row>
    <row r="108" spans="1:10" x14ac:dyDescent="0.45">
      <c r="A108" s="1">
        <v>45399</v>
      </c>
      <c r="B108" s="2">
        <v>8</v>
      </c>
      <c r="C108" s="272"/>
      <c r="D108" s="301"/>
      <c r="J108" s="3" t="s">
        <v>22</v>
      </c>
    </row>
    <row r="109" spans="1:10" x14ac:dyDescent="0.45">
      <c r="A109" s="1">
        <v>45400</v>
      </c>
      <c r="B109" s="2">
        <v>6</v>
      </c>
      <c r="C109" s="272"/>
      <c r="D109" s="301"/>
    </row>
    <row r="110" spans="1:10" x14ac:dyDescent="0.45">
      <c r="A110" s="1">
        <v>45401</v>
      </c>
      <c r="B110" s="2">
        <v>6</v>
      </c>
      <c r="C110" s="272"/>
      <c r="D110" s="301"/>
    </row>
    <row r="111" spans="1:10" x14ac:dyDescent="0.45">
      <c r="A111" s="1">
        <v>45402</v>
      </c>
      <c r="B111" s="2">
        <v>4</v>
      </c>
      <c r="C111" s="272"/>
      <c r="D111" s="301"/>
    </row>
    <row r="112" spans="1:10" x14ac:dyDescent="0.45">
      <c r="A112" s="1">
        <v>45403</v>
      </c>
      <c r="B112" s="2">
        <v>6</v>
      </c>
      <c r="C112" s="272"/>
      <c r="D112" s="301"/>
    </row>
    <row r="113" spans="1:4" x14ac:dyDescent="0.45">
      <c r="A113" s="1">
        <v>45404</v>
      </c>
      <c r="B113" s="2">
        <v>6</v>
      </c>
      <c r="C113" s="272"/>
      <c r="D113" s="301"/>
    </row>
    <row r="114" spans="1:4" x14ac:dyDescent="0.45">
      <c r="A114" s="1">
        <v>45405</v>
      </c>
      <c r="B114" s="2">
        <v>4</v>
      </c>
      <c r="C114" s="272"/>
      <c r="D114" s="301"/>
    </row>
    <row r="115" spans="1:4" x14ac:dyDescent="0.45">
      <c r="A115" s="1">
        <v>45406</v>
      </c>
      <c r="B115" s="2">
        <v>6</v>
      </c>
      <c r="C115" s="272"/>
      <c r="D115" s="301"/>
    </row>
    <row r="116" spans="1:4" x14ac:dyDescent="0.45">
      <c r="A116" s="1">
        <v>45407</v>
      </c>
      <c r="B116" s="2">
        <v>4</v>
      </c>
      <c r="C116" s="272"/>
      <c r="D116" s="301"/>
    </row>
    <row r="117" spans="1:4" x14ac:dyDescent="0.45">
      <c r="A117" s="1">
        <v>45408</v>
      </c>
      <c r="B117" s="2">
        <v>4</v>
      </c>
      <c r="C117" s="272"/>
      <c r="D117" s="301"/>
    </row>
    <row r="118" spans="1:4" x14ac:dyDescent="0.45">
      <c r="A118" s="1">
        <v>45409</v>
      </c>
      <c r="B118" s="2">
        <v>4</v>
      </c>
      <c r="C118" s="272"/>
      <c r="D118" s="301"/>
    </row>
    <row r="119" spans="1:4" x14ac:dyDescent="0.45">
      <c r="A119" s="1">
        <v>45410</v>
      </c>
      <c r="B119" s="2">
        <v>4</v>
      </c>
      <c r="C119" s="272"/>
      <c r="D119" s="301"/>
    </row>
    <row r="120" spans="1:4" x14ac:dyDescent="0.45">
      <c r="A120" s="1">
        <v>45411</v>
      </c>
      <c r="B120" s="2">
        <v>6</v>
      </c>
      <c r="C120" s="272"/>
      <c r="D120" s="301"/>
    </row>
    <row r="121" spans="1:4" x14ac:dyDescent="0.45">
      <c r="A121" s="1">
        <v>45412</v>
      </c>
      <c r="B121" s="2">
        <v>6</v>
      </c>
      <c r="C121" s="272"/>
      <c r="D121" s="301"/>
    </row>
    <row r="122" spans="1:4" x14ac:dyDescent="0.45">
      <c r="A122" s="1">
        <v>45413</v>
      </c>
      <c r="B122" s="2">
        <v>8</v>
      </c>
      <c r="C122" s="302">
        <f>AVERAGE(B122:B152)</f>
        <v>6.129032258064516</v>
      </c>
      <c r="D122" s="301"/>
    </row>
    <row r="123" spans="1:4" x14ac:dyDescent="0.45">
      <c r="A123" s="1">
        <v>45414</v>
      </c>
      <c r="B123" s="2">
        <v>6</v>
      </c>
      <c r="C123" s="303"/>
      <c r="D123" s="301"/>
    </row>
    <row r="124" spans="1:4" x14ac:dyDescent="0.45">
      <c r="A124" s="1">
        <v>45415</v>
      </c>
      <c r="B124" s="2">
        <v>6</v>
      </c>
      <c r="C124" s="303"/>
      <c r="D124" s="301"/>
    </row>
    <row r="125" spans="1:4" x14ac:dyDescent="0.45">
      <c r="A125" s="1">
        <v>45416</v>
      </c>
      <c r="B125" s="2">
        <v>10</v>
      </c>
      <c r="C125" s="303"/>
      <c r="D125" s="301"/>
    </row>
    <row r="126" spans="1:4" x14ac:dyDescent="0.45">
      <c r="A126" s="1">
        <v>45417</v>
      </c>
      <c r="B126" s="2">
        <v>6</v>
      </c>
      <c r="C126" s="303"/>
      <c r="D126" s="301"/>
    </row>
    <row r="127" spans="1:4" x14ac:dyDescent="0.45">
      <c r="A127" s="1">
        <v>45418</v>
      </c>
      <c r="B127" s="2">
        <v>4</v>
      </c>
      <c r="C127" s="303"/>
      <c r="D127" s="301"/>
    </row>
    <row r="128" spans="1:4" x14ac:dyDescent="0.45">
      <c r="A128" s="1">
        <v>45419</v>
      </c>
      <c r="B128" s="2">
        <v>6</v>
      </c>
      <c r="C128" s="303"/>
      <c r="D128" s="301"/>
    </row>
    <row r="129" spans="1:4" x14ac:dyDescent="0.45">
      <c r="A129" s="1">
        <v>45420</v>
      </c>
      <c r="B129" s="2">
        <v>6</v>
      </c>
      <c r="C129" s="303"/>
      <c r="D129" s="301"/>
    </row>
    <row r="130" spans="1:4" x14ac:dyDescent="0.45">
      <c r="A130" s="1">
        <v>45421</v>
      </c>
      <c r="B130" s="2">
        <v>6</v>
      </c>
      <c r="C130" s="303"/>
      <c r="D130" s="301"/>
    </row>
    <row r="131" spans="1:4" x14ac:dyDescent="0.45">
      <c r="A131" s="1">
        <v>45422</v>
      </c>
      <c r="B131" s="2">
        <v>8</v>
      </c>
      <c r="C131" s="303"/>
      <c r="D131" s="301"/>
    </row>
    <row r="132" spans="1:4" x14ac:dyDescent="0.45">
      <c r="A132" s="1">
        <v>45423</v>
      </c>
      <c r="B132" s="2">
        <v>8</v>
      </c>
      <c r="C132" s="303"/>
      <c r="D132" s="301"/>
    </row>
    <row r="133" spans="1:4" x14ac:dyDescent="0.45">
      <c r="A133" s="1">
        <v>45424</v>
      </c>
      <c r="B133" s="2">
        <v>6</v>
      </c>
      <c r="C133" s="303"/>
      <c r="D133" s="301"/>
    </row>
    <row r="134" spans="1:4" x14ac:dyDescent="0.45">
      <c r="A134" s="1">
        <v>45425</v>
      </c>
      <c r="B134" s="2">
        <v>6</v>
      </c>
      <c r="C134" s="303"/>
      <c r="D134" s="301"/>
    </row>
    <row r="135" spans="1:4" x14ac:dyDescent="0.45">
      <c r="A135" s="1">
        <v>45426</v>
      </c>
      <c r="B135" s="2">
        <v>6</v>
      </c>
      <c r="C135" s="303"/>
      <c r="D135" s="301"/>
    </row>
    <row r="136" spans="1:4" x14ac:dyDescent="0.45">
      <c r="A136" s="1">
        <v>45427</v>
      </c>
      <c r="B136" s="2">
        <v>6</v>
      </c>
      <c r="C136" s="303"/>
      <c r="D136" s="301"/>
    </row>
    <row r="137" spans="1:4" x14ac:dyDescent="0.45">
      <c r="A137" s="1">
        <v>45428</v>
      </c>
      <c r="B137" s="2">
        <v>4</v>
      </c>
      <c r="C137" s="303"/>
      <c r="D137" s="301"/>
    </row>
    <row r="138" spans="1:4" x14ac:dyDescent="0.45">
      <c r="A138" s="1">
        <v>45429</v>
      </c>
      <c r="B138" s="2">
        <v>4</v>
      </c>
      <c r="C138" s="303"/>
      <c r="D138" s="301"/>
    </row>
    <row r="139" spans="1:4" x14ac:dyDescent="0.45">
      <c r="A139" s="1">
        <v>45430</v>
      </c>
      <c r="B139" s="2">
        <v>6</v>
      </c>
      <c r="C139" s="303"/>
      <c r="D139" s="301"/>
    </row>
    <row r="140" spans="1:4" x14ac:dyDescent="0.45">
      <c r="A140" s="1">
        <v>45431</v>
      </c>
      <c r="B140" s="2">
        <v>4</v>
      </c>
      <c r="C140" s="303"/>
      <c r="D140" s="301"/>
    </row>
    <row r="141" spans="1:4" x14ac:dyDescent="0.45">
      <c r="A141" s="1">
        <v>45432</v>
      </c>
      <c r="B141" s="2">
        <v>4</v>
      </c>
      <c r="C141" s="303"/>
      <c r="D141" s="301"/>
    </row>
    <row r="142" spans="1:4" x14ac:dyDescent="0.45">
      <c r="A142" s="1">
        <v>45433</v>
      </c>
      <c r="B142" s="2">
        <v>6</v>
      </c>
      <c r="C142" s="303"/>
      <c r="D142" s="301"/>
    </row>
    <row r="143" spans="1:4" x14ac:dyDescent="0.45">
      <c r="A143" s="1">
        <v>45434</v>
      </c>
      <c r="B143" s="2">
        <v>6</v>
      </c>
      <c r="C143" s="303"/>
      <c r="D143" s="301"/>
    </row>
    <row r="144" spans="1:4" x14ac:dyDescent="0.45">
      <c r="A144" s="1">
        <v>45435</v>
      </c>
      <c r="B144" s="2">
        <v>8</v>
      </c>
      <c r="C144" s="303"/>
      <c r="D144" s="301"/>
    </row>
    <row r="145" spans="1:4" x14ac:dyDescent="0.45">
      <c r="A145" s="1">
        <v>45436</v>
      </c>
      <c r="B145" s="2">
        <v>8</v>
      </c>
      <c r="C145" s="303"/>
      <c r="D145" s="301"/>
    </row>
    <row r="146" spans="1:4" x14ac:dyDescent="0.45">
      <c r="A146" s="1">
        <v>45437</v>
      </c>
      <c r="B146" s="2">
        <v>8</v>
      </c>
      <c r="C146" s="303"/>
      <c r="D146" s="301"/>
    </row>
    <row r="147" spans="1:4" x14ac:dyDescent="0.45">
      <c r="A147" s="1">
        <v>45438</v>
      </c>
      <c r="B147" s="2">
        <v>6</v>
      </c>
      <c r="C147" s="303"/>
      <c r="D147" s="301"/>
    </row>
    <row r="148" spans="1:4" x14ac:dyDescent="0.45">
      <c r="A148" s="1">
        <v>45439</v>
      </c>
      <c r="B148" s="2">
        <v>4</v>
      </c>
      <c r="C148" s="303"/>
      <c r="D148" s="301"/>
    </row>
    <row r="149" spans="1:4" x14ac:dyDescent="0.45">
      <c r="A149" s="1">
        <v>45440</v>
      </c>
      <c r="B149" s="2">
        <v>6</v>
      </c>
      <c r="C149" s="303"/>
      <c r="D149" s="301"/>
    </row>
    <row r="150" spans="1:4" x14ac:dyDescent="0.45">
      <c r="A150" s="1">
        <v>45441</v>
      </c>
      <c r="B150" s="2">
        <v>6</v>
      </c>
      <c r="C150" s="303"/>
      <c r="D150" s="301"/>
    </row>
    <row r="151" spans="1:4" x14ac:dyDescent="0.45">
      <c r="A151" s="1">
        <v>45442</v>
      </c>
      <c r="B151" s="2">
        <v>6</v>
      </c>
      <c r="C151" s="303"/>
      <c r="D151" s="301"/>
    </row>
    <row r="152" spans="1:4" x14ac:dyDescent="0.45">
      <c r="A152" s="1">
        <v>45443</v>
      </c>
      <c r="B152" s="2">
        <v>6</v>
      </c>
      <c r="C152" s="274"/>
      <c r="D152" s="301"/>
    </row>
    <row r="153" spans="1:4" x14ac:dyDescent="0.45">
      <c r="A153" s="1">
        <v>45444</v>
      </c>
      <c r="B153" s="2">
        <v>6</v>
      </c>
      <c r="C153" s="302">
        <f>AVERAGE(B153:B182)</f>
        <v>5.333333333333333</v>
      </c>
      <c r="D153" s="301"/>
    </row>
    <row r="154" spans="1:4" x14ac:dyDescent="0.45">
      <c r="A154" s="1">
        <v>45445</v>
      </c>
      <c r="B154" s="2">
        <v>6</v>
      </c>
      <c r="C154" s="303"/>
      <c r="D154" s="301"/>
    </row>
    <row r="155" spans="1:4" x14ac:dyDescent="0.45">
      <c r="A155" s="1">
        <v>45446</v>
      </c>
      <c r="B155" s="2">
        <v>4</v>
      </c>
      <c r="C155" s="303"/>
      <c r="D155" s="301"/>
    </row>
    <row r="156" spans="1:4" x14ac:dyDescent="0.45">
      <c r="A156" s="1">
        <v>45447</v>
      </c>
      <c r="B156" s="2">
        <v>8</v>
      </c>
      <c r="C156" s="303"/>
      <c r="D156" s="301"/>
    </row>
    <row r="157" spans="1:4" x14ac:dyDescent="0.45">
      <c r="A157" s="1">
        <v>45448</v>
      </c>
      <c r="B157" s="2">
        <v>10</v>
      </c>
      <c r="C157" s="303"/>
      <c r="D157" s="301"/>
    </row>
    <row r="158" spans="1:4" x14ac:dyDescent="0.45">
      <c r="A158" s="1">
        <v>45449</v>
      </c>
      <c r="B158" s="2">
        <v>6</v>
      </c>
      <c r="C158" s="303"/>
      <c r="D158" s="301"/>
    </row>
    <row r="159" spans="1:4" x14ac:dyDescent="0.45">
      <c r="A159" s="1">
        <v>45450</v>
      </c>
      <c r="B159" s="2">
        <v>4</v>
      </c>
      <c r="C159" s="303"/>
      <c r="D159" s="301"/>
    </row>
    <row r="160" spans="1:4" x14ac:dyDescent="0.45">
      <c r="A160" s="1">
        <v>45451</v>
      </c>
      <c r="B160" s="2">
        <v>6</v>
      </c>
      <c r="C160" s="303"/>
      <c r="D160" s="301"/>
    </row>
    <row r="161" spans="1:4" x14ac:dyDescent="0.45">
      <c r="A161" s="1">
        <v>45452</v>
      </c>
      <c r="B161" s="2">
        <v>6</v>
      </c>
      <c r="C161" s="303"/>
      <c r="D161" s="301"/>
    </row>
    <row r="162" spans="1:4" x14ac:dyDescent="0.45">
      <c r="A162" s="1">
        <v>45453</v>
      </c>
      <c r="B162" s="2">
        <v>6</v>
      </c>
      <c r="C162" s="303"/>
      <c r="D162" s="301"/>
    </row>
    <row r="163" spans="1:4" x14ac:dyDescent="0.45">
      <c r="A163" s="1">
        <v>45454</v>
      </c>
      <c r="B163" s="2">
        <v>0</v>
      </c>
      <c r="C163" s="303"/>
      <c r="D163" s="301"/>
    </row>
    <row r="164" spans="1:4" x14ac:dyDescent="0.45">
      <c r="A164" s="1">
        <v>45455</v>
      </c>
      <c r="B164" s="2">
        <v>4</v>
      </c>
      <c r="C164" s="303"/>
      <c r="D164" s="301"/>
    </row>
    <row r="165" spans="1:4" x14ac:dyDescent="0.45">
      <c r="A165" s="1">
        <v>45456</v>
      </c>
      <c r="B165" s="2">
        <v>4</v>
      </c>
      <c r="C165" s="303"/>
      <c r="D165" s="301"/>
    </row>
    <row r="166" spans="1:4" x14ac:dyDescent="0.45">
      <c r="A166" s="1">
        <v>45457</v>
      </c>
      <c r="B166" s="2">
        <v>4</v>
      </c>
      <c r="C166" s="303"/>
      <c r="D166" s="301"/>
    </row>
    <row r="167" spans="1:4" x14ac:dyDescent="0.45">
      <c r="A167" s="1">
        <v>45458</v>
      </c>
      <c r="B167" s="2">
        <v>6</v>
      </c>
      <c r="C167" s="303"/>
      <c r="D167" s="301"/>
    </row>
    <row r="168" spans="1:4" x14ac:dyDescent="0.45">
      <c r="A168" s="1">
        <v>45459</v>
      </c>
      <c r="B168" s="2">
        <v>6</v>
      </c>
      <c r="C168" s="303"/>
      <c r="D168" s="301"/>
    </row>
    <row r="169" spans="1:4" x14ac:dyDescent="0.45">
      <c r="A169" s="1">
        <v>45460</v>
      </c>
      <c r="B169" s="2">
        <v>4</v>
      </c>
      <c r="C169" s="303"/>
      <c r="D169" s="301"/>
    </row>
    <row r="170" spans="1:4" x14ac:dyDescent="0.45">
      <c r="A170" s="1">
        <v>45461</v>
      </c>
      <c r="B170" s="2">
        <v>4</v>
      </c>
      <c r="C170" s="303"/>
      <c r="D170" s="301"/>
    </row>
    <row r="171" spans="1:4" x14ac:dyDescent="0.45">
      <c r="A171" s="1">
        <v>45462</v>
      </c>
      <c r="B171" s="2">
        <v>10</v>
      </c>
      <c r="C171" s="303"/>
      <c r="D171" s="301"/>
    </row>
    <row r="172" spans="1:4" x14ac:dyDescent="0.45">
      <c r="A172" s="1">
        <v>45463</v>
      </c>
      <c r="B172" s="2">
        <v>2</v>
      </c>
      <c r="C172" s="303"/>
      <c r="D172" s="301"/>
    </row>
    <row r="173" spans="1:4" x14ac:dyDescent="0.45">
      <c r="A173" s="1">
        <v>45464</v>
      </c>
      <c r="B173" s="2">
        <v>2</v>
      </c>
      <c r="C173" s="303"/>
      <c r="D173" s="301"/>
    </row>
    <row r="174" spans="1:4" x14ac:dyDescent="0.45">
      <c r="A174" s="1">
        <v>45465</v>
      </c>
      <c r="B174" s="2">
        <v>4</v>
      </c>
      <c r="C174" s="303"/>
      <c r="D174" s="301"/>
    </row>
    <row r="175" spans="1:4" x14ac:dyDescent="0.45">
      <c r="A175" s="1">
        <v>45466</v>
      </c>
      <c r="B175" s="2">
        <v>4</v>
      </c>
      <c r="C175" s="303"/>
      <c r="D175" s="301"/>
    </row>
    <row r="176" spans="1:4" x14ac:dyDescent="0.45">
      <c r="A176" s="1">
        <v>45467</v>
      </c>
      <c r="B176" s="2">
        <v>6</v>
      </c>
      <c r="C176" s="303"/>
      <c r="D176" s="301"/>
    </row>
    <row r="177" spans="1:4" x14ac:dyDescent="0.45">
      <c r="A177" s="1">
        <v>45468</v>
      </c>
      <c r="B177" s="2">
        <v>4</v>
      </c>
      <c r="C177" s="303"/>
      <c r="D177" s="301"/>
    </row>
    <row r="178" spans="1:4" x14ac:dyDescent="0.45">
      <c r="A178" s="1">
        <v>45469</v>
      </c>
      <c r="B178" s="2">
        <v>4</v>
      </c>
      <c r="C178" s="303"/>
      <c r="D178" s="301"/>
    </row>
    <row r="179" spans="1:4" x14ac:dyDescent="0.45">
      <c r="A179" s="1">
        <v>45470</v>
      </c>
      <c r="B179" s="2">
        <v>6</v>
      </c>
      <c r="C179" s="303"/>
      <c r="D179" s="301"/>
    </row>
    <row r="180" spans="1:4" x14ac:dyDescent="0.45">
      <c r="A180" s="1">
        <v>45471</v>
      </c>
      <c r="B180" s="2">
        <v>10</v>
      </c>
      <c r="C180" s="303"/>
      <c r="D180" s="301"/>
    </row>
    <row r="181" spans="1:4" x14ac:dyDescent="0.45">
      <c r="A181" s="1">
        <v>45472</v>
      </c>
      <c r="B181" s="2">
        <v>8</v>
      </c>
      <c r="C181" s="303"/>
      <c r="D181" s="301"/>
    </row>
    <row r="182" spans="1:4" x14ac:dyDescent="0.45">
      <c r="A182" s="1">
        <v>45473</v>
      </c>
      <c r="B182" s="2">
        <v>6</v>
      </c>
      <c r="C182" s="274"/>
      <c r="D182" s="301"/>
    </row>
    <row r="183" spans="1:4" x14ac:dyDescent="0.45">
      <c r="A183" s="1">
        <v>45474</v>
      </c>
      <c r="B183" s="2">
        <v>6</v>
      </c>
      <c r="C183" s="302">
        <f>AVERAGE(B183:B213)</f>
        <v>5.032258064516129</v>
      </c>
      <c r="D183" s="301"/>
    </row>
    <row r="184" spans="1:4" x14ac:dyDescent="0.45">
      <c r="A184" s="1">
        <v>45475</v>
      </c>
      <c r="B184" s="2">
        <v>4</v>
      </c>
      <c r="C184" s="303"/>
      <c r="D184" s="301"/>
    </row>
    <row r="185" spans="1:4" x14ac:dyDescent="0.45">
      <c r="A185" s="1">
        <v>45476</v>
      </c>
      <c r="B185" s="2">
        <v>2</v>
      </c>
      <c r="C185" s="303"/>
      <c r="D185" s="301"/>
    </row>
    <row r="186" spans="1:4" x14ac:dyDescent="0.45">
      <c r="A186" s="1">
        <v>45477</v>
      </c>
      <c r="B186" s="2">
        <v>4</v>
      </c>
      <c r="C186" s="303"/>
      <c r="D186" s="301"/>
    </row>
    <row r="187" spans="1:4" x14ac:dyDescent="0.45">
      <c r="A187" s="1">
        <v>45478</v>
      </c>
      <c r="B187" s="2">
        <v>4</v>
      </c>
      <c r="C187" s="303"/>
      <c r="D187" s="301"/>
    </row>
    <row r="188" spans="1:4" x14ac:dyDescent="0.45">
      <c r="A188" s="1">
        <v>45479</v>
      </c>
      <c r="B188" s="2">
        <v>10</v>
      </c>
      <c r="C188" s="303"/>
      <c r="D188" s="301"/>
    </row>
    <row r="189" spans="1:4" x14ac:dyDescent="0.45">
      <c r="A189" s="1">
        <v>45480</v>
      </c>
      <c r="B189" s="2">
        <v>6</v>
      </c>
      <c r="C189" s="303"/>
      <c r="D189" s="301"/>
    </row>
    <row r="190" spans="1:4" x14ac:dyDescent="0.45">
      <c r="A190" s="1">
        <v>45481</v>
      </c>
      <c r="B190" s="2">
        <v>4</v>
      </c>
      <c r="C190" s="303"/>
      <c r="D190" s="301"/>
    </row>
    <row r="191" spans="1:4" x14ac:dyDescent="0.45">
      <c r="A191" s="1">
        <v>45482</v>
      </c>
      <c r="B191" s="2">
        <v>4</v>
      </c>
      <c r="C191" s="303"/>
      <c r="D191" s="301"/>
    </row>
    <row r="192" spans="1:4" x14ac:dyDescent="0.45">
      <c r="A192" s="1">
        <v>45483</v>
      </c>
      <c r="B192" s="2">
        <v>4</v>
      </c>
      <c r="C192" s="303"/>
      <c r="D192" s="301"/>
    </row>
    <row r="193" spans="1:4" x14ac:dyDescent="0.45">
      <c r="A193" s="1">
        <v>45484</v>
      </c>
      <c r="B193" s="2">
        <v>6</v>
      </c>
      <c r="C193" s="303"/>
      <c r="D193" s="301"/>
    </row>
    <row r="194" spans="1:4" x14ac:dyDescent="0.45">
      <c r="A194" s="1">
        <v>45485</v>
      </c>
      <c r="B194" s="2">
        <v>4</v>
      </c>
      <c r="C194" s="303"/>
      <c r="D194" s="301"/>
    </row>
    <row r="195" spans="1:4" x14ac:dyDescent="0.45">
      <c r="A195" s="1">
        <v>45486</v>
      </c>
      <c r="B195" s="2">
        <v>10</v>
      </c>
      <c r="C195" s="303"/>
      <c r="D195" s="301"/>
    </row>
    <row r="196" spans="1:4" x14ac:dyDescent="0.45">
      <c r="A196" s="1">
        <v>45487</v>
      </c>
      <c r="B196" s="2">
        <v>6</v>
      </c>
      <c r="C196" s="303"/>
      <c r="D196" s="301"/>
    </row>
    <row r="197" spans="1:4" x14ac:dyDescent="0.45">
      <c r="A197" s="1">
        <v>45488</v>
      </c>
      <c r="B197" s="2">
        <v>4</v>
      </c>
      <c r="C197" s="303"/>
      <c r="D197" s="301"/>
    </row>
    <row r="198" spans="1:4" x14ac:dyDescent="0.45">
      <c r="A198" s="1">
        <v>45489</v>
      </c>
      <c r="B198" s="2">
        <v>4</v>
      </c>
      <c r="C198" s="303"/>
      <c r="D198" s="301"/>
    </row>
    <row r="199" spans="1:4" x14ac:dyDescent="0.45">
      <c r="A199" s="1">
        <v>45490</v>
      </c>
      <c r="B199" s="2">
        <v>6</v>
      </c>
      <c r="C199" s="303"/>
      <c r="D199" s="301"/>
    </row>
    <row r="200" spans="1:4" x14ac:dyDescent="0.45">
      <c r="A200" s="1">
        <v>45491</v>
      </c>
      <c r="B200" s="2">
        <v>4</v>
      </c>
      <c r="C200" s="303"/>
      <c r="D200" s="301"/>
    </row>
    <row r="201" spans="1:4" x14ac:dyDescent="0.45">
      <c r="A201" s="1">
        <v>45492</v>
      </c>
      <c r="B201" s="2">
        <v>2</v>
      </c>
      <c r="C201" s="303"/>
      <c r="D201" s="301"/>
    </row>
    <row r="202" spans="1:4" x14ac:dyDescent="0.45">
      <c r="A202" s="1">
        <v>45493</v>
      </c>
      <c r="B202" s="2">
        <v>8</v>
      </c>
      <c r="C202" s="303"/>
      <c r="D202" s="301"/>
    </row>
    <row r="203" spans="1:4" x14ac:dyDescent="0.45">
      <c r="A203" s="1">
        <v>45494</v>
      </c>
      <c r="B203" s="2">
        <v>6</v>
      </c>
      <c r="C203" s="303"/>
      <c r="D203" s="301"/>
    </row>
    <row r="204" spans="1:4" x14ac:dyDescent="0.45">
      <c r="A204" s="1">
        <v>45495</v>
      </c>
      <c r="B204" s="2">
        <v>4</v>
      </c>
      <c r="C204" s="303"/>
      <c r="D204" s="301"/>
    </row>
    <row r="205" spans="1:4" x14ac:dyDescent="0.45">
      <c r="A205" s="1">
        <v>45496</v>
      </c>
      <c r="B205" s="2">
        <v>4</v>
      </c>
      <c r="C205" s="303"/>
      <c r="D205" s="301"/>
    </row>
    <row r="206" spans="1:4" x14ac:dyDescent="0.45">
      <c r="A206" s="1">
        <v>45497</v>
      </c>
      <c r="B206" s="2">
        <v>2</v>
      </c>
      <c r="C206" s="303"/>
      <c r="D206" s="301"/>
    </row>
    <row r="207" spans="1:4" x14ac:dyDescent="0.45">
      <c r="A207" s="1">
        <v>45498</v>
      </c>
      <c r="B207" s="2">
        <v>4</v>
      </c>
      <c r="C207" s="303"/>
      <c r="D207" s="301"/>
    </row>
    <row r="208" spans="1:4" x14ac:dyDescent="0.45">
      <c r="A208" s="1">
        <v>45499</v>
      </c>
      <c r="B208" s="2">
        <v>4</v>
      </c>
      <c r="C208" s="303"/>
      <c r="D208" s="301"/>
    </row>
    <row r="209" spans="1:4" x14ac:dyDescent="0.45">
      <c r="A209" s="1">
        <v>45500</v>
      </c>
      <c r="B209" s="2">
        <v>6</v>
      </c>
      <c r="C209" s="303"/>
      <c r="D209" s="301"/>
    </row>
    <row r="210" spans="1:4" x14ac:dyDescent="0.45">
      <c r="A210" s="1">
        <v>45501</v>
      </c>
      <c r="B210" s="2">
        <v>6</v>
      </c>
      <c r="C210" s="303"/>
      <c r="D210" s="301"/>
    </row>
    <row r="211" spans="1:4" x14ac:dyDescent="0.45">
      <c r="A211" s="1">
        <v>45502</v>
      </c>
      <c r="B211" s="2">
        <v>6</v>
      </c>
      <c r="C211" s="303"/>
      <c r="D211" s="301"/>
    </row>
    <row r="212" spans="1:4" x14ac:dyDescent="0.45">
      <c r="A212" s="1">
        <v>45503</v>
      </c>
      <c r="B212" s="2">
        <v>6</v>
      </c>
      <c r="C212" s="303"/>
      <c r="D212" s="301"/>
    </row>
    <row r="213" spans="1:4" x14ac:dyDescent="0.45">
      <c r="A213" s="1">
        <v>45504</v>
      </c>
      <c r="B213" s="2">
        <v>6</v>
      </c>
      <c r="C213" s="274"/>
      <c r="D213" s="301"/>
    </row>
    <row r="214" spans="1:4" x14ac:dyDescent="0.45">
      <c r="A214" s="1">
        <v>45505</v>
      </c>
      <c r="B214" s="2">
        <v>6</v>
      </c>
      <c r="C214" s="302">
        <f>AVERAGE(B214:B244)</f>
        <v>4.967741935483871</v>
      </c>
      <c r="D214" s="301"/>
    </row>
    <row r="215" spans="1:4" x14ac:dyDescent="0.45">
      <c r="A215" s="1">
        <v>45506</v>
      </c>
      <c r="B215" s="2">
        <v>6</v>
      </c>
      <c r="C215" s="303"/>
      <c r="D215" s="301"/>
    </row>
    <row r="216" spans="1:4" x14ac:dyDescent="0.45">
      <c r="A216" s="1">
        <v>45507</v>
      </c>
      <c r="B216" s="2">
        <v>6</v>
      </c>
      <c r="C216" s="303"/>
      <c r="D216" s="301"/>
    </row>
    <row r="217" spans="1:4" x14ac:dyDescent="0.45">
      <c r="A217" s="1">
        <v>45508</v>
      </c>
      <c r="B217" s="2">
        <v>8</v>
      </c>
      <c r="C217" s="303"/>
      <c r="D217" s="301"/>
    </row>
    <row r="218" spans="1:4" x14ac:dyDescent="0.45">
      <c r="A218" s="1">
        <v>45509</v>
      </c>
      <c r="B218" s="2">
        <v>4</v>
      </c>
      <c r="C218" s="303"/>
      <c r="D218" s="301"/>
    </row>
    <row r="219" spans="1:4" x14ac:dyDescent="0.45">
      <c r="A219" s="1">
        <v>45510</v>
      </c>
      <c r="B219" s="2">
        <v>4</v>
      </c>
      <c r="C219" s="303"/>
      <c r="D219" s="301"/>
    </row>
    <row r="220" spans="1:4" x14ac:dyDescent="0.45">
      <c r="A220" s="1">
        <v>45511</v>
      </c>
      <c r="B220" s="2">
        <v>6</v>
      </c>
      <c r="C220" s="303"/>
      <c r="D220" s="301"/>
    </row>
    <row r="221" spans="1:4" x14ac:dyDescent="0.45">
      <c r="A221" s="1">
        <v>45512</v>
      </c>
      <c r="B221" s="2">
        <v>4</v>
      </c>
      <c r="C221" s="303"/>
      <c r="D221" s="301"/>
    </row>
    <row r="222" spans="1:4" x14ac:dyDescent="0.45">
      <c r="A222" s="1">
        <v>45513</v>
      </c>
      <c r="B222" s="2">
        <v>6</v>
      </c>
      <c r="C222" s="303"/>
      <c r="D222" s="301"/>
    </row>
    <row r="223" spans="1:4" x14ac:dyDescent="0.45">
      <c r="A223" s="1">
        <v>45514</v>
      </c>
      <c r="B223" s="2">
        <v>6</v>
      </c>
      <c r="C223" s="303"/>
      <c r="D223" s="301"/>
    </row>
    <row r="224" spans="1:4" x14ac:dyDescent="0.45">
      <c r="A224" s="1">
        <v>45515</v>
      </c>
      <c r="B224" s="2">
        <v>6</v>
      </c>
      <c r="C224" s="303"/>
      <c r="D224" s="301"/>
    </row>
    <row r="225" spans="1:4" x14ac:dyDescent="0.45">
      <c r="A225" s="1">
        <v>45516</v>
      </c>
      <c r="B225" s="2">
        <v>6</v>
      </c>
      <c r="C225" s="303"/>
      <c r="D225" s="301"/>
    </row>
    <row r="226" spans="1:4" x14ac:dyDescent="0.45">
      <c r="A226" s="1">
        <v>45517</v>
      </c>
      <c r="B226" s="2">
        <v>4</v>
      </c>
      <c r="C226" s="303"/>
      <c r="D226" s="301"/>
    </row>
    <row r="227" spans="1:4" x14ac:dyDescent="0.45">
      <c r="A227" s="1">
        <v>45518</v>
      </c>
      <c r="B227" s="2">
        <v>2</v>
      </c>
      <c r="C227" s="303"/>
      <c r="D227" s="301"/>
    </row>
    <row r="228" spans="1:4" x14ac:dyDescent="0.45">
      <c r="A228" s="1">
        <v>45519</v>
      </c>
      <c r="B228" s="2">
        <v>2</v>
      </c>
      <c r="C228" s="303"/>
      <c r="D228" s="301"/>
    </row>
    <row r="229" spans="1:4" x14ac:dyDescent="0.45">
      <c r="A229" s="1">
        <v>45520</v>
      </c>
      <c r="B229" s="2">
        <v>4</v>
      </c>
      <c r="C229" s="303"/>
      <c r="D229" s="301"/>
    </row>
    <row r="230" spans="1:4" x14ac:dyDescent="0.45">
      <c r="A230" s="1">
        <v>45521</v>
      </c>
      <c r="B230" s="2">
        <v>6</v>
      </c>
      <c r="C230" s="303"/>
      <c r="D230" s="301"/>
    </row>
    <row r="231" spans="1:4" x14ac:dyDescent="0.45">
      <c r="A231" s="1">
        <v>45522</v>
      </c>
      <c r="B231" s="2">
        <v>8</v>
      </c>
      <c r="C231" s="303"/>
      <c r="D231" s="301"/>
    </row>
    <row r="232" spans="1:4" x14ac:dyDescent="0.45">
      <c r="A232" s="1">
        <v>45523</v>
      </c>
      <c r="B232" s="2">
        <v>4</v>
      </c>
      <c r="C232" s="303"/>
      <c r="D232" s="301"/>
    </row>
    <row r="233" spans="1:4" x14ac:dyDescent="0.45">
      <c r="A233" s="1">
        <v>45524</v>
      </c>
      <c r="B233" s="2">
        <v>4</v>
      </c>
      <c r="C233" s="303"/>
      <c r="D233" s="301"/>
    </row>
    <row r="234" spans="1:4" x14ac:dyDescent="0.45">
      <c r="A234" s="1">
        <v>45525</v>
      </c>
      <c r="B234" s="2">
        <v>4</v>
      </c>
      <c r="C234" s="303"/>
      <c r="D234" s="301"/>
    </row>
    <row r="235" spans="1:4" x14ac:dyDescent="0.45">
      <c r="A235" s="1">
        <v>45526</v>
      </c>
      <c r="B235" s="2">
        <v>4</v>
      </c>
      <c r="C235" s="303"/>
      <c r="D235" s="301"/>
    </row>
    <row r="236" spans="1:4" x14ac:dyDescent="0.45">
      <c r="A236" s="1">
        <v>45527</v>
      </c>
      <c r="B236" s="2">
        <v>6</v>
      </c>
      <c r="C236" s="303"/>
      <c r="D236" s="301"/>
    </row>
    <row r="237" spans="1:4" x14ac:dyDescent="0.45">
      <c r="A237" s="1">
        <v>45528</v>
      </c>
      <c r="B237" s="2">
        <v>4</v>
      </c>
      <c r="C237" s="303"/>
      <c r="D237" s="301"/>
    </row>
    <row r="238" spans="1:4" x14ac:dyDescent="0.45">
      <c r="A238" s="1">
        <v>45529</v>
      </c>
      <c r="B238" s="2">
        <v>4</v>
      </c>
      <c r="C238" s="303"/>
      <c r="D238" s="301"/>
    </row>
    <row r="239" spans="1:4" x14ac:dyDescent="0.45">
      <c r="A239" s="1">
        <v>45530</v>
      </c>
      <c r="B239" s="2">
        <v>6</v>
      </c>
      <c r="C239" s="303"/>
      <c r="D239" s="301"/>
    </row>
    <row r="240" spans="1:4" x14ac:dyDescent="0.45">
      <c r="A240" s="1">
        <v>45531</v>
      </c>
      <c r="B240" s="2">
        <v>2</v>
      </c>
      <c r="C240" s="303"/>
      <c r="D240" s="301"/>
    </row>
    <row r="241" spans="1:4" x14ac:dyDescent="0.45">
      <c r="A241" s="1">
        <v>45532</v>
      </c>
      <c r="B241" s="2">
        <v>6</v>
      </c>
      <c r="C241" s="303"/>
      <c r="D241" s="301"/>
    </row>
    <row r="242" spans="1:4" x14ac:dyDescent="0.45">
      <c r="A242" s="1">
        <v>45533</v>
      </c>
      <c r="B242" s="2">
        <v>6</v>
      </c>
      <c r="C242" s="303"/>
      <c r="D242" s="301"/>
    </row>
    <row r="243" spans="1:4" x14ac:dyDescent="0.45">
      <c r="A243" s="1">
        <v>45534</v>
      </c>
      <c r="B243" s="2">
        <v>4</v>
      </c>
      <c r="C243" s="303"/>
      <c r="D243" s="301"/>
    </row>
    <row r="244" spans="1:4" x14ac:dyDescent="0.45">
      <c r="A244" s="1">
        <v>45535</v>
      </c>
      <c r="B244" s="2">
        <v>6</v>
      </c>
      <c r="C244" s="274"/>
      <c r="D244" s="301"/>
    </row>
    <row r="245" spans="1:4" x14ac:dyDescent="0.45">
      <c r="A245" s="1">
        <v>45536</v>
      </c>
      <c r="B245" s="2">
        <v>4</v>
      </c>
      <c r="C245" s="302">
        <f>AVERAGE(B245:B274)</f>
        <v>5.2666666666666666</v>
      </c>
      <c r="D245" s="301"/>
    </row>
    <row r="246" spans="1:4" x14ac:dyDescent="0.45">
      <c r="A246" s="1">
        <v>45537</v>
      </c>
      <c r="B246" s="2">
        <v>4</v>
      </c>
      <c r="C246" s="303"/>
      <c r="D246" s="301"/>
    </row>
    <row r="247" spans="1:4" x14ac:dyDescent="0.45">
      <c r="A247" s="1">
        <v>45538</v>
      </c>
      <c r="B247" s="2">
        <v>6</v>
      </c>
      <c r="C247" s="303"/>
      <c r="D247" s="301"/>
    </row>
    <row r="248" spans="1:4" x14ac:dyDescent="0.45">
      <c r="A248" s="1">
        <v>45539</v>
      </c>
      <c r="B248" s="2">
        <v>4</v>
      </c>
      <c r="C248" s="303"/>
      <c r="D248" s="301"/>
    </row>
    <row r="249" spans="1:4" x14ac:dyDescent="0.45">
      <c r="A249" s="1">
        <v>45540</v>
      </c>
      <c r="B249" s="2">
        <v>6</v>
      </c>
      <c r="C249" s="303"/>
      <c r="D249" s="301"/>
    </row>
    <row r="250" spans="1:4" x14ac:dyDescent="0.45">
      <c r="A250" s="1">
        <v>45541</v>
      </c>
      <c r="B250" s="2">
        <v>4</v>
      </c>
      <c r="C250" s="303"/>
      <c r="D250" s="301"/>
    </row>
    <row r="251" spans="1:4" x14ac:dyDescent="0.45">
      <c r="A251" s="1">
        <v>45542</v>
      </c>
      <c r="B251" s="2">
        <v>4</v>
      </c>
      <c r="C251" s="303"/>
      <c r="D251" s="301"/>
    </row>
    <row r="252" spans="1:4" x14ac:dyDescent="0.45">
      <c r="A252" s="1">
        <v>45543</v>
      </c>
      <c r="B252" s="2">
        <v>6</v>
      </c>
      <c r="C252" s="303"/>
      <c r="D252" s="301"/>
    </row>
    <row r="253" spans="1:4" x14ac:dyDescent="0.45">
      <c r="A253" s="1">
        <v>45544</v>
      </c>
      <c r="B253" s="2">
        <v>4</v>
      </c>
      <c r="C253" s="303"/>
      <c r="D253" s="301"/>
    </row>
    <row r="254" spans="1:4" x14ac:dyDescent="0.45">
      <c r="A254" s="1">
        <v>45545</v>
      </c>
      <c r="B254" s="2">
        <v>4</v>
      </c>
      <c r="C254" s="303"/>
      <c r="D254" s="301"/>
    </row>
    <row r="255" spans="1:4" x14ac:dyDescent="0.45">
      <c r="A255" s="1">
        <v>45546</v>
      </c>
      <c r="B255" s="2">
        <v>6</v>
      </c>
      <c r="C255" s="303"/>
      <c r="D255" s="301"/>
    </row>
    <row r="256" spans="1:4" x14ac:dyDescent="0.45">
      <c r="A256" s="1">
        <v>45547</v>
      </c>
      <c r="B256" s="2">
        <v>6</v>
      </c>
      <c r="C256" s="303"/>
      <c r="D256" s="301"/>
    </row>
    <row r="257" spans="1:4" x14ac:dyDescent="0.45">
      <c r="A257" s="1">
        <v>45548</v>
      </c>
      <c r="B257" s="2">
        <v>10</v>
      </c>
      <c r="C257" s="303"/>
      <c r="D257" s="301"/>
    </row>
    <row r="258" spans="1:4" x14ac:dyDescent="0.45">
      <c r="A258" s="1">
        <v>45549</v>
      </c>
      <c r="B258" s="2">
        <v>8</v>
      </c>
      <c r="C258" s="303"/>
      <c r="D258" s="301"/>
    </row>
    <row r="259" spans="1:4" x14ac:dyDescent="0.45">
      <c r="A259" s="1">
        <v>45550</v>
      </c>
      <c r="B259" s="2">
        <v>6</v>
      </c>
      <c r="C259" s="303"/>
      <c r="D259" s="301"/>
    </row>
    <row r="260" spans="1:4" x14ac:dyDescent="0.45">
      <c r="A260" s="1">
        <v>45551</v>
      </c>
      <c r="B260" s="2">
        <v>6</v>
      </c>
      <c r="C260" s="303"/>
      <c r="D260" s="301"/>
    </row>
    <row r="261" spans="1:4" x14ac:dyDescent="0.45">
      <c r="A261" s="1">
        <v>45552</v>
      </c>
      <c r="B261" s="2">
        <v>4</v>
      </c>
      <c r="C261" s="303"/>
      <c r="D261" s="301"/>
    </row>
    <row r="262" spans="1:4" x14ac:dyDescent="0.45">
      <c r="A262" s="1">
        <v>45553</v>
      </c>
      <c r="B262" s="2">
        <v>2</v>
      </c>
      <c r="C262" s="303"/>
      <c r="D262" s="301"/>
    </row>
    <row r="263" spans="1:4" x14ac:dyDescent="0.45">
      <c r="A263" s="1">
        <v>45554</v>
      </c>
      <c r="B263" s="2">
        <v>4</v>
      </c>
      <c r="C263" s="303"/>
      <c r="D263" s="301"/>
    </row>
    <row r="264" spans="1:4" x14ac:dyDescent="0.45">
      <c r="A264" s="1">
        <v>45555</v>
      </c>
      <c r="B264" s="2">
        <v>4</v>
      </c>
      <c r="C264" s="303"/>
      <c r="D264" s="301"/>
    </row>
    <row r="265" spans="1:4" x14ac:dyDescent="0.45">
      <c r="A265" s="1">
        <v>45556</v>
      </c>
      <c r="B265" s="2">
        <v>6</v>
      </c>
      <c r="C265" s="303"/>
      <c r="D265" s="301"/>
    </row>
    <row r="266" spans="1:4" x14ac:dyDescent="0.45">
      <c r="A266" s="1">
        <v>45557</v>
      </c>
      <c r="B266" s="2">
        <v>6</v>
      </c>
      <c r="C266" s="303"/>
      <c r="D266" s="301"/>
    </row>
    <row r="267" spans="1:4" x14ac:dyDescent="0.45">
      <c r="A267" s="1">
        <v>45558</v>
      </c>
      <c r="B267" s="2">
        <v>4</v>
      </c>
      <c r="C267" s="303"/>
      <c r="D267" s="301"/>
    </row>
    <row r="268" spans="1:4" x14ac:dyDescent="0.45">
      <c r="A268" s="1">
        <v>45559</v>
      </c>
      <c r="B268" s="2">
        <v>2</v>
      </c>
      <c r="C268" s="303"/>
      <c r="D268" s="301"/>
    </row>
    <row r="269" spans="1:4" x14ac:dyDescent="0.45">
      <c r="A269" s="1">
        <v>45560</v>
      </c>
      <c r="B269" s="2">
        <v>6</v>
      </c>
      <c r="C269" s="303"/>
      <c r="D269" s="301"/>
    </row>
    <row r="270" spans="1:4" x14ac:dyDescent="0.45">
      <c r="A270" s="1">
        <v>45561</v>
      </c>
      <c r="B270" s="2">
        <v>8</v>
      </c>
      <c r="C270" s="303"/>
      <c r="D270" s="301"/>
    </row>
    <row r="271" spans="1:4" x14ac:dyDescent="0.45">
      <c r="A271" s="1">
        <v>45562</v>
      </c>
      <c r="B271" s="2">
        <v>4</v>
      </c>
      <c r="C271" s="303"/>
      <c r="D271" s="301"/>
    </row>
    <row r="272" spans="1:4" x14ac:dyDescent="0.45">
      <c r="A272" s="1">
        <v>45563</v>
      </c>
      <c r="B272" s="2">
        <v>6</v>
      </c>
      <c r="C272" s="303"/>
      <c r="D272" s="301"/>
    </row>
    <row r="273" spans="1:4" x14ac:dyDescent="0.45">
      <c r="A273" s="1">
        <v>45564</v>
      </c>
      <c r="B273" s="2">
        <v>8</v>
      </c>
      <c r="C273" s="303"/>
      <c r="D273" s="301"/>
    </row>
    <row r="274" spans="1:4" x14ac:dyDescent="0.45">
      <c r="A274" s="1">
        <v>45565</v>
      </c>
      <c r="B274" s="2">
        <v>6</v>
      </c>
      <c r="C274" s="274"/>
      <c r="D274" s="301"/>
    </row>
    <row r="275" spans="1:4" x14ac:dyDescent="0.45">
      <c r="A275" s="1">
        <v>45566</v>
      </c>
      <c r="B275" s="2">
        <v>4</v>
      </c>
      <c r="C275" s="302">
        <f>AVERAGE(B275:B305)</f>
        <v>5.612903225806452</v>
      </c>
      <c r="D275" s="301"/>
    </row>
    <row r="276" spans="1:4" x14ac:dyDescent="0.45">
      <c r="A276" s="1">
        <v>45567</v>
      </c>
      <c r="B276" s="2">
        <v>6</v>
      </c>
      <c r="C276" s="303"/>
      <c r="D276" s="301"/>
    </row>
    <row r="277" spans="1:4" x14ac:dyDescent="0.45">
      <c r="A277" s="1">
        <v>45568</v>
      </c>
      <c r="B277" s="2">
        <v>6</v>
      </c>
      <c r="C277" s="303"/>
      <c r="D277" s="301"/>
    </row>
    <row r="278" spans="1:4" x14ac:dyDescent="0.45">
      <c r="A278" s="1">
        <v>45569</v>
      </c>
      <c r="B278" s="2">
        <v>6</v>
      </c>
      <c r="C278" s="303"/>
      <c r="D278" s="301"/>
    </row>
    <row r="279" spans="1:4" x14ac:dyDescent="0.45">
      <c r="A279" s="1">
        <v>45570</v>
      </c>
      <c r="B279" s="2">
        <v>2</v>
      </c>
      <c r="C279" s="303"/>
      <c r="D279" s="301"/>
    </row>
    <row r="280" spans="1:4" x14ac:dyDescent="0.45">
      <c r="A280" s="1">
        <v>45571</v>
      </c>
      <c r="B280" s="2">
        <v>4</v>
      </c>
      <c r="C280" s="303"/>
      <c r="D280" s="301"/>
    </row>
    <row r="281" spans="1:4" x14ac:dyDescent="0.45">
      <c r="A281" s="1">
        <v>45572</v>
      </c>
      <c r="B281" s="2">
        <v>0</v>
      </c>
      <c r="C281" s="303"/>
      <c r="D281" s="301"/>
    </row>
    <row r="282" spans="1:4" x14ac:dyDescent="0.45">
      <c r="A282" s="1">
        <v>45573</v>
      </c>
      <c r="B282" s="2">
        <v>2</v>
      </c>
      <c r="C282" s="303"/>
      <c r="D282" s="301"/>
    </row>
    <row r="283" spans="1:4" x14ac:dyDescent="0.45">
      <c r="A283" s="1">
        <v>45574</v>
      </c>
      <c r="B283" s="2">
        <v>6</v>
      </c>
      <c r="C283" s="303"/>
      <c r="D283" s="301"/>
    </row>
    <row r="284" spans="1:4" x14ac:dyDescent="0.45">
      <c r="A284" s="1">
        <v>45575</v>
      </c>
      <c r="B284" s="2">
        <v>6</v>
      </c>
      <c r="C284" s="303"/>
      <c r="D284" s="301"/>
    </row>
    <row r="285" spans="1:4" x14ac:dyDescent="0.45">
      <c r="A285" s="1">
        <v>45576</v>
      </c>
      <c r="B285" s="2">
        <v>8</v>
      </c>
      <c r="C285" s="303"/>
      <c r="D285" s="301"/>
    </row>
    <row r="286" spans="1:4" x14ac:dyDescent="0.45">
      <c r="A286" s="1">
        <v>45577</v>
      </c>
      <c r="B286" s="2">
        <v>8</v>
      </c>
      <c r="C286" s="303"/>
      <c r="D286" s="301"/>
    </row>
    <row r="287" spans="1:4" x14ac:dyDescent="0.45">
      <c r="A287" s="1">
        <v>45578</v>
      </c>
      <c r="B287" s="2">
        <v>6</v>
      </c>
      <c r="C287" s="303"/>
      <c r="D287" s="301"/>
    </row>
    <row r="288" spans="1:4" x14ac:dyDescent="0.45">
      <c r="A288" s="1">
        <v>45579</v>
      </c>
      <c r="B288" s="2">
        <v>6</v>
      </c>
      <c r="C288" s="303"/>
      <c r="D288" s="301"/>
    </row>
    <row r="289" spans="1:4" x14ac:dyDescent="0.45">
      <c r="A289" s="1">
        <v>45580</v>
      </c>
      <c r="B289" s="2">
        <v>6</v>
      </c>
      <c r="C289" s="303"/>
      <c r="D289" s="301"/>
    </row>
    <row r="290" spans="1:4" x14ac:dyDescent="0.45">
      <c r="A290" s="1">
        <v>45581</v>
      </c>
      <c r="B290" s="2">
        <v>4</v>
      </c>
      <c r="C290" s="303"/>
      <c r="D290" s="301"/>
    </row>
    <row r="291" spans="1:4" x14ac:dyDescent="0.45">
      <c r="A291" s="1">
        <v>45582</v>
      </c>
      <c r="B291" s="2">
        <v>6</v>
      </c>
      <c r="C291" s="303"/>
      <c r="D291" s="301"/>
    </row>
    <row r="292" spans="1:4" x14ac:dyDescent="0.45">
      <c r="A292" s="1">
        <v>45583</v>
      </c>
      <c r="B292" s="2">
        <v>8</v>
      </c>
      <c r="C292" s="303"/>
      <c r="D292" s="301"/>
    </row>
    <row r="293" spans="1:4" x14ac:dyDescent="0.45">
      <c r="A293" s="1">
        <v>45584</v>
      </c>
      <c r="B293" s="2">
        <v>6</v>
      </c>
      <c r="C293" s="303"/>
      <c r="D293" s="301"/>
    </row>
    <row r="294" spans="1:4" x14ac:dyDescent="0.45">
      <c r="A294" s="1">
        <v>45585</v>
      </c>
      <c r="B294" s="2">
        <v>6</v>
      </c>
      <c r="C294" s="303"/>
      <c r="D294" s="301"/>
    </row>
    <row r="295" spans="1:4" x14ac:dyDescent="0.45">
      <c r="A295" s="1">
        <v>45586</v>
      </c>
      <c r="B295" s="2">
        <v>6</v>
      </c>
      <c r="C295" s="303"/>
      <c r="D295" s="301"/>
    </row>
    <row r="296" spans="1:4" x14ac:dyDescent="0.45">
      <c r="A296" s="1">
        <v>45587</v>
      </c>
      <c r="B296" s="2">
        <v>6</v>
      </c>
      <c r="C296" s="303"/>
      <c r="D296" s="301"/>
    </row>
    <row r="297" spans="1:4" x14ac:dyDescent="0.45">
      <c r="A297" s="1">
        <v>45588</v>
      </c>
      <c r="B297" s="2">
        <v>4</v>
      </c>
      <c r="C297" s="303"/>
      <c r="D297" s="301"/>
    </row>
    <row r="298" spans="1:4" x14ac:dyDescent="0.45">
      <c r="A298" s="1">
        <v>45589</v>
      </c>
      <c r="B298" s="2">
        <v>4</v>
      </c>
      <c r="C298" s="303"/>
      <c r="D298" s="301"/>
    </row>
    <row r="299" spans="1:4" x14ac:dyDescent="0.45">
      <c r="A299" s="1">
        <v>45590</v>
      </c>
      <c r="B299" s="2">
        <v>6</v>
      </c>
      <c r="C299" s="303"/>
      <c r="D299" s="301"/>
    </row>
    <row r="300" spans="1:4" x14ac:dyDescent="0.45">
      <c r="A300" s="1">
        <v>45591</v>
      </c>
      <c r="B300" s="2">
        <v>6</v>
      </c>
      <c r="C300" s="303"/>
      <c r="D300" s="301"/>
    </row>
    <row r="301" spans="1:4" x14ac:dyDescent="0.45">
      <c r="A301" s="1">
        <v>45592</v>
      </c>
      <c r="B301" s="2">
        <v>4</v>
      </c>
      <c r="C301" s="303"/>
      <c r="D301" s="301"/>
    </row>
    <row r="302" spans="1:4" x14ac:dyDescent="0.45">
      <c r="A302" s="1">
        <v>45593</v>
      </c>
      <c r="B302" s="2">
        <v>6</v>
      </c>
      <c r="C302" s="303"/>
      <c r="D302" s="301"/>
    </row>
    <row r="303" spans="1:4" x14ac:dyDescent="0.45">
      <c r="A303" s="1">
        <v>45594</v>
      </c>
      <c r="B303" s="2">
        <v>8</v>
      </c>
      <c r="C303" s="303"/>
      <c r="D303" s="301"/>
    </row>
    <row r="304" spans="1:4" x14ac:dyDescent="0.45">
      <c r="A304" s="1">
        <v>45595</v>
      </c>
      <c r="B304" s="2">
        <v>8</v>
      </c>
      <c r="C304" s="303"/>
      <c r="D304" s="301"/>
    </row>
    <row r="305" spans="1:15" x14ac:dyDescent="0.45">
      <c r="A305" s="1">
        <v>45596</v>
      </c>
      <c r="B305" s="2">
        <v>10</v>
      </c>
      <c r="C305" s="274"/>
      <c r="D305" s="301"/>
    </row>
    <row r="306" spans="1:15" x14ac:dyDescent="0.45">
      <c r="A306" s="1">
        <v>45597</v>
      </c>
      <c r="B306" s="2">
        <v>6</v>
      </c>
      <c r="C306" s="302">
        <f>AVERAGE(B306:B335)</f>
        <v>5.5333333333333332</v>
      </c>
      <c r="D306" s="301"/>
    </row>
    <row r="307" spans="1:15" x14ac:dyDescent="0.45">
      <c r="A307" s="1">
        <v>45598</v>
      </c>
      <c r="B307" s="2">
        <v>2</v>
      </c>
      <c r="C307" s="303"/>
      <c r="D307" s="301"/>
    </row>
    <row r="308" spans="1:15" x14ac:dyDescent="0.45">
      <c r="A308" s="1">
        <v>45599</v>
      </c>
      <c r="B308" s="2">
        <v>0</v>
      </c>
      <c r="C308" s="303"/>
      <c r="D308" s="301"/>
    </row>
    <row r="309" spans="1:15" x14ac:dyDescent="0.45">
      <c r="A309" s="1">
        <v>45600</v>
      </c>
      <c r="B309" s="2">
        <v>4</v>
      </c>
      <c r="C309" s="303"/>
      <c r="D309" s="301"/>
    </row>
    <row r="310" spans="1:15" x14ac:dyDescent="0.45">
      <c r="A310" s="1">
        <v>45601</v>
      </c>
      <c r="B310" s="2">
        <v>6</v>
      </c>
      <c r="C310" s="303"/>
      <c r="D310" s="301"/>
    </row>
    <row r="311" spans="1:15" x14ac:dyDescent="0.45">
      <c r="A311" s="1">
        <v>45602</v>
      </c>
      <c r="B311" s="2">
        <v>6</v>
      </c>
      <c r="C311" s="303"/>
      <c r="D311" s="301"/>
    </row>
    <row r="312" spans="1:15" x14ac:dyDescent="0.45">
      <c r="A312" s="1">
        <v>45603</v>
      </c>
      <c r="B312" s="2">
        <v>6</v>
      </c>
      <c r="C312" s="303"/>
      <c r="D312" s="301"/>
    </row>
    <row r="313" spans="1:15" x14ac:dyDescent="0.45">
      <c r="A313" s="1">
        <v>45604</v>
      </c>
      <c r="B313" s="2">
        <v>8</v>
      </c>
      <c r="C313" s="303"/>
      <c r="D313" s="301"/>
    </row>
    <row r="314" spans="1:15" x14ac:dyDescent="0.45">
      <c r="A314" s="1">
        <v>45605</v>
      </c>
      <c r="B314" s="2">
        <v>6</v>
      </c>
      <c r="C314" s="303"/>
      <c r="D314" s="301"/>
    </row>
    <row r="315" spans="1:15" x14ac:dyDescent="0.45">
      <c r="A315" s="1">
        <v>45606</v>
      </c>
      <c r="B315" s="2">
        <v>8</v>
      </c>
      <c r="C315" s="303"/>
      <c r="D315" s="301"/>
    </row>
    <row r="316" spans="1:15" x14ac:dyDescent="0.45">
      <c r="A316" s="1">
        <v>45607</v>
      </c>
      <c r="B316" s="2">
        <v>8</v>
      </c>
      <c r="C316" s="303"/>
      <c r="D316" s="301"/>
      <c r="M316" s="3"/>
      <c r="O316" s="3"/>
    </row>
    <row r="317" spans="1:15" x14ac:dyDescent="0.45">
      <c r="A317" s="1">
        <v>45608</v>
      </c>
      <c r="B317" s="2">
        <v>2</v>
      </c>
      <c r="C317" s="303"/>
      <c r="D317" s="301"/>
      <c r="M317" s="3"/>
      <c r="O317" s="3"/>
    </row>
    <row r="318" spans="1:15" x14ac:dyDescent="0.45">
      <c r="A318" s="1">
        <v>45609</v>
      </c>
      <c r="B318" s="2">
        <v>6</v>
      </c>
      <c r="C318" s="303"/>
      <c r="D318" s="301"/>
      <c r="M318" s="3"/>
      <c r="O318" s="3"/>
    </row>
    <row r="319" spans="1:15" x14ac:dyDescent="0.45">
      <c r="A319" s="1">
        <v>45610</v>
      </c>
      <c r="B319" s="2">
        <v>8</v>
      </c>
      <c r="C319" s="303"/>
      <c r="D319" s="301"/>
    </row>
    <row r="320" spans="1:15" x14ac:dyDescent="0.45">
      <c r="A320" s="1">
        <v>45611</v>
      </c>
      <c r="B320" s="2">
        <v>8</v>
      </c>
      <c r="C320" s="303"/>
      <c r="D320" s="301"/>
    </row>
    <row r="321" spans="1:4" x14ac:dyDescent="0.45">
      <c r="A321" s="1">
        <v>45612</v>
      </c>
      <c r="B321" s="2">
        <v>6</v>
      </c>
      <c r="C321" s="303"/>
      <c r="D321" s="301"/>
    </row>
    <row r="322" spans="1:4" x14ac:dyDescent="0.45">
      <c r="A322" s="1">
        <v>45613</v>
      </c>
      <c r="B322" s="2">
        <v>6</v>
      </c>
      <c r="C322" s="303"/>
      <c r="D322" s="301"/>
    </row>
    <row r="323" spans="1:4" x14ac:dyDescent="0.45">
      <c r="A323" s="1">
        <v>45614</v>
      </c>
      <c r="B323" s="2">
        <v>4</v>
      </c>
      <c r="C323" s="303"/>
      <c r="D323" s="301"/>
    </row>
    <row r="324" spans="1:4" x14ac:dyDescent="0.45">
      <c r="A324" s="1">
        <v>45615</v>
      </c>
      <c r="B324" s="2">
        <v>8</v>
      </c>
      <c r="C324" s="303"/>
      <c r="D324" s="301"/>
    </row>
    <row r="325" spans="1:4" x14ac:dyDescent="0.45">
      <c r="A325" s="1">
        <v>45616</v>
      </c>
      <c r="B325" s="2">
        <v>6</v>
      </c>
      <c r="C325" s="303"/>
      <c r="D325" s="301"/>
    </row>
    <row r="326" spans="1:4" x14ac:dyDescent="0.45">
      <c r="A326" s="1">
        <v>45617</v>
      </c>
      <c r="B326" s="2">
        <v>4</v>
      </c>
      <c r="C326" s="303"/>
      <c r="D326" s="301"/>
    </row>
    <row r="327" spans="1:4" x14ac:dyDescent="0.45">
      <c r="A327" s="1">
        <v>45618</v>
      </c>
      <c r="B327" s="2">
        <v>4</v>
      </c>
      <c r="C327" s="303"/>
      <c r="D327" s="301"/>
    </row>
    <row r="328" spans="1:4" x14ac:dyDescent="0.45">
      <c r="A328" s="1">
        <v>45619</v>
      </c>
      <c r="B328" s="2">
        <v>6</v>
      </c>
      <c r="C328" s="303"/>
      <c r="D328" s="301"/>
    </row>
    <row r="329" spans="1:4" x14ac:dyDescent="0.45">
      <c r="A329" s="1">
        <v>45620</v>
      </c>
      <c r="B329" s="2">
        <v>8</v>
      </c>
      <c r="C329" s="303"/>
      <c r="D329" s="301"/>
    </row>
    <row r="330" spans="1:4" x14ac:dyDescent="0.45">
      <c r="A330" s="1">
        <v>45621</v>
      </c>
      <c r="B330" s="2">
        <v>4</v>
      </c>
      <c r="C330" s="303"/>
      <c r="D330" s="301"/>
    </row>
    <row r="331" spans="1:4" x14ac:dyDescent="0.45">
      <c r="A331" s="1">
        <v>45622</v>
      </c>
      <c r="B331" s="2">
        <v>6</v>
      </c>
      <c r="C331" s="303"/>
      <c r="D331" s="301"/>
    </row>
    <row r="332" spans="1:4" x14ac:dyDescent="0.45">
      <c r="A332" s="1">
        <v>45623</v>
      </c>
      <c r="B332" s="2">
        <v>6</v>
      </c>
      <c r="C332" s="303"/>
      <c r="D332" s="301"/>
    </row>
    <row r="333" spans="1:4" x14ac:dyDescent="0.45">
      <c r="A333" s="1">
        <v>45624</v>
      </c>
      <c r="B333" s="2">
        <v>2</v>
      </c>
      <c r="C333" s="303"/>
      <c r="D333" s="301"/>
    </row>
    <row r="334" spans="1:4" x14ac:dyDescent="0.45">
      <c r="A334" s="1">
        <v>45625</v>
      </c>
      <c r="B334" s="2">
        <v>6</v>
      </c>
      <c r="C334" s="303"/>
      <c r="D334" s="301"/>
    </row>
    <row r="335" spans="1:4" x14ac:dyDescent="0.45">
      <c r="A335" s="1">
        <v>45626</v>
      </c>
      <c r="B335" s="2">
        <v>6</v>
      </c>
      <c r="C335" s="274"/>
      <c r="D335" s="301"/>
    </row>
    <row r="336" spans="1:4" x14ac:dyDescent="0.45">
      <c r="A336" s="1">
        <v>45627</v>
      </c>
      <c r="B336" s="2">
        <v>6</v>
      </c>
      <c r="C336" s="302">
        <f>AVERAGE(B336:B366)</f>
        <v>4.709677419354839</v>
      </c>
      <c r="D336" s="301"/>
    </row>
    <row r="337" spans="1:4" x14ac:dyDescent="0.45">
      <c r="A337" s="1">
        <v>45628</v>
      </c>
      <c r="B337" s="2">
        <v>4</v>
      </c>
      <c r="C337" s="303"/>
      <c r="D337" s="301"/>
    </row>
    <row r="338" spans="1:4" x14ac:dyDescent="0.45">
      <c r="A338" s="1">
        <v>45629</v>
      </c>
      <c r="B338" s="2">
        <v>4</v>
      </c>
      <c r="C338" s="303"/>
      <c r="D338" s="301"/>
    </row>
    <row r="339" spans="1:4" x14ac:dyDescent="0.45">
      <c r="A339" s="1">
        <v>45630</v>
      </c>
      <c r="B339" s="2">
        <v>6</v>
      </c>
      <c r="C339" s="303"/>
      <c r="D339" s="301"/>
    </row>
    <row r="340" spans="1:4" x14ac:dyDescent="0.45">
      <c r="A340" s="1">
        <v>45631</v>
      </c>
      <c r="B340" s="2">
        <v>6</v>
      </c>
      <c r="C340" s="303"/>
      <c r="D340" s="301"/>
    </row>
    <row r="341" spans="1:4" x14ac:dyDescent="0.45">
      <c r="A341" s="1">
        <v>45632</v>
      </c>
      <c r="B341" s="2">
        <v>6</v>
      </c>
      <c r="C341" s="303"/>
      <c r="D341" s="301"/>
    </row>
    <row r="342" spans="1:4" x14ac:dyDescent="0.45">
      <c r="A342" s="1">
        <v>45633</v>
      </c>
      <c r="B342" s="2">
        <v>6</v>
      </c>
      <c r="C342" s="303"/>
      <c r="D342" s="301"/>
    </row>
    <row r="343" spans="1:4" x14ac:dyDescent="0.45">
      <c r="A343" s="1">
        <v>45634</v>
      </c>
      <c r="B343" s="2">
        <v>4</v>
      </c>
      <c r="C343" s="303"/>
      <c r="D343" s="301"/>
    </row>
    <row r="344" spans="1:4" x14ac:dyDescent="0.45">
      <c r="A344" s="1">
        <v>45635</v>
      </c>
      <c r="B344" s="2">
        <v>4</v>
      </c>
      <c r="C344" s="303"/>
      <c r="D344" s="301"/>
    </row>
    <row r="345" spans="1:4" x14ac:dyDescent="0.45">
      <c r="A345" s="1">
        <v>45636</v>
      </c>
      <c r="B345" s="2">
        <v>4</v>
      </c>
      <c r="C345" s="303"/>
      <c r="D345" s="301"/>
    </row>
    <row r="346" spans="1:4" x14ac:dyDescent="0.45">
      <c r="A346" s="1">
        <v>45637</v>
      </c>
      <c r="B346" s="2">
        <v>4</v>
      </c>
      <c r="C346" s="303"/>
      <c r="D346" s="301"/>
    </row>
    <row r="347" spans="1:4" x14ac:dyDescent="0.45">
      <c r="A347" s="1">
        <v>45638</v>
      </c>
      <c r="B347" s="2">
        <v>6</v>
      </c>
      <c r="C347" s="303"/>
      <c r="D347" s="301"/>
    </row>
    <row r="348" spans="1:4" x14ac:dyDescent="0.45">
      <c r="A348" s="1">
        <v>45639</v>
      </c>
      <c r="B348" s="2">
        <v>4</v>
      </c>
      <c r="C348" s="303"/>
      <c r="D348" s="301"/>
    </row>
    <row r="349" spans="1:4" x14ac:dyDescent="0.45">
      <c r="A349" s="1">
        <v>45640</v>
      </c>
      <c r="B349" s="2">
        <v>6</v>
      </c>
      <c r="C349" s="303"/>
      <c r="D349" s="301"/>
    </row>
    <row r="350" spans="1:4" x14ac:dyDescent="0.45">
      <c r="A350" s="1">
        <v>45641</v>
      </c>
      <c r="B350" s="2">
        <v>4</v>
      </c>
      <c r="C350" s="303"/>
      <c r="D350" s="301"/>
    </row>
    <row r="351" spans="1:4" x14ac:dyDescent="0.45">
      <c r="A351" s="1">
        <v>45642</v>
      </c>
      <c r="B351" s="2">
        <v>4</v>
      </c>
      <c r="C351" s="303"/>
      <c r="D351" s="301"/>
    </row>
    <row r="352" spans="1:4" x14ac:dyDescent="0.45">
      <c r="A352" s="1">
        <v>45643</v>
      </c>
      <c r="B352" s="2">
        <v>2</v>
      </c>
      <c r="C352" s="303"/>
      <c r="D352" s="301"/>
    </row>
    <row r="353" spans="1:4" x14ac:dyDescent="0.45">
      <c r="A353" s="1">
        <v>45644</v>
      </c>
      <c r="B353" s="2">
        <v>4</v>
      </c>
      <c r="C353" s="303"/>
      <c r="D353" s="301"/>
    </row>
    <row r="354" spans="1:4" x14ac:dyDescent="0.45">
      <c r="A354" s="1">
        <v>45645</v>
      </c>
      <c r="B354" s="2">
        <v>2</v>
      </c>
      <c r="C354" s="303"/>
      <c r="D354" s="301"/>
    </row>
    <row r="355" spans="1:4" x14ac:dyDescent="0.45">
      <c r="A355" s="1">
        <v>45646</v>
      </c>
      <c r="B355" s="2">
        <v>4</v>
      </c>
      <c r="C355" s="303"/>
      <c r="D355" s="301"/>
    </row>
    <row r="356" spans="1:4" x14ac:dyDescent="0.45">
      <c r="A356" s="1">
        <v>45647</v>
      </c>
      <c r="B356" s="2">
        <v>4</v>
      </c>
      <c r="C356" s="303"/>
      <c r="D356" s="301"/>
    </row>
    <row r="357" spans="1:4" x14ac:dyDescent="0.45">
      <c r="A357" s="1">
        <v>45648</v>
      </c>
      <c r="B357" s="2">
        <v>4</v>
      </c>
      <c r="C357" s="303"/>
      <c r="D357" s="301"/>
    </row>
    <row r="358" spans="1:4" x14ac:dyDescent="0.45">
      <c r="A358" s="1">
        <v>45649</v>
      </c>
      <c r="B358" s="2">
        <v>4</v>
      </c>
      <c r="C358" s="303"/>
      <c r="D358" s="301"/>
    </row>
    <row r="359" spans="1:4" x14ac:dyDescent="0.45">
      <c r="A359" s="1">
        <v>45650</v>
      </c>
      <c r="B359" s="2">
        <v>10</v>
      </c>
      <c r="C359" s="303"/>
      <c r="D359" s="301"/>
    </row>
    <row r="360" spans="1:4" x14ac:dyDescent="0.45">
      <c r="A360" s="1">
        <v>45651</v>
      </c>
      <c r="B360" s="2">
        <v>6</v>
      </c>
      <c r="C360" s="303"/>
      <c r="D360" s="301"/>
    </row>
    <row r="361" spans="1:4" x14ac:dyDescent="0.45">
      <c r="A361" s="1">
        <v>45652</v>
      </c>
      <c r="B361" s="2">
        <v>4</v>
      </c>
      <c r="C361" s="303"/>
      <c r="D361" s="301"/>
    </row>
    <row r="362" spans="1:4" x14ac:dyDescent="0.45">
      <c r="A362" s="1">
        <v>45653</v>
      </c>
      <c r="B362" s="2">
        <v>4</v>
      </c>
      <c r="C362" s="303"/>
      <c r="D362" s="301"/>
    </row>
    <row r="363" spans="1:4" x14ac:dyDescent="0.45">
      <c r="A363" s="1">
        <v>45654</v>
      </c>
      <c r="B363" s="2">
        <v>4</v>
      </c>
      <c r="C363" s="303"/>
      <c r="D363" s="301"/>
    </row>
    <row r="364" spans="1:4" x14ac:dyDescent="0.45">
      <c r="A364" s="1">
        <v>45655</v>
      </c>
      <c r="B364" s="2">
        <v>6</v>
      </c>
      <c r="C364" s="303"/>
      <c r="D364" s="301"/>
    </row>
    <row r="365" spans="1:4" x14ac:dyDescent="0.45">
      <c r="A365" s="1">
        <v>45656</v>
      </c>
      <c r="B365" s="2">
        <v>4</v>
      </c>
      <c r="C365" s="303"/>
      <c r="D365" s="301"/>
    </row>
    <row r="366" spans="1:4" x14ac:dyDescent="0.45">
      <c r="A366" s="1">
        <v>45657</v>
      </c>
      <c r="B366" s="2">
        <v>6</v>
      </c>
      <c r="C366" s="274"/>
      <c r="D366" s="301"/>
    </row>
  </sheetData>
  <mergeCells count="20">
    <mergeCell ref="C61:C91"/>
    <mergeCell ref="D1:D366"/>
    <mergeCell ref="C92:C121"/>
    <mergeCell ref="C122:C152"/>
    <mergeCell ref="C153:C182"/>
    <mergeCell ref="C183:C213"/>
    <mergeCell ref="C214:C244"/>
    <mergeCell ref="C245:C274"/>
    <mergeCell ref="C275:C305"/>
    <mergeCell ref="C306:C335"/>
    <mergeCell ref="C336:C366"/>
    <mergeCell ref="F24:G24"/>
    <mergeCell ref="C1:C31"/>
    <mergeCell ref="C32:C60"/>
    <mergeCell ref="F27:H27"/>
    <mergeCell ref="S19:S22"/>
    <mergeCell ref="S23:S26"/>
    <mergeCell ref="S27:S30"/>
    <mergeCell ref="F28:H28"/>
    <mergeCell ref="L19:L30"/>
  </mergeCells>
  <phoneticPr fontId="1" type="noConversion"/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92 C122 C153 C183 C214 C245 C275 C306 C336 C367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:S3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AC88-9315-4C6A-8BC7-94A1FBF8A424}">
  <dimension ref="A1:K229"/>
  <sheetViews>
    <sheetView topLeftCell="A4" zoomScale="67" workbookViewId="0">
      <selection activeCell="F6" sqref="F6"/>
    </sheetView>
  </sheetViews>
  <sheetFormatPr defaultRowHeight="14.35" x14ac:dyDescent="0.5"/>
  <cols>
    <col min="1" max="1" width="10.1171875" bestFit="1" customWidth="1"/>
    <col min="2" max="2" width="9.52734375" bestFit="1" customWidth="1"/>
    <col min="3" max="3" width="14.64453125" bestFit="1" customWidth="1"/>
    <col min="10" max="10" width="9.46875" bestFit="1" customWidth="1"/>
  </cols>
  <sheetData>
    <row r="1" spans="1:7" s="252" customFormat="1" ht="57.35" x14ac:dyDescent="0.5">
      <c r="A1" s="252" t="s">
        <v>108</v>
      </c>
      <c r="B1" s="252" t="s">
        <v>543</v>
      </c>
      <c r="C1" s="252" t="s">
        <v>545</v>
      </c>
      <c r="D1" s="252" t="s">
        <v>544</v>
      </c>
      <c r="E1" s="252" t="s">
        <v>546</v>
      </c>
      <c r="F1" s="252" t="s">
        <v>547</v>
      </c>
      <c r="G1" s="252" t="s">
        <v>548</v>
      </c>
    </row>
    <row r="2" spans="1:7" x14ac:dyDescent="0.5">
      <c r="A2" s="172">
        <v>46160</v>
      </c>
      <c r="B2">
        <f>SUM(C2:H2)</f>
        <v>8</v>
      </c>
      <c r="C2">
        <v>3</v>
      </c>
      <c r="D2">
        <v>2</v>
      </c>
      <c r="E2">
        <v>0</v>
      </c>
      <c r="F2">
        <v>2</v>
      </c>
      <c r="G2">
        <v>1</v>
      </c>
    </row>
    <row r="3" spans="1:7" x14ac:dyDescent="0.5">
      <c r="A3" s="172">
        <v>46161</v>
      </c>
      <c r="B3">
        <f t="shared" ref="B3:B66" si="0">SUM(C3:H3)</f>
        <v>6</v>
      </c>
      <c r="C3">
        <v>1</v>
      </c>
      <c r="D3">
        <v>1</v>
      </c>
      <c r="E3">
        <v>2</v>
      </c>
      <c r="F3">
        <v>1</v>
      </c>
      <c r="G3">
        <v>1</v>
      </c>
    </row>
    <row r="4" spans="1:7" x14ac:dyDescent="0.5">
      <c r="A4" s="172">
        <v>46162</v>
      </c>
      <c r="B4">
        <f t="shared" si="0"/>
        <v>4</v>
      </c>
      <c r="C4">
        <v>0</v>
      </c>
      <c r="D4">
        <v>0</v>
      </c>
      <c r="E4">
        <v>2</v>
      </c>
      <c r="F4">
        <v>1</v>
      </c>
      <c r="G4">
        <v>1</v>
      </c>
    </row>
    <row r="5" spans="1:7" x14ac:dyDescent="0.5">
      <c r="A5" s="172">
        <v>46163</v>
      </c>
      <c r="B5">
        <f t="shared" si="0"/>
        <v>0</v>
      </c>
    </row>
    <row r="6" spans="1:7" x14ac:dyDescent="0.5">
      <c r="A6" s="172">
        <v>46164</v>
      </c>
      <c r="B6">
        <f t="shared" si="0"/>
        <v>0</v>
      </c>
    </row>
    <row r="7" spans="1:7" x14ac:dyDescent="0.5">
      <c r="A7" s="172">
        <v>46165</v>
      </c>
      <c r="B7">
        <f t="shared" si="0"/>
        <v>0</v>
      </c>
    </row>
    <row r="8" spans="1:7" x14ac:dyDescent="0.5">
      <c r="A8" s="172">
        <v>46166</v>
      </c>
      <c r="B8">
        <f t="shared" si="0"/>
        <v>0</v>
      </c>
    </row>
    <row r="9" spans="1:7" x14ac:dyDescent="0.5">
      <c r="A9" s="172">
        <v>46167</v>
      </c>
      <c r="B9">
        <f t="shared" si="0"/>
        <v>0</v>
      </c>
    </row>
    <row r="10" spans="1:7" x14ac:dyDescent="0.5">
      <c r="A10" s="172">
        <v>46168</v>
      </c>
      <c r="B10">
        <f t="shared" si="0"/>
        <v>0</v>
      </c>
    </row>
    <row r="11" spans="1:7" x14ac:dyDescent="0.5">
      <c r="A11" s="172">
        <v>46169</v>
      </c>
      <c r="B11">
        <f t="shared" si="0"/>
        <v>0</v>
      </c>
    </row>
    <row r="12" spans="1:7" x14ac:dyDescent="0.5">
      <c r="A12" s="172">
        <v>46170</v>
      </c>
      <c r="B12">
        <f t="shared" si="0"/>
        <v>0</v>
      </c>
    </row>
    <row r="13" spans="1:7" x14ac:dyDescent="0.5">
      <c r="A13" s="172">
        <v>46171</v>
      </c>
      <c r="B13">
        <f t="shared" si="0"/>
        <v>0</v>
      </c>
    </row>
    <row r="14" spans="1:7" x14ac:dyDescent="0.5">
      <c r="A14" s="172">
        <v>46172</v>
      </c>
      <c r="B14">
        <f t="shared" si="0"/>
        <v>0</v>
      </c>
    </row>
    <row r="15" spans="1:7" x14ac:dyDescent="0.5">
      <c r="A15" s="172">
        <v>46173</v>
      </c>
      <c r="B15">
        <f t="shared" si="0"/>
        <v>0</v>
      </c>
    </row>
    <row r="16" spans="1:7" x14ac:dyDescent="0.5">
      <c r="A16" s="172">
        <v>46174</v>
      </c>
      <c r="B16">
        <f t="shared" si="0"/>
        <v>0</v>
      </c>
    </row>
    <row r="17" spans="1:11" x14ac:dyDescent="0.5">
      <c r="A17" s="172">
        <v>46175</v>
      </c>
      <c r="B17">
        <f t="shared" si="0"/>
        <v>0</v>
      </c>
    </row>
    <row r="18" spans="1:11" x14ac:dyDescent="0.5">
      <c r="A18" s="172">
        <v>46176</v>
      </c>
      <c r="B18">
        <f t="shared" si="0"/>
        <v>0</v>
      </c>
    </row>
    <row r="19" spans="1:11" x14ac:dyDescent="0.5">
      <c r="A19" s="172">
        <v>46177</v>
      </c>
      <c r="B19">
        <f t="shared" si="0"/>
        <v>0</v>
      </c>
    </row>
    <row r="20" spans="1:11" x14ac:dyDescent="0.5">
      <c r="A20" s="172">
        <v>46178</v>
      </c>
      <c r="B20">
        <f t="shared" si="0"/>
        <v>0</v>
      </c>
    </row>
    <row r="21" spans="1:11" x14ac:dyDescent="0.5">
      <c r="A21" s="172">
        <v>46179</v>
      </c>
      <c r="B21">
        <f t="shared" si="0"/>
        <v>0</v>
      </c>
    </row>
    <row r="22" spans="1:11" x14ac:dyDescent="0.5">
      <c r="A22" s="172">
        <v>46180</v>
      </c>
      <c r="B22">
        <f t="shared" si="0"/>
        <v>0</v>
      </c>
    </row>
    <row r="23" spans="1:11" x14ac:dyDescent="0.5">
      <c r="A23" s="172">
        <v>46181</v>
      </c>
      <c r="B23">
        <f t="shared" si="0"/>
        <v>0</v>
      </c>
    </row>
    <row r="24" spans="1:11" x14ac:dyDescent="0.5">
      <c r="A24" s="172">
        <v>46182</v>
      </c>
      <c r="B24">
        <f t="shared" si="0"/>
        <v>0</v>
      </c>
    </row>
    <row r="25" spans="1:11" x14ac:dyDescent="0.5">
      <c r="A25" s="172">
        <v>46183</v>
      </c>
      <c r="B25">
        <f t="shared" si="0"/>
        <v>0</v>
      </c>
    </row>
    <row r="26" spans="1:11" x14ac:dyDescent="0.5">
      <c r="A26" s="172">
        <v>46184</v>
      </c>
      <c r="B26">
        <f t="shared" si="0"/>
        <v>0</v>
      </c>
    </row>
    <row r="27" spans="1:11" x14ac:dyDescent="0.5">
      <c r="A27" s="172">
        <v>46185</v>
      </c>
      <c r="B27">
        <f t="shared" si="0"/>
        <v>0</v>
      </c>
    </row>
    <row r="28" spans="1:11" x14ac:dyDescent="0.5">
      <c r="A28" s="172">
        <v>46186</v>
      </c>
      <c r="B28">
        <f t="shared" si="0"/>
        <v>0</v>
      </c>
    </row>
    <row r="29" spans="1:11" x14ac:dyDescent="0.5">
      <c r="A29" s="172">
        <v>46187</v>
      </c>
      <c r="B29">
        <f t="shared" si="0"/>
        <v>0</v>
      </c>
    </row>
    <row r="30" spans="1:11" x14ac:dyDescent="0.5">
      <c r="A30" s="172">
        <v>46188</v>
      </c>
      <c r="B30">
        <f t="shared" si="0"/>
        <v>0</v>
      </c>
    </row>
    <row r="31" spans="1:11" x14ac:dyDescent="0.5">
      <c r="A31" s="172">
        <v>46189</v>
      </c>
      <c r="B31">
        <f t="shared" si="0"/>
        <v>0</v>
      </c>
    </row>
    <row r="32" spans="1:11" x14ac:dyDescent="0.5">
      <c r="A32" s="172">
        <v>46190</v>
      </c>
      <c r="B32">
        <f t="shared" si="0"/>
        <v>0</v>
      </c>
      <c r="J32" t="s">
        <v>207</v>
      </c>
      <c r="K32" t="s">
        <v>549</v>
      </c>
    </row>
    <row r="33" spans="1:11" x14ac:dyDescent="0.5">
      <c r="A33" s="172">
        <v>46191</v>
      </c>
      <c r="B33">
        <f t="shared" si="0"/>
        <v>0</v>
      </c>
      <c r="J33" t="s">
        <v>550</v>
      </c>
      <c r="K33">
        <f>COUNTIFS($B$2:$B$229,"&gt;=0",$B$2:$B$229,"&lt;=6")</f>
        <v>227</v>
      </c>
    </row>
    <row r="34" spans="1:11" x14ac:dyDescent="0.5">
      <c r="A34" s="172">
        <v>46192</v>
      </c>
      <c r="B34">
        <f t="shared" si="0"/>
        <v>0</v>
      </c>
      <c r="J34" t="s">
        <v>551</v>
      </c>
      <c r="K34">
        <f>COUNTIFS($B$2:$B$229,"&gt;6",$B$2:$B$229,"&lt;=9")</f>
        <v>1</v>
      </c>
    </row>
    <row r="35" spans="1:11" x14ac:dyDescent="0.5">
      <c r="A35" s="172">
        <v>46193</v>
      </c>
      <c r="B35">
        <f t="shared" si="0"/>
        <v>0</v>
      </c>
      <c r="J35" t="s">
        <v>552</v>
      </c>
      <c r="K35">
        <f>COUNTIFS($B$2:$B$229,"&gt;=10",$B$2:$B$229,"&lt;=11")</f>
        <v>0</v>
      </c>
    </row>
    <row r="36" spans="1:11" x14ac:dyDescent="0.5">
      <c r="A36" s="172">
        <v>46194</v>
      </c>
      <c r="B36">
        <f t="shared" si="0"/>
        <v>0</v>
      </c>
      <c r="J36" t="s">
        <v>553</v>
      </c>
      <c r="K36">
        <f>COUNTIFS($B$2:$B$229,"&gt;=12",$B$2:$B$229,"&lt;=13")</f>
        <v>0</v>
      </c>
    </row>
    <row r="37" spans="1:11" x14ac:dyDescent="0.5">
      <c r="A37" s="172">
        <v>46195</v>
      </c>
      <c r="B37">
        <f t="shared" si="0"/>
        <v>0</v>
      </c>
      <c r="J37" t="s">
        <v>554</v>
      </c>
      <c r="K37">
        <f>COUNTIFS($B$2:$B$229,"&gt;=14",$B$2:$B$229,"&lt;=15")</f>
        <v>0</v>
      </c>
    </row>
    <row r="38" spans="1:11" x14ac:dyDescent="0.5">
      <c r="A38" s="172">
        <v>46196</v>
      </c>
      <c r="B38">
        <f t="shared" si="0"/>
        <v>0</v>
      </c>
    </row>
    <row r="39" spans="1:11" x14ac:dyDescent="0.5">
      <c r="A39" s="172">
        <v>46197</v>
      </c>
      <c r="B39">
        <f t="shared" si="0"/>
        <v>0</v>
      </c>
    </row>
    <row r="40" spans="1:11" x14ac:dyDescent="0.5">
      <c r="A40" s="172">
        <v>46198</v>
      </c>
      <c r="B40">
        <f t="shared" si="0"/>
        <v>0</v>
      </c>
    </row>
    <row r="41" spans="1:11" x14ac:dyDescent="0.5">
      <c r="A41" s="172">
        <v>46199</v>
      </c>
      <c r="B41">
        <f t="shared" si="0"/>
        <v>0</v>
      </c>
    </row>
    <row r="42" spans="1:11" x14ac:dyDescent="0.5">
      <c r="A42" s="172">
        <v>46200</v>
      </c>
      <c r="B42">
        <f t="shared" si="0"/>
        <v>0</v>
      </c>
    </row>
    <row r="43" spans="1:11" x14ac:dyDescent="0.5">
      <c r="A43" s="172">
        <v>46201</v>
      </c>
      <c r="B43">
        <f t="shared" si="0"/>
        <v>0</v>
      </c>
    </row>
    <row r="44" spans="1:11" x14ac:dyDescent="0.5">
      <c r="A44" s="172">
        <v>46202</v>
      </c>
      <c r="B44">
        <f t="shared" si="0"/>
        <v>0</v>
      </c>
    </row>
    <row r="45" spans="1:11" x14ac:dyDescent="0.5">
      <c r="A45" s="172">
        <v>46203</v>
      </c>
      <c r="B45">
        <f t="shared" si="0"/>
        <v>0</v>
      </c>
    </row>
    <row r="46" spans="1:11" x14ac:dyDescent="0.5">
      <c r="A46" s="172">
        <v>46204</v>
      </c>
      <c r="B46">
        <f t="shared" si="0"/>
        <v>0</v>
      </c>
    </row>
    <row r="47" spans="1:11" x14ac:dyDescent="0.5">
      <c r="A47" s="172">
        <v>46205</v>
      </c>
      <c r="B47">
        <f t="shared" si="0"/>
        <v>0</v>
      </c>
    </row>
    <row r="48" spans="1:11" x14ac:dyDescent="0.5">
      <c r="A48" s="172">
        <v>46206</v>
      </c>
      <c r="B48">
        <f t="shared" si="0"/>
        <v>0</v>
      </c>
    </row>
    <row r="49" spans="1:2" x14ac:dyDescent="0.5">
      <c r="A49" s="172">
        <v>46207</v>
      </c>
      <c r="B49">
        <f t="shared" si="0"/>
        <v>0</v>
      </c>
    </row>
    <row r="50" spans="1:2" x14ac:dyDescent="0.5">
      <c r="A50" s="172">
        <v>46208</v>
      </c>
      <c r="B50">
        <f t="shared" si="0"/>
        <v>0</v>
      </c>
    </row>
    <row r="51" spans="1:2" x14ac:dyDescent="0.5">
      <c r="A51" s="172">
        <v>46209</v>
      </c>
      <c r="B51">
        <f t="shared" si="0"/>
        <v>0</v>
      </c>
    </row>
    <row r="52" spans="1:2" x14ac:dyDescent="0.5">
      <c r="A52" s="172">
        <v>46210</v>
      </c>
      <c r="B52">
        <f t="shared" si="0"/>
        <v>0</v>
      </c>
    </row>
    <row r="53" spans="1:2" x14ac:dyDescent="0.5">
      <c r="A53" s="172">
        <v>46211</v>
      </c>
      <c r="B53">
        <f t="shared" si="0"/>
        <v>0</v>
      </c>
    </row>
    <row r="54" spans="1:2" x14ac:dyDescent="0.5">
      <c r="A54" s="172">
        <v>46212</v>
      </c>
      <c r="B54">
        <f t="shared" si="0"/>
        <v>0</v>
      </c>
    </row>
    <row r="55" spans="1:2" x14ac:dyDescent="0.5">
      <c r="A55" s="172">
        <v>46213</v>
      </c>
      <c r="B55">
        <f t="shared" si="0"/>
        <v>0</v>
      </c>
    </row>
    <row r="56" spans="1:2" x14ac:dyDescent="0.5">
      <c r="A56" s="172">
        <v>46214</v>
      </c>
      <c r="B56">
        <f t="shared" si="0"/>
        <v>0</v>
      </c>
    </row>
    <row r="57" spans="1:2" x14ac:dyDescent="0.5">
      <c r="A57" s="172">
        <v>46215</v>
      </c>
      <c r="B57">
        <f t="shared" si="0"/>
        <v>0</v>
      </c>
    </row>
    <row r="58" spans="1:2" x14ac:dyDescent="0.5">
      <c r="A58" s="172">
        <v>46216</v>
      </c>
      <c r="B58">
        <f t="shared" si="0"/>
        <v>0</v>
      </c>
    </row>
    <row r="59" spans="1:2" x14ac:dyDescent="0.5">
      <c r="A59" s="172">
        <v>46217</v>
      </c>
      <c r="B59">
        <f t="shared" si="0"/>
        <v>0</v>
      </c>
    </row>
    <row r="60" spans="1:2" x14ac:dyDescent="0.5">
      <c r="A60" s="172">
        <v>46218</v>
      </c>
      <c r="B60">
        <f t="shared" si="0"/>
        <v>0</v>
      </c>
    </row>
    <row r="61" spans="1:2" x14ac:dyDescent="0.5">
      <c r="A61" s="172">
        <v>46219</v>
      </c>
      <c r="B61">
        <f t="shared" si="0"/>
        <v>0</v>
      </c>
    </row>
    <row r="62" spans="1:2" x14ac:dyDescent="0.5">
      <c r="A62" s="172">
        <v>46220</v>
      </c>
      <c r="B62">
        <f t="shared" si="0"/>
        <v>0</v>
      </c>
    </row>
    <row r="63" spans="1:2" x14ac:dyDescent="0.5">
      <c r="A63" s="172">
        <v>46221</v>
      </c>
      <c r="B63">
        <f t="shared" si="0"/>
        <v>0</v>
      </c>
    </row>
    <row r="64" spans="1:2" x14ac:dyDescent="0.5">
      <c r="A64" s="172">
        <v>46222</v>
      </c>
      <c r="B64">
        <f t="shared" si="0"/>
        <v>0</v>
      </c>
    </row>
    <row r="65" spans="1:2" x14ac:dyDescent="0.5">
      <c r="A65" s="172">
        <v>46223</v>
      </c>
      <c r="B65">
        <f t="shared" si="0"/>
        <v>0</v>
      </c>
    </row>
    <row r="66" spans="1:2" x14ac:dyDescent="0.5">
      <c r="A66" s="172">
        <v>46224</v>
      </c>
      <c r="B66">
        <f t="shared" si="0"/>
        <v>0</v>
      </c>
    </row>
    <row r="67" spans="1:2" x14ac:dyDescent="0.5">
      <c r="A67" s="172">
        <v>46225</v>
      </c>
      <c r="B67">
        <f t="shared" ref="B67:B130" si="1">SUM(C67:H67)</f>
        <v>0</v>
      </c>
    </row>
    <row r="68" spans="1:2" x14ac:dyDescent="0.5">
      <c r="A68" s="172">
        <v>46226</v>
      </c>
      <c r="B68">
        <f t="shared" si="1"/>
        <v>0</v>
      </c>
    </row>
    <row r="69" spans="1:2" x14ac:dyDescent="0.5">
      <c r="A69" s="172">
        <v>46227</v>
      </c>
      <c r="B69">
        <f t="shared" si="1"/>
        <v>0</v>
      </c>
    </row>
    <row r="70" spans="1:2" x14ac:dyDescent="0.5">
      <c r="A70" s="172">
        <v>46228</v>
      </c>
      <c r="B70">
        <f t="shared" si="1"/>
        <v>0</v>
      </c>
    </row>
    <row r="71" spans="1:2" x14ac:dyDescent="0.5">
      <c r="A71" s="172">
        <v>46229</v>
      </c>
      <c r="B71">
        <f t="shared" si="1"/>
        <v>0</v>
      </c>
    </row>
    <row r="72" spans="1:2" x14ac:dyDescent="0.5">
      <c r="A72" s="172">
        <v>46230</v>
      </c>
      <c r="B72">
        <f t="shared" si="1"/>
        <v>0</v>
      </c>
    </row>
    <row r="73" spans="1:2" x14ac:dyDescent="0.5">
      <c r="A73" s="172">
        <v>46231</v>
      </c>
      <c r="B73">
        <f t="shared" si="1"/>
        <v>0</v>
      </c>
    </row>
    <row r="74" spans="1:2" x14ac:dyDescent="0.5">
      <c r="A74" s="172">
        <v>46232</v>
      </c>
      <c r="B74">
        <f t="shared" si="1"/>
        <v>0</v>
      </c>
    </row>
    <row r="75" spans="1:2" x14ac:dyDescent="0.5">
      <c r="A75" s="172">
        <v>46233</v>
      </c>
      <c r="B75">
        <f t="shared" si="1"/>
        <v>0</v>
      </c>
    </row>
    <row r="76" spans="1:2" x14ac:dyDescent="0.5">
      <c r="A76" s="172">
        <v>46234</v>
      </c>
      <c r="B76">
        <f t="shared" si="1"/>
        <v>0</v>
      </c>
    </row>
    <row r="77" spans="1:2" x14ac:dyDescent="0.5">
      <c r="A77" s="172">
        <v>46235</v>
      </c>
      <c r="B77">
        <f t="shared" si="1"/>
        <v>0</v>
      </c>
    </row>
    <row r="78" spans="1:2" x14ac:dyDescent="0.5">
      <c r="A78" s="172">
        <v>46236</v>
      </c>
      <c r="B78">
        <f t="shared" si="1"/>
        <v>0</v>
      </c>
    </row>
    <row r="79" spans="1:2" x14ac:dyDescent="0.5">
      <c r="A79" s="172">
        <v>46237</v>
      </c>
      <c r="B79">
        <f t="shared" si="1"/>
        <v>0</v>
      </c>
    </row>
    <row r="80" spans="1:2" x14ac:dyDescent="0.5">
      <c r="A80" s="172">
        <v>46238</v>
      </c>
      <c r="B80">
        <f t="shared" si="1"/>
        <v>0</v>
      </c>
    </row>
    <row r="81" spans="1:2" x14ac:dyDescent="0.5">
      <c r="A81" s="172">
        <v>46239</v>
      </c>
      <c r="B81">
        <f t="shared" si="1"/>
        <v>0</v>
      </c>
    </row>
    <row r="82" spans="1:2" x14ac:dyDescent="0.5">
      <c r="A82" s="172">
        <v>46240</v>
      </c>
      <c r="B82">
        <f t="shared" si="1"/>
        <v>0</v>
      </c>
    </row>
    <row r="83" spans="1:2" x14ac:dyDescent="0.5">
      <c r="A83" s="172">
        <v>46241</v>
      </c>
      <c r="B83">
        <f t="shared" si="1"/>
        <v>0</v>
      </c>
    </row>
    <row r="84" spans="1:2" x14ac:dyDescent="0.5">
      <c r="A84" s="172">
        <v>46242</v>
      </c>
      <c r="B84">
        <f t="shared" si="1"/>
        <v>0</v>
      </c>
    </row>
    <row r="85" spans="1:2" x14ac:dyDescent="0.5">
      <c r="A85" s="172">
        <v>46243</v>
      </c>
      <c r="B85">
        <f t="shared" si="1"/>
        <v>0</v>
      </c>
    </row>
    <row r="86" spans="1:2" x14ac:dyDescent="0.5">
      <c r="A86" s="172">
        <v>46244</v>
      </c>
      <c r="B86">
        <f t="shared" si="1"/>
        <v>0</v>
      </c>
    </row>
    <row r="87" spans="1:2" x14ac:dyDescent="0.5">
      <c r="A87" s="172">
        <v>46245</v>
      </c>
      <c r="B87">
        <f t="shared" si="1"/>
        <v>0</v>
      </c>
    </row>
    <row r="88" spans="1:2" x14ac:dyDescent="0.5">
      <c r="A88" s="172">
        <v>46246</v>
      </c>
      <c r="B88">
        <f t="shared" si="1"/>
        <v>0</v>
      </c>
    </row>
    <row r="89" spans="1:2" x14ac:dyDescent="0.5">
      <c r="A89" s="172">
        <v>46247</v>
      </c>
      <c r="B89">
        <f t="shared" si="1"/>
        <v>0</v>
      </c>
    </row>
    <row r="90" spans="1:2" x14ac:dyDescent="0.5">
      <c r="A90" s="172">
        <v>46248</v>
      </c>
      <c r="B90">
        <f t="shared" si="1"/>
        <v>0</v>
      </c>
    </row>
    <row r="91" spans="1:2" x14ac:dyDescent="0.5">
      <c r="A91" s="172">
        <v>46249</v>
      </c>
      <c r="B91">
        <f t="shared" si="1"/>
        <v>0</v>
      </c>
    </row>
    <row r="92" spans="1:2" x14ac:dyDescent="0.5">
      <c r="A92" s="172">
        <v>46250</v>
      </c>
      <c r="B92">
        <f t="shared" si="1"/>
        <v>0</v>
      </c>
    </row>
    <row r="93" spans="1:2" x14ac:dyDescent="0.5">
      <c r="A93" s="172">
        <v>46251</v>
      </c>
      <c r="B93">
        <f t="shared" si="1"/>
        <v>0</v>
      </c>
    </row>
    <row r="94" spans="1:2" x14ac:dyDescent="0.5">
      <c r="A94" s="172">
        <v>46252</v>
      </c>
      <c r="B94">
        <f t="shared" si="1"/>
        <v>0</v>
      </c>
    </row>
    <row r="95" spans="1:2" x14ac:dyDescent="0.5">
      <c r="A95" s="172">
        <v>46253</v>
      </c>
      <c r="B95">
        <f t="shared" si="1"/>
        <v>0</v>
      </c>
    </row>
    <row r="96" spans="1:2" x14ac:dyDescent="0.5">
      <c r="A96" s="172">
        <v>46254</v>
      </c>
      <c r="B96">
        <f t="shared" si="1"/>
        <v>0</v>
      </c>
    </row>
    <row r="97" spans="1:2" x14ac:dyDescent="0.5">
      <c r="A97" s="172">
        <v>46255</v>
      </c>
      <c r="B97">
        <f t="shared" si="1"/>
        <v>0</v>
      </c>
    </row>
    <row r="98" spans="1:2" x14ac:dyDescent="0.5">
      <c r="A98" s="172">
        <v>46256</v>
      </c>
      <c r="B98">
        <f t="shared" si="1"/>
        <v>0</v>
      </c>
    </row>
    <row r="99" spans="1:2" x14ac:dyDescent="0.5">
      <c r="A99" s="172">
        <v>46257</v>
      </c>
      <c r="B99">
        <f t="shared" si="1"/>
        <v>0</v>
      </c>
    </row>
    <row r="100" spans="1:2" x14ac:dyDescent="0.5">
      <c r="A100" s="172">
        <v>46258</v>
      </c>
      <c r="B100">
        <f t="shared" si="1"/>
        <v>0</v>
      </c>
    </row>
    <row r="101" spans="1:2" x14ac:dyDescent="0.5">
      <c r="A101" s="172">
        <v>46259</v>
      </c>
      <c r="B101">
        <f t="shared" si="1"/>
        <v>0</v>
      </c>
    </row>
    <row r="102" spans="1:2" x14ac:dyDescent="0.5">
      <c r="A102" s="172">
        <v>46260</v>
      </c>
      <c r="B102">
        <f t="shared" si="1"/>
        <v>0</v>
      </c>
    </row>
    <row r="103" spans="1:2" x14ac:dyDescent="0.5">
      <c r="A103" s="172">
        <v>46261</v>
      </c>
      <c r="B103">
        <f t="shared" si="1"/>
        <v>0</v>
      </c>
    </row>
    <row r="104" spans="1:2" x14ac:dyDescent="0.5">
      <c r="A104" s="172">
        <v>46262</v>
      </c>
      <c r="B104">
        <f t="shared" si="1"/>
        <v>0</v>
      </c>
    </row>
    <row r="105" spans="1:2" x14ac:dyDescent="0.5">
      <c r="A105" s="172">
        <v>46263</v>
      </c>
      <c r="B105">
        <f t="shared" si="1"/>
        <v>0</v>
      </c>
    </row>
    <row r="106" spans="1:2" x14ac:dyDescent="0.5">
      <c r="A106" s="172">
        <v>46264</v>
      </c>
      <c r="B106">
        <f t="shared" si="1"/>
        <v>0</v>
      </c>
    </row>
    <row r="107" spans="1:2" x14ac:dyDescent="0.5">
      <c r="A107" s="172">
        <v>46265</v>
      </c>
      <c r="B107">
        <f t="shared" si="1"/>
        <v>0</v>
      </c>
    </row>
    <row r="108" spans="1:2" x14ac:dyDescent="0.5">
      <c r="A108" s="172">
        <v>46266</v>
      </c>
      <c r="B108">
        <f t="shared" si="1"/>
        <v>0</v>
      </c>
    </row>
    <row r="109" spans="1:2" x14ac:dyDescent="0.5">
      <c r="A109" s="172">
        <v>46267</v>
      </c>
      <c r="B109">
        <f t="shared" si="1"/>
        <v>0</v>
      </c>
    </row>
    <row r="110" spans="1:2" x14ac:dyDescent="0.5">
      <c r="A110" s="172">
        <v>46268</v>
      </c>
      <c r="B110">
        <f t="shared" si="1"/>
        <v>0</v>
      </c>
    </row>
    <row r="111" spans="1:2" x14ac:dyDescent="0.5">
      <c r="A111" s="172">
        <v>46269</v>
      </c>
      <c r="B111">
        <f t="shared" si="1"/>
        <v>0</v>
      </c>
    </row>
    <row r="112" spans="1:2" x14ac:dyDescent="0.5">
      <c r="A112" s="172">
        <v>46270</v>
      </c>
      <c r="B112">
        <f t="shared" si="1"/>
        <v>0</v>
      </c>
    </row>
    <row r="113" spans="1:2" x14ac:dyDescent="0.5">
      <c r="A113" s="172">
        <v>46271</v>
      </c>
      <c r="B113">
        <f t="shared" si="1"/>
        <v>0</v>
      </c>
    </row>
    <row r="114" spans="1:2" x14ac:dyDescent="0.5">
      <c r="A114" s="172">
        <v>46272</v>
      </c>
      <c r="B114">
        <f t="shared" si="1"/>
        <v>0</v>
      </c>
    </row>
    <row r="115" spans="1:2" x14ac:dyDescent="0.5">
      <c r="A115" s="172">
        <v>46273</v>
      </c>
      <c r="B115">
        <f t="shared" si="1"/>
        <v>0</v>
      </c>
    </row>
    <row r="116" spans="1:2" x14ac:dyDescent="0.5">
      <c r="A116" s="172">
        <v>46274</v>
      </c>
      <c r="B116">
        <f t="shared" si="1"/>
        <v>0</v>
      </c>
    </row>
    <row r="117" spans="1:2" x14ac:dyDescent="0.5">
      <c r="A117" s="172">
        <v>46275</v>
      </c>
      <c r="B117">
        <f t="shared" si="1"/>
        <v>0</v>
      </c>
    </row>
    <row r="118" spans="1:2" x14ac:dyDescent="0.5">
      <c r="A118" s="172">
        <v>46276</v>
      </c>
      <c r="B118">
        <f t="shared" si="1"/>
        <v>0</v>
      </c>
    </row>
    <row r="119" spans="1:2" x14ac:dyDescent="0.5">
      <c r="A119" s="172">
        <v>46277</v>
      </c>
      <c r="B119">
        <f t="shared" si="1"/>
        <v>0</v>
      </c>
    </row>
    <row r="120" spans="1:2" x14ac:dyDescent="0.5">
      <c r="A120" s="172">
        <v>46278</v>
      </c>
      <c r="B120">
        <f t="shared" si="1"/>
        <v>0</v>
      </c>
    </row>
    <row r="121" spans="1:2" x14ac:dyDescent="0.5">
      <c r="A121" s="172">
        <v>46279</v>
      </c>
      <c r="B121">
        <f t="shared" si="1"/>
        <v>0</v>
      </c>
    </row>
    <row r="122" spans="1:2" x14ac:dyDescent="0.5">
      <c r="A122" s="172">
        <v>46280</v>
      </c>
      <c r="B122">
        <f t="shared" si="1"/>
        <v>0</v>
      </c>
    </row>
    <row r="123" spans="1:2" x14ac:dyDescent="0.5">
      <c r="A123" s="172">
        <v>46281</v>
      </c>
      <c r="B123">
        <f t="shared" si="1"/>
        <v>0</v>
      </c>
    </row>
    <row r="124" spans="1:2" x14ac:dyDescent="0.5">
      <c r="A124" s="172">
        <v>46282</v>
      </c>
      <c r="B124">
        <f t="shared" si="1"/>
        <v>0</v>
      </c>
    </row>
    <row r="125" spans="1:2" x14ac:dyDescent="0.5">
      <c r="A125" s="172">
        <v>46283</v>
      </c>
      <c r="B125">
        <f t="shared" si="1"/>
        <v>0</v>
      </c>
    </row>
    <row r="126" spans="1:2" x14ac:dyDescent="0.5">
      <c r="A126" s="172">
        <v>46284</v>
      </c>
      <c r="B126">
        <f t="shared" si="1"/>
        <v>0</v>
      </c>
    </row>
    <row r="127" spans="1:2" x14ac:dyDescent="0.5">
      <c r="A127" s="172">
        <v>46285</v>
      </c>
      <c r="B127">
        <f t="shared" si="1"/>
        <v>0</v>
      </c>
    </row>
    <row r="128" spans="1:2" x14ac:dyDescent="0.5">
      <c r="A128" s="172">
        <v>46286</v>
      </c>
      <c r="B128">
        <f t="shared" si="1"/>
        <v>0</v>
      </c>
    </row>
    <row r="129" spans="1:2" x14ac:dyDescent="0.5">
      <c r="A129" s="172">
        <v>46287</v>
      </c>
      <c r="B129">
        <f t="shared" si="1"/>
        <v>0</v>
      </c>
    </row>
    <row r="130" spans="1:2" x14ac:dyDescent="0.5">
      <c r="A130" s="172">
        <v>46288</v>
      </c>
      <c r="B130">
        <f t="shared" si="1"/>
        <v>0</v>
      </c>
    </row>
    <row r="131" spans="1:2" x14ac:dyDescent="0.5">
      <c r="A131" s="172">
        <v>46289</v>
      </c>
      <c r="B131">
        <f t="shared" ref="B131:B194" si="2">SUM(C131:H131)</f>
        <v>0</v>
      </c>
    </row>
    <row r="132" spans="1:2" x14ac:dyDescent="0.5">
      <c r="A132" s="172">
        <v>46290</v>
      </c>
      <c r="B132">
        <f t="shared" si="2"/>
        <v>0</v>
      </c>
    </row>
    <row r="133" spans="1:2" x14ac:dyDescent="0.5">
      <c r="A133" s="172">
        <v>46291</v>
      </c>
      <c r="B133">
        <f t="shared" si="2"/>
        <v>0</v>
      </c>
    </row>
    <row r="134" spans="1:2" x14ac:dyDescent="0.5">
      <c r="A134" s="172">
        <v>46292</v>
      </c>
      <c r="B134">
        <f t="shared" si="2"/>
        <v>0</v>
      </c>
    </row>
    <row r="135" spans="1:2" x14ac:dyDescent="0.5">
      <c r="A135" s="172">
        <v>46293</v>
      </c>
      <c r="B135">
        <f t="shared" si="2"/>
        <v>0</v>
      </c>
    </row>
    <row r="136" spans="1:2" x14ac:dyDescent="0.5">
      <c r="A136" s="172">
        <v>46294</v>
      </c>
      <c r="B136">
        <f t="shared" si="2"/>
        <v>0</v>
      </c>
    </row>
    <row r="137" spans="1:2" x14ac:dyDescent="0.5">
      <c r="A137" s="172">
        <v>46295</v>
      </c>
      <c r="B137">
        <f t="shared" si="2"/>
        <v>0</v>
      </c>
    </row>
    <row r="138" spans="1:2" x14ac:dyDescent="0.5">
      <c r="A138" s="172">
        <v>46296</v>
      </c>
      <c r="B138">
        <f t="shared" si="2"/>
        <v>0</v>
      </c>
    </row>
    <row r="139" spans="1:2" x14ac:dyDescent="0.5">
      <c r="A139" s="172">
        <v>46297</v>
      </c>
      <c r="B139">
        <f t="shared" si="2"/>
        <v>0</v>
      </c>
    </row>
    <row r="140" spans="1:2" x14ac:dyDescent="0.5">
      <c r="A140" s="172">
        <v>46298</v>
      </c>
      <c r="B140">
        <f t="shared" si="2"/>
        <v>0</v>
      </c>
    </row>
    <row r="141" spans="1:2" x14ac:dyDescent="0.5">
      <c r="A141" s="172">
        <v>46299</v>
      </c>
      <c r="B141">
        <f t="shared" si="2"/>
        <v>0</v>
      </c>
    </row>
    <row r="142" spans="1:2" x14ac:dyDescent="0.5">
      <c r="A142" s="172">
        <v>46300</v>
      </c>
      <c r="B142">
        <f t="shared" si="2"/>
        <v>0</v>
      </c>
    </row>
    <row r="143" spans="1:2" x14ac:dyDescent="0.5">
      <c r="A143" s="172">
        <v>46301</v>
      </c>
      <c r="B143">
        <f t="shared" si="2"/>
        <v>0</v>
      </c>
    </row>
    <row r="144" spans="1:2" x14ac:dyDescent="0.5">
      <c r="A144" s="172">
        <v>46302</v>
      </c>
      <c r="B144">
        <f t="shared" si="2"/>
        <v>0</v>
      </c>
    </row>
    <row r="145" spans="1:2" x14ac:dyDescent="0.5">
      <c r="A145" s="172">
        <v>46303</v>
      </c>
      <c r="B145">
        <f t="shared" si="2"/>
        <v>0</v>
      </c>
    </row>
    <row r="146" spans="1:2" x14ac:dyDescent="0.5">
      <c r="A146" s="172">
        <v>46304</v>
      </c>
      <c r="B146">
        <f t="shared" si="2"/>
        <v>0</v>
      </c>
    </row>
    <row r="147" spans="1:2" x14ac:dyDescent="0.5">
      <c r="A147" s="172">
        <v>46305</v>
      </c>
      <c r="B147">
        <f t="shared" si="2"/>
        <v>0</v>
      </c>
    </row>
    <row r="148" spans="1:2" x14ac:dyDescent="0.5">
      <c r="A148" s="172">
        <v>46306</v>
      </c>
      <c r="B148">
        <f t="shared" si="2"/>
        <v>0</v>
      </c>
    </row>
    <row r="149" spans="1:2" x14ac:dyDescent="0.5">
      <c r="A149" s="172">
        <v>46307</v>
      </c>
      <c r="B149">
        <f t="shared" si="2"/>
        <v>0</v>
      </c>
    </row>
    <row r="150" spans="1:2" x14ac:dyDescent="0.5">
      <c r="A150" s="172">
        <v>46308</v>
      </c>
      <c r="B150">
        <f t="shared" si="2"/>
        <v>0</v>
      </c>
    </row>
    <row r="151" spans="1:2" x14ac:dyDescent="0.5">
      <c r="A151" s="172">
        <v>46309</v>
      </c>
      <c r="B151">
        <f t="shared" si="2"/>
        <v>0</v>
      </c>
    </row>
    <row r="152" spans="1:2" x14ac:dyDescent="0.5">
      <c r="A152" s="172">
        <v>46310</v>
      </c>
      <c r="B152">
        <f t="shared" si="2"/>
        <v>0</v>
      </c>
    </row>
    <row r="153" spans="1:2" x14ac:dyDescent="0.5">
      <c r="A153" s="172">
        <v>46311</v>
      </c>
      <c r="B153">
        <f t="shared" si="2"/>
        <v>0</v>
      </c>
    </row>
    <row r="154" spans="1:2" x14ac:dyDescent="0.5">
      <c r="A154" s="172">
        <v>46312</v>
      </c>
      <c r="B154">
        <f t="shared" si="2"/>
        <v>0</v>
      </c>
    </row>
    <row r="155" spans="1:2" x14ac:dyDescent="0.5">
      <c r="A155" s="172">
        <v>46313</v>
      </c>
      <c r="B155">
        <f t="shared" si="2"/>
        <v>0</v>
      </c>
    </row>
    <row r="156" spans="1:2" x14ac:dyDescent="0.5">
      <c r="A156" s="172">
        <v>46314</v>
      </c>
      <c r="B156">
        <f t="shared" si="2"/>
        <v>0</v>
      </c>
    </row>
    <row r="157" spans="1:2" x14ac:dyDescent="0.5">
      <c r="A157" s="172">
        <v>46315</v>
      </c>
      <c r="B157">
        <f t="shared" si="2"/>
        <v>0</v>
      </c>
    </row>
    <row r="158" spans="1:2" x14ac:dyDescent="0.5">
      <c r="A158" s="172">
        <v>46316</v>
      </c>
      <c r="B158">
        <f t="shared" si="2"/>
        <v>0</v>
      </c>
    </row>
    <row r="159" spans="1:2" x14ac:dyDescent="0.5">
      <c r="A159" s="172">
        <v>46317</v>
      </c>
      <c r="B159">
        <f t="shared" si="2"/>
        <v>0</v>
      </c>
    </row>
    <row r="160" spans="1:2" x14ac:dyDescent="0.5">
      <c r="A160" s="172">
        <v>46318</v>
      </c>
      <c r="B160">
        <f t="shared" si="2"/>
        <v>0</v>
      </c>
    </row>
    <row r="161" spans="1:2" x14ac:dyDescent="0.5">
      <c r="A161" s="172">
        <v>46319</v>
      </c>
      <c r="B161">
        <f t="shared" si="2"/>
        <v>0</v>
      </c>
    </row>
    <row r="162" spans="1:2" x14ac:dyDescent="0.5">
      <c r="A162" s="172">
        <v>46320</v>
      </c>
      <c r="B162">
        <f t="shared" si="2"/>
        <v>0</v>
      </c>
    </row>
    <row r="163" spans="1:2" x14ac:dyDescent="0.5">
      <c r="A163" s="172">
        <v>46321</v>
      </c>
      <c r="B163">
        <f t="shared" si="2"/>
        <v>0</v>
      </c>
    </row>
    <row r="164" spans="1:2" x14ac:dyDescent="0.5">
      <c r="A164" s="172">
        <v>46322</v>
      </c>
      <c r="B164">
        <f t="shared" si="2"/>
        <v>0</v>
      </c>
    </row>
    <row r="165" spans="1:2" x14ac:dyDescent="0.5">
      <c r="A165" s="172">
        <v>46323</v>
      </c>
      <c r="B165">
        <f t="shared" si="2"/>
        <v>0</v>
      </c>
    </row>
    <row r="166" spans="1:2" x14ac:dyDescent="0.5">
      <c r="A166" s="172">
        <v>46324</v>
      </c>
      <c r="B166">
        <f t="shared" si="2"/>
        <v>0</v>
      </c>
    </row>
    <row r="167" spans="1:2" x14ac:dyDescent="0.5">
      <c r="A167" s="172">
        <v>46325</v>
      </c>
      <c r="B167">
        <f t="shared" si="2"/>
        <v>0</v>
      </c>
    </row>
    <row r="168" spans="1:2" x14ac:dyDescent="0.5">
      <c r="A168" s="172">
        <v>46326</v>
      </c>
      <c r="B168">
        <f t="shared" si="2"/>
        <v>0</v>
      </c>
    </row>
    <row r="169" spans="1:2" x14ac:dyDescent="0.5">
      <c r="A169" s="172">
        <v>46327</v>
      </c>
      <c r="B169">
        <f t="shared" si="2"/>
        <v>0</v>
      </c>
    </row>
    <row r="170" spans="1:2" x14ac:dyDescent="0.5">
      <c r="A170" s="172">
        <v>46328</v>
      </c>
      <c r="B170">
        <f t="shared" si="2"/>
        <v>0</v>
      </c>
    </row>
    <row r="171" spans="1:2" x14ac:dyDescent="0.5">
      <c r="A171" s="172">
        <v>46329</v>
      </c>
      <c r="B171">
        <f t="shared" si="2"/>
        <v>0</v>
      </c>
    </row>
    <row r="172" spans="1:2" x14ac:dyDescent="0.5">
      <c r="A172" s="172">
        <v>46330</v>
      </c>
      <c r="B172">
        <f t="shared" si="2"/>
        <v>0</v>
      </c>
    </row>
    <row r="173" spans="1:2" x14ac:dyDescent="0.5">
      <c r="A173" s="172">
        <v>46331</v>
      </c>
      <c r="B173">
        <f t="shared" si="2"/>
        <v>0</v>
      </c>
    </row>
    <row r="174" spans="1:2" x14ac:dyDescent="0.5">
      <c r="A174" s="172">
        <v>46332</v>
      </c>
      <c r="B174">
        <f t="shared" si="2"/>
        <v>0</v>
      </c>
    </row>
    <row r="175" spans="1:2" x14ac:dyDescent="0.5">
      <c r="A175" s="172">
        <v>46333</v>
      </c>
      <c r="B175">
        <f t="shared" si="2"/>
        <v>0</v>
      </c>
    </row>
    <row r="176" spans="1:2" x14ac:dyDescent="0.5">
      <c r="A176" s="172">
        <v>46334</v>
      </c>
      <c r="B176">
        <f t="shared" si="2"/>
        <v>0</v>
      </c>
    </row>
    <row r="177" spans="1:2" x14ac:dyDescent="0.5">
      <c r="A177" s="172">
        <v>46335</v>
      </c>
      <c r="B177">
        <f t="shared" si="2"/>
        <v>0</v>
      </c>
    </row>
    <row r="178" spans="1:2" x14ac:dyDescent="0.5">
      <c r="A178" s="172">
        <v>46336</v>
      </c>
      <c r="B178">
        <f t="shared" si="2"/>
        <v>0</v>
      </c>
    </row>
    <row r="179" spans="1:2" x14ac:dyDescent="0.5">
      <c r="A179" s="172">
        <v>46337</v>
      </c>
      <c r="B179">
        <f t="shared" si="2"/>
        <v>0</v>
      </c>
    </row>
    <row r="180" spans="1:2" x14ac:dyDescent="0.5">
      <c r="A180" s="172">
        <v>46338</v>
      </c>
      <c r="B180">
        <f t="shared" si="2"/>
        <v>0</v>
      </c>
    </row>
    <row r="181" spans="1:2" x14ac:dyDescent="0.5">
      <c r="A181" s="172">
        <v>46339</v>
      </c>
      <c r="B181">
        <f t="shared" si="2"/>
        <v>0</v>
      </c>
    </row>
    <row r="182" spans="1:2" x14ac:dyDescent="0.5">
      <c r="A182" s="172">
        <v>46340</v>
      </c>
      <c r="B182">
        <f t="shared" si="2"/>
        <v>0</v>
      </c>
    </row>
    <row r="183" spans="1:2" x14ac:dyDescent="0.5">
      <c r="A183" s="172">
        <v>46341</v>
      </c>
      <c r="B183">
        <f t="shared" si="2"/>
        <v>0</v>
      </c>
    </row>
    <row r="184" spans="1:2" x14ac:dyDescent="0.5">
      <c r="A184" s="172">
        <v>46342</v>
      </c>
      <c r="B184">
        <f t="shared" si="2"/>
        <v>0</v>
      </c>
    </row>
    <row r="185" spans="1:2" x14ac:dyDescent="0.5">
      <c r="A185" s="172">
        <v>46343</v>
      </c>
      <c r="B185">
        <f t="shared" si="2"/>
        <v>0</v>
      </c>
    </row>
    <row r="186" spans="1:2" x14ac:dyDescent="0.5">
      <c r="A186" s="172">
        <v>46344</v>
      </c>
      <c r="B186">
        <f t="shared" si="2"/>
        <v>0</v>
      </c>
    </row>
    <row r="187" spans="1:2" x14ac:dyDescent="0.5">
      <c r="A187" s="172">
        <v>46345</v>
      </c>
      <c r="B187">
        <f t="shared" si="2"/>
        <v>0</v>
      </c>
    </row>
    <row r="188" spans="1:2" x14ac:dyDescent="0.5">
      <c r="A188" s="172">
        <v>46346</v>
      </c>
      <c r="B188">
        <f t="shared" si="2"/>
        <v>0</v>
      </c>
    </row>
    <row r="189" spans="1:2" x14ac:dyDescent="0.5">
      <c r="A189" s="172">
        <v>46347</v>
      </c>
      <c r="B189">
        <f t="shared" si="2"/>
        <v>0</v>
      </c>
    </row>
    <row r="190" spans="1:2" x14ac:dyDescent="0.5">
      <c r="A190" s="172">
        <v>46348</v>
      </c>
      <c r="B190">
        <f t="shared" si="2"/>
        <v>0</v>
      </c>
    </row>
    <row r="191" spans="1:2" x14ac:dyDescent="0.5">
      <c r="A191" s="172">
        <v>46349</v>
      </c>
      <c r="B191">
        <f t="shared" si="2"/>
        <v>0</v>
      </c>
    </row>
    <row r="192" spans="1:2" x14ac:dyDescent="0.5">
      <c r="A192" s="172">
        <v>46350</v>
      </c>
      <c r="B192">
        <f t="shared" si="2"/>
        <v>0</v>
      </c>
    </row>
    <row r="193" spans="1:2" x14ac:dyDescent="0.5">
      <c r="A193" s="172">
        <v>46351</v>
      </c>
      <c r="B193">
        <f t="shared" si="2"/>
        <v>0</v>
      </c>
    </row>
    <row r="194" spans="1:2" x14ac:dyDescent="0.5">
      <c r="A194" s="172">
        <v>46352</v>
      </c>
      <c r="B194">
        <f t="shared" si="2"/>
        <v>0</v>
      </c>
    </row>
    <row r="195" spans="1:2" x14ac:dyDescent="0.5">
      <c r="A195" s="172">
        <v>46353</v>
      </c>
      <c r="B195">
        <f t="shared" ref="B195:B229" si="3">SUM(C195:H195)</f>
        <v>0</v>
      </c>
    </row>
    <row r="196" spans="1:2" x14ac:dyDescent="0.5">
      <c r="A196" s="172">
        <v>46354</v>
      </c>
      <c r="B196">
        <f t="shared" si="3"/>
        <v>0</v>
      </c>
    </row>
    <row r="197" spans="1:2" x14ac:dyDescent="0.5">
      <c r="A197" s="172">
        <v>46355</v>
      </c>
      <c r="B197">
        <f t="shared" si="3"/>
        <v>0</v>
      </c>
    </row>
    <row r="198" spans="1:2" x14ac:dyDescent="0.5">
      <c r="A198" s="172">
        <v>46356</v>
      </c>
      <c r="B198">
        <f t="shared" si="3"/>
        <v>0</v>
      </c>
    </row>
    <row r="199" spans="1:2" x14ac:dyDescent="0.5">
      <c r="A199" s="172">
        <v>46357</v>
      </c>
      <c r="B199">
        <f t="shared" si="3"/>
        <v>0</v>
      </c>
    </row>
    <row r="200" spans="1:2" x14ac:dyDescent="0.5">
      <c r="A200" s="172">
        <v>46358</v>
      </c>
      <c r="B200">
        <f t="shared" si="3"/>
        <v>0</v>
      </c>
    </row>
    <row r="201" spans="1:2" x14ac:dyDescent="0.5">
      <c r="A201" s="172">
        <v>46359</v>
      </c>
      <c r="B201">
        <f t="shared" si="3"/>
        <v>0</v>
      </c>
    </row>
    <row r="202" spans="1:2" x14ac:dyDescent="0.5">
      <c r="A202" s="172">
        <v>46360</v>
      </c>
      <c r="B202">
        <f t="shared" si="3"/>
        <v>0</v>
      </c>
    </row>
    <row r="203" spans="1:2" x14ac:dyDescent="0.5">
      <c r="A203" s="172">
        <v>46361</v>
      </c>
      <c r="B203">
        <f t="shared" si="3"/>
        <v>0</v>
      </c>
    </row>
    <row r="204" spans="1:2" x14ac:dyDescent="0.5">
      <c r="A204" s="172">
        <v>46362</v>
      </c>
      <c r="B204">
        <f t="shared" si="3"/>
        <v>0</v>
      </c>
    </row>
    <row r="205" spans="1:2" x14ac:dyDescent="0.5">
      <c r="A205" s="172">
        <v>46363</v>
      </c>
      <c r="B205">
        <f t="shared" si="3"/>
        <v>0</v>
      </c>
    </row>
    <row r="206" spans="1:2" x14ac:dyDescent="0.5">
      <c r="A206" s="172">
        <v>46364</v>
      </c>
      <c r="B206">
        <f t="shared" si="3"/>
        <v>0</v>
      </c>
    </row>
    <row r="207" spans="1:2" x14ac:dyDescent="0.5">
      <c r="A207" s="172">
        <v>46365</v>
      </c>
      <c r="B207">
        <f t="shared" si="3"/>
        <v>0</v>
      </c>
    </row>
    <row r="208" spans="1:2" x14ac:dyDescent="0.5">
      <c r="A208" s="172">
        <v>46366</v>
      </c>
      <c r="B208">
        <f t="shared" si="3"/>
        <v>0</v>
      </c>
    </row>
    <row r="209" spans="1:2" x14ac:dyDescent="0.5">
      <c r="A209" s="172">
        <v>46367</v>
      </c>
      <c r="B209">
        <f t="shared" si="3"/>
        <v>0</v>
      </c>
    </row>
    <row r="210" spans="1:2" x14ac:dyDescent="0.5">
      <c r="A210" s="172">
        <v>46368</v>
      </c>
      <c r="B210">
        <f t="shared" si="3"/>
        <v>0</v>
      </c>
    </row>
    <row r="211" spans="1:2" x14ac:dyDescent="0.5">
      <c r="A211" s="172">
        <v>46369</v>
      </c>
      <c r="B211">
        <f t="shared" si="3"/>
        <v>0</v>
      </c>
    </row>
    <row r="212" spans="1:2" x14ac:dyDescent="0.5">
      <c r="A212" s="172">
        <v>46370</v>
      </c>
      <c r="B212">
        <f t="shared" si="3"/>
        <v>0</v>
      </c>
    </row>
    <row r="213" spans="1:2" x14ac:dyDescent="0.5">
      <c r="A213" s="172">
        <v>46371</v>
      </c>
      <c r="B213">
        <f t="shared" si="3"/>
        <v>0</v>
      </c>
    </row>
    <row r="214" spans="1:2" x14ac:dyDescent="0.5">
      <c r="A214" s="172">
        <v>46372</v>
      </c>
      <c r="B214">
        <f t="shared" si="3"/>
        <v>0</v>
      </c>
    </row>
    <row r="215" spans="1:2" x14ac:dyDescent="0.5">
      <c r="A215" s="172">
        <v>46373</v>
      </c>
      <c r="B215">
        <f t="shared" si="3"/>
        <v>0</v>
      </c>
    </row>
    <row r="216" spans="1:2" x14ac:dyDescent="0.5">
      <c r="A216" s="172">
        <v>46374</v>
      </c>
      <c r="B216">
        <f t="shared" si="3"/>
        <v>0</v>
      </c>
    </row>
    <row r="217" spans="1:2" x14ac:dyDescent="0.5">
      <c r="A217" s="172">
        <v>46375</v>
      </c>
      <c r="B217">
        <f t="shared" si="3"/>
        <v>0</v>
      </c>
    </row>
    <row r="218" spans="1:2" x14ac:dyDescent="0.5">
      <c r="A218" s="172">
        <v>46376</v>
      </c>
      <c r="B218">
        <f t="shared" si="3"/>
        <v>0</v>
      </c>
    </row>
    <row r="219" spans="1:2" x14ac:dyDescent="0.5">
      <c r="A219" s="172">
        <v>46377</v>
      </c>
      <c r="B219">
        <f t="shared" si="3"/>
        <v>0</v>
      </c>
    </row>
    <row r="220" spans="1:2" x14ac:dyDescent="0.5">
      <c r="A220" s="172">
        <v>46378</v>
      </c>
      <c r="B220">
        <f t="shared" si="3"/>
        <v>0</v>
      </c>
    </row>
    <row r="221" spans="1:2" x14ac:dyDescent="0.5">
      <c r="A221" s="172">
        <v>46379</v>
      </c>
      <c r="B221">
        <f t="shared" si="3"/>
        <v>0</v>
      </c>
    </row>
    <row r="222" spans="1:2" x14ac:dyDescent="0.5">
      <c r="A222" s="172">
        <v>46380</v>
      </c>
      <c r="B222">
        <f t="shared" si="3"/>
        <v>0</v>
      </c>
    </row>
    <row r="223" spans="1:2" x14ac:dyDescent="0.5">
      <c r="A223" s="172">
        <v>46381</v>
      </c>
      <c r="B223">
        <f t="shared" si="3"/>
        <v>0</v>
      </c>
    </row>
    <row r="224" spans="1:2" x14ac:dyDescent="0.5">
      <c r="A224" s="172">
        <v>46382</v>
      </c>
      <c r="B224">
        <f t="shared" si="3"/>
        <v>0</v>
      </c>
    </row>
    <row r="225" spans="1:2" x14ac:dyDescent="0.5">
      <c r="A225" s="172">
        <v>46383</v>
      </c>
      <c r="B225">
        <f t="shared" si="3"/>
        <v>0</v>
      </c>
    </row>
    <row r="226" spans="1:2" x14ac:dyDescent="0.5">
      <c r="A226" s="172">
        <v>46384</v>
      </c>
      <c r="B226">
        <f t="shared" si="3"/>
        <v>0</v>
      </c>
    </row>
    <row r="227" spans="1:2" x14ac:dyDescent="0.5">
      <c r="A227" s="172">
        <v>46385</v>
      </c>
      <c r="B227">
        <f t="shared" si="3"/>
        <v>0</v>
      </c>
    </row>
    <row r="228" spans="1:2" x14ac:dyDescent="0.5">
      <c r="A228" s="172">
        <v>46386</v>
      </c>
      <c r="B228">
        <f t="shared" si="3"/>
        <v>0</v>
      </c>
    </row>
    <row r="229" spans="1:2" x14ac:dyDescent="0.5">
      <c r="A229" s="172">
        <v>46387</v>
      </c>
      <c r="B229">
        <f t="shared" si="3"/>
        <v>0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5377-31E9-4FA8-BA99-C4C94AADD99A}">
  <dimension ref="A1:N21"/>
  <sheetViews>
    <sheetView zoomScale="80" workbookViewId="0">
      <selection activeCell="E22" sqref="E22"/>
    </sheetView>
  </sheetViews>
  <sheetFormatPr defaultRowHeight="14.35" x14ac:dyDescent="0.5"/>
  <cols>
    <col min="1" max="1" width="4.76171875" bestFit="1" customWidth="1"/>
    <col min="3" max="3" width="10.703125" bestFit="1" customWidth="1"/>
    <col min="7" max="7" width="10.87890625" bestFit="1" customWidth="1"/>
    <col min="11" max="11" width="17.29296875" customWidth="1"/>
    <col min="12" max="12" width="7.87890625" customWidth="1"/>
    <col min="13" max="13" width="19.1171875" bestFit="1" customWidth="1"/>
    <col min="14" max="14" width="47.76171875" bestFit="1" customWidth="1"/>
  </cols>
  <sheetData>
    <row r="1" spans="1:14" x14ac:dyDescent="0.5">
      <c r="A1" s="305" t="s">
        <v>52</v>
      </c>
      <c r="B1" s="305"/>
      <c r="C1" s="305"/>
      <c r="D1" s="305"/>
      <c r="E1" s="91"/>
      <c r="G1" s="304" t="s">
        <v>53</v>
      </c>
      <c r="H1" s="304"/>
      <c r="I1" s="304"/>
      <c r="J1" s="92"/>
    </row>
    <row r="2" spans="1:14" x14ac:dyDescent="0.5">
      <c r="A2" s="31" t="s">
        <v>126</v>
      </c>
      <c r="B2" s="33" t="s">
        <v>26</v>
      </c>
      <c r="C2" s="33" t="s">
        <v>27</v>
      </c>
      <c r="D2" s="33" t="s">
        <v>30</v>
      </c>
      <c r="E2" s="33" t="s">
        <v>306</v>
      </c>
      <c r="G2" s="33" t="s">
        <v>26</v>
      </c>
      <c r="H2" s="33" t="s">
        <v>27</v>
      </c>
      <c r="I2" s="33" t="s">
        <v>30</v>
      </c>
      <c r="J2" s="33" t="s">
        <v>306</v>
      </c>
      <c r="L2" s="43" t="s">
        <v>30</v>
      </c>
      <c r="M2" s="43" t="s">
        <v>306</v>
      </c>
      <c r="N2" s="31"/>
    </row>
    <row r="3" spans="1:14" x14ac:dyDescent="0.5">
      <c r="A3" s="37">
        <v>1</v>
      </c>
      <c r="B3" s="32" t="s">
        <v>32</v>
      </c>
      <c r="C3" s="32">
        <v>5.3250000000000002</v>
      </c>
      <c r="D3" s="32" t="s">
        <v>41</v>
      </c>
      <c r="E3" s="32" t="s">
        <v>323</v>
      </c>
      <c r="G3" s="32" t="s">
        <v>212</v>
      </c>
      <c r="H3" s="32">
        <v>4.29</v>
      </c>
      <c r="I3" s="32" t="s">
        <v>42</v>
      </c>
      <c r="J3" s="32" t="s">
        <v>329</v>
      </c>
      <c r="L3" s="43">
        <v>0</v>
      </c>
      <c r="M3" s="43" t="s">
        <v>307</v>
      </c>
      <c r="N3" s="31" t="s">
        <v>315</v>
      </c>
    </row>
    <row r="4" spans="1:14" x14ac:dyDescent="0.5">
      <c r="A4" s="37">
        <v>2</v>
      </c>
      <c r="B4" s="32" t="s">
        <v>29</v>
      </c>
      <c r="C4" s="32">
        <v>5.3250000000000002</v>
      </c>
      <c r="D4" s="32" t="s">
        <v>41</v>
      </c>
      <c r="E4" s="32" t="s">
        <v>324</v>
      </c>
      <c r="G4" s="32" t="s">
        <v>181</v>
      </c>
      <c r="H4" s="32">
        <v>4.2</v>
      </c>
      <c r="I4" s="32" t="s">
        <v>42</v>
      </c>
      <c r="J4" s="32" t="s">
        <v>328</v>
      </c>
      <c r="L4" s="43">
        <v>1</v>
      </c>
      <c r="M4" s="43" t="s">
        <v>308</v>
      </c>
      <c r="N4" s="31" t="s">
        <v>316</v>
      </c>
    </row>
    <row r="5" spans="1:14" x14ac:dyDescent="0.5">
      <c r="A5" s="37">
        <v>3</v>
      </c>
      <c r="B5" s="32" t="s">
        <v>36</v>
      </c>
      <c r="C5" s="32">
        <v>5.3250000000000002</v>
      </c>
      <c r="D5" s="32" t="s">
        <v>42</v>
      </c>
      <c r="E5" s="32" t="s">
        <v>185</v>
      </c>
      <c r="G5" s="32" t="s">
        <v>49</v>
      </c>
      <c r="H5" s="32">
        <v>4.2</v>
      </c>
      <c r="I5" s="32" t="s">
        <v>54</v>
      </c>
      <c r="J5" s="32" t="s">
        <v>330</v>
      </c>
      <c r="L5" s="43">
        <v>2</v>
      </c>
      <c r="M5" s="43" t="s">
        <v>309</v>
      </c>
      <c r="N5" s="31" t="s">
        <v>317</v>
      </c>
    </row>
    <row r="6" spans="1:14" x14ac:dyDescent="0.5">
      <c r="A6" s="37">
        <v>4</v>
      </c>
      <c r="B6" s="32" t="s">
        <v>35</v>
      </c>
      <c r="C6" s="32">
        <v>5.3250000000000002</v>
      </c>
      <c r="D6" s="32" t="s">
        <v>42</v>
      </c>
      <c r="E6" s="32" t="s">
        <v>185</v>
      </c>
      <c r="G6" s="32" t="s">
        <v>48</v>
      </c>
      <c r="H6" s="32">
        <v>4.0999999999999996</v>
      </c>
      <c r="I6" s="32" t="s">
        <v>41</v>
      </c>
      <c r="J6" s="32">
        <v>4</v>
      </c>
      <c r="L6" s="43">
        <v>3</v>
      </c>
      <c r="M6" s="43" t="s">
        <v>310</v>
      </c>
      <c r="N6" s="31" t="s">
        <v>318</v>
      </c>
    </row>
    <row r="7" spans="1:14" x14ac:dyDescent="0.5">
      <c r="A7" s="37">
        <v>5</v>
      </c>
      <c r="B7" s="32" t="s">
        <v>28</v>
      </c>
      <c r="C7" s="32">
        <v>5.3250000000000002</v>
      </c>
      <c r="D7" s="32" t="s">
        <v>41</v>
      </c>
      <c r="E7" s="32" t="s">
        <v>324</v>
      </c>
      <c r="G7" s="32" t="s">
        <v>47</v>
      </c>
      <c r="H7" s="32">
        <v>4.0999999999999996</v>
      </c>
      <c r="I7" s="32" t="s">
        <v>42</v>
      </c>
      <c r="J7" s="32" t="s">
        <v>329</v>
      </c>
      <c r="L7" s="43">
        <v>4</v>
      </c>
      <c r="M7" s="43" t="s">
        <v>311</v>
      </c>
      <c r="N7" s="31" t="s">
        <v>319</v>
      </c>
    </row>
    <row r="8" spans="1:14" x14ac:dyDescent="0.5">
      <c r="A8" s="37">
        <v>7</v>
      </c>
      <c r="B8" s="32" t="s">
        <v>38</v>
      </c>
      <c r="C8" s="32">
        <v>5.3250000000000002</v>
      </c>
      <c r="D8" s="32" t="s">
        <v>43</v>
      </c>
      <c r="E8" s="32" t="s">
        <v>333</v>
      </c>
      <c r="G8" s="32" t="s">
        <v>44</v>
      </c>
      <c r="H8" s="32">
        <v>4.0999999999999996</v>
      </c>
      <c r="I8" s="32" t="s">
        <v>42</v>
      </c>
      <c r="J8" s="32">
        <v>5</v>
      </c>
      <c r="L8" s="43">
        <v>5</v>
      </c>
      <c r="M8" s="43" t="s">
        <v>312</v>
      </c>
      <c r="N8" s="31" t="s">
        <v>320</v>
      </c>
    </row>
    <row r="9" spans="1:14" x14ac:dyDescent="0.5">
      <c r="A9" s="37">
        <v>8</v>
      </c>
      <c r="B9" s="32" t="s">
        <v>34</v>
      </c>
      <c r="C9" s="32">
        <v>5.3250000000000002</v>
      </c>
      <c r="D9" s="32" t="s">
        <v>42</v>
      </c>
      <c r="E9" s="32" t="s">
        <v>326</v>
      </c>
      <c r="G9" s="32" t="s">
        <v>210</v>
      </c>
      <c r="H9" s="32">
        <v>3.9</v>
      </c>
      <c r="I9" s="32" t="s">
        <v>42</v>
      </c>
      <c r="J9" s="32" t="s">
        <v>329</v>
      </c>
      <c r="L9" s="43">
        <v>6</v>
      </c>
      <c r="M9" s="43" t="s">
        <v>313</v>
      </c>
      <c r="N9" s="31" t="s">
        <v>321</v>
      </c>
    </row>
    <row r="10" spans="1:14" x14ac:dyDescent="0.5">
      <c r="A10" s="37">
        <v>6</v>
      </c>
      <c r="B10" s="32" t="s">
        <v>37</v>
      </c>
      <c r="C10" s="32">
        <v>5.3239999999999998</v>
      </c>
      <c r="D10" s="32" t="s">
        <v>43</v>
      </c>
      <c r="E10" s="32" t="s">
        <v>333</v>
      </c>
      <c r="G10" s="32" t="s">
        <v>45</v>
      </c>
      <c r="H10" s="32">
        <v>4</v>
      </c>
      <c r="I10" s="32" t="s">
        <v>42</v>
      </c>
      <c r="J10" s="32" t="s">
        <v>329</v>
      </c>
      <c r="L10" s="43">
        <v>7</v>
      </c>
      <c r="M10" s="43" t="s">
        <v>314</v>
      </c>
      <c r="N10" s="31" t="s">
        <v>322</v>
      </c>
    </row>
    <row r="11" spans="1:14" x14ac:dyDescent="0.5">
      <c r="A11" s="37">
        <v>9</v>
      </c>
      <c r="B11" s="32" t="s">
        <v>40</v>
      </c>
      <c r="C11" s="32">
        <v>5.31</v>
      </c>
      <c r="D11" s="32" t="s">
        <v>38</v>
      </c>
      <c r="E11" s="32" t="s">
        <v>325</v>
      </c>
      <c r="G11" s="32" t="s">
        <v>398</v>
      </c>
      <c r="H11" s="32">
        <v>5</v>
      </c>
      <c r="I11" s="32" t="s">
        <v>42</v>
      </c>
      <c r="J11" s="31" t="s">
        <v>329</v>
      </c>
    </row>
    <row r="12" spans="1:14" x14ac:dyDescent="0.5">
      <c r="A12" s="37">
        <v>10</v>
      </c>
      <c r="B12" s="32" t="s">
        <v>31</v>
      </c>
      <c r="C12" s="32">
        <v>5.2</v>
      </c>
      <c r="D12" s="32" t="s">
        <v>41</v>
      </c>
      <c r="E12" s="32" t="s">
        <v>334</v>
      </c>
      <c r="G12" s="32" t="s">
        <v>399</v>
      </c>
      <c r="H12" s="32">
        <v>4</v>
      </c>
      <c r="I12" s="32" t="s">
        <v>42</v>
      </c>
      <c r="J12" s="32" t="s">
        <v>329</v>
      </c>
    </row>
    <row r="13" spans="1:14" x14ac:dyDescent="0.5">
      <c r="A13" s="37">
        <v>11</v>
      </c>
      <c r="B13" s="32" t="s">
        <v>39</v>
      </c>
      <c r="C13" s="32">
        <v>4.2</v>
      </c>
      <c r="D13" s="32" t="s">
        <v>43</v>
      </c>
      <c r="E13" s="32" t="s">
        <v>327</v>
      </c>
      <c r="G13" s="32" t="s">
        <v>400</v>
      </c>
      <c r="H13" s="32">
        <v>4</v>
      </c>
      <c r="I13" s="32" t="s">
        <v>42</v>
      </c>
      <c r="J13" s="32" t="s">
        <v>329</v>
      </c>
    </row>
    <row r="14" spans="1:14" x14ac:dyDescent="0.5">
      <c r="G14" s="32" t="s">
        <v>33</v>
      </c>
      <c r="H14" s="32">
        <v>4.2</v>
      </c>
      <c r="I14" s="32" t="s">
        <v>41</v>
      </c>
      <c r="J14" s="32" t="s">
        <v>332</v>
      </c>
      <c r="M14" s="37" t="s">
        <v>30</v>
      </c>
      <c r="N14" s="37" t="s">
        <v>335</v>
      </c>
    </row>
    <row r="15" spans="1:14" x14ac:dyDescent="0.5">
      <c r="G15" s="32" t="s">
        <v>50</v>
      </c>
      <c r="H15" s="32">
        <v>3.3</v>
      </c>
      <c r="I15" s="32" t="s">
        <v>54</v>
      </c>
      <c r="J15" s="32">
        <v>4</v>
      </c>
      <c r="M15" s="37" t="s">
        <v>52</v>
      </c>
      <c r="N15" s="37">
        <v>10</v>
      </c>
    </row>
    <row r="16" spans="1:14" x14ac:dyDescent="0.5">
      <c r="G16" s="32" t="s">
        <v>46</v>
      </c>
      <c r="H16" s="32">
        <v>3.2</v>
      </c>
      <c r="I16" s="32" t="s">
        <v>42</v>
      </c>
      <c r="J16" s="32">
        <v>5</v>
      </c>
      <c r="M16" s="37" t="s">
        <v>53</v>
      </c>
      <c r="N16" s="37">
        <v>9</v>
      </c>
    </row>
    <row r="17" spans="7:12" x14ac:dyDescent="0.5">
      <c r="G17" s="32" t="s">
        <v>189</v>
      </c>
      <c r="H17" s="32">
        <v>3</v>
      </c>
      <c r="I17" s="32" t="s">
        <v>42</v>
      </c>
      <c r="J17" s="32">
        <v>5</v>
      </c>
    </row>
    <row r="18" spans="7:12" x14ac:dyDescent="0.5">
      <c r="G18" s="32" t="s">
        <v>51</v>
      </c>
      <c r="H18" s="32">
        <v>3</v>
      </c>
      <c r="I18" s="32" t="s">
        <v>43</v>
      </c>
      <c r="J18" s="32" t="s">
        <v>331</v>
      </c>
    </row>
    <row r="19" spans="7:12" x14ac:dyDescent="0.5">
      <c r="G19" s="188" t="s">
        <v>508</v>
      </c>
      <c r="H19" s="188">
        <v>4</v>
      </c>
      <c r="I19" s="188" t="s">
        <v>474</v>
      </c>
      <c r="J19" s="188">
        <v>5</v>
      </c>
    </row>
    <row r="20" spans="7:12" x14ac:dyDescent="0.5">
      <c r="G20" s="188" t="s">
        <v>509</v>
      </c>
      <c r="H20" s="188">
        <v>3.9</v>
      </c>
      <c r="I20" s="188" t="s">
        <v>474</v>
      </c>
      <c r="J20" s="188">
        <v>5</v>
      </c>
    </row>
    <row r="21" spans="7:12" ht="43" x14ac:dyDescent="0.5">
      <c r="K21" t="s">
        <v>336</v>
      </c>
      <c r="L21" s="93" t="s">
        <v>337</v>
      </c>
    </row>
  </sheetData>
  <autoFilter ref="G2:J2" xr:uid="{A9715377-31E9-4FA8-BA99-C4C94AADD99A}">
    <sortState xmlns:xlrd2="http://schemas.microsoft.com/office/spreadsheetml/2017/richdata2" ref="G3:J19">
      <sortCondition descending="1" ref="H2"/>
    </sortState>
  </autoFilter>
  <mergeCells count="2">
    <mergeCell ref="G1:I1"/>
    <mergeCell ref="A1:D1"/>
  </mergeCells>
  <conditionalFormatting sqref="C24:C1048576 C15 N19 C2:C13 H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4 H16:H20 I22:I23 H25:H104857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74EC-42CB-4464-88B1-2BD27A18F753}">
  <dimension ref="A1:Y44"/>
  <sheetViews>
    <sheetView zoomScale="60" zoomScaleNormal="90" workbookViewId="0">
      <selection activeCell="O30" sqref="O30"/>
    </sheetView>
  </sheetViews>
  <sheetFormatPr defaultRowHeight="14.35" x14ac:dyDescent="0.5"/>
  <cols>
    <col min="1" max="1" width="29.9375" bestFit="1" customWidth="1"/>
    <col min="2" max="2" width="3.76171875" bestFit="1" customWidth="1"/>
    <col min="3" max="3" width="7.8203125" bestFit="1" customWidth="1"/>
    <col min="4" max="4" width="10.17578125" customWidth="1"/>
    <col min="5" max="5" width="25.41015625" bestFit="1" customWidth="1"/>
    <col min="6" max="6" width="3.76171875" bestFit="1" customWidth="1"/>
    <col min="8" max="8" width="10" bestFit="1" customWidth="1"/>
    <col min="9" max="9" width="10" customWidth="1"/>
    <col min="10" max="10" width="17.5859375" customWidth="1"/>
    <col min="11" max="11" width="6.87890625" customWidth="1"/>
    <col min="13" max="13" width="29.05859375" bestFit="1" customWidth="1"/>
    <col min="15" max="15" width="12.46875" customWidth="1"/>
    <col min="18" max="18" width="10.05859375" bestFit="1" customWidth="1"/>
    <col min="22" max="22" width="10.234375" bestFit="1" customWidth="1"/>
  </cols>
  <sheetData>
    <row r="1" spans="1:25" x14ac:dyDescent="0.5">
      <c r="A1" s="306" t="s">
        <v>55</v>
      </c>
      <c r="B1" s="306"/>
      <c r="C1" s="306"/>
      <c r="D1" s="306"/>
      <c r="E1" s="308" t="s">
        <v>56</v>
      </c>
      <c r="F1" s="308"/>
      <c r="G1" s="308"/>
      <c r="H1" s="308"/>
      <c r="I1" s="64"/>
      <c r="J1" s="61" t="s">
        <v>26</v>
      </c>
      <c r="K1" s="62" t="s">
        <v>183</v>
      </c>
      <c r="O1" s="306" t="s">
        <v>55</v>
      </c>
      <c r="P1" s="306"/>
      <c r="Q1" s="306"/>
      <c r="R1" s="306"/>
      <c r="S1" s="308" t="s">
        <v>56</v>
      </c>
      <c r="T1" s="308"/>
      <c r="U1" s="308"/>
      <c r="V1" s="308"/>
      <c r="X1" s="61" t="s">
        <v>26</v>
      </c>
      <c r="Y1" s="62" t="s">
        <v>183</v>
      </c>
    </row>
    <row r="2" spans="1:25" x14ac:dyDescent="0.5">
      <c r="A2" s="34" t="s">
        <v>26</v>
      </c>
      <c r="B2" s="307" t="s">
        <v>27</v>
      </c>
      <c r="C2" s="307"/>
      <c r="D2" s="65" t="s">
        <v>187</v>
      </c>
      <c r="E2" s="35" t="s">
        <v>57</v>
      </c>
      <c r="F2" s="307" t="s">
        <v>27</v>
      </c>
      <c r="G2" s="307"/>
      <c r="H2" s="75" t="s">
        <v>187</v>
      </c>
      <c r="J2" s="31" t="s">
        <v>453</v>
      </c>
      <c r="K2" s="31">
        <v>1</v>
      </c>
      <c r="O2" s="34" t="s">
        <v>26</v>
      </c>
      <c r="P2" s="307" t="s">
        <v>27</v>
      </c>
      <c r="Q2" s="307"/>
      <c r="R2" s="65" t="s">
        <v>187</v>
      </c>
      <c r="S2" s="35" t="s">
        <v>57</v>
      </c>
      <c r="T2" s="307" t="s">
        <v>27</v>
      </c>
      <c r="U2" s="307"/>
      <c r="V2" s="75" t="s">
        <v>187</v>
      </c>
      <c r="X2" s="31" t="s">
        <v>184</v>
      </c>
      <c r="Y2" s="31" t="s">
        <v>295</v>
      </c>
    </row>
    <row r="3" spans="1:25" x14ac:dyDescent="0.5">
      <c r="A3" s="76" t="s">
        <v>527</v>
      </c>
      <c r="B3" s="31">
        <v>8.5</v>
      </c>
      <c r="C3" s="31"/>
      <c r="D3" s="63">
        <v>46100</v>
      </c>
      <c r="E3" s="31" t="s">
        <v>440</v>
      </c>
      <c r="F3" s="31">
        <v>7.2</v>
      </c>
      <c r="G3" s="31"/>
      <c r="H3" s="63">
        <v>46025</v>
      </c>
      <c r="J3" s="31" t="s">
        <v>251</v>
      </c>
      <c r="K3" s="31">
        <v>5</v>
      </c>
      <c r="O3" s="31" t="s">
        <v>191</v>
      </c>
      <c r="P3" s="31">
        <v>7</v>
      </c>
      <c r="Q3" s="31"/>
      <c r="R3" s="63">
        <v>45683</v>
      </c>
      <c r="S3" s="31" t="s">
        <v>182</v>
      </c>
      <c r="T3" s="31">
        <v>6.7</v>
      </c>
      <c r="U3" s="31"/>
      <c r="V3" s="63">
        <v>45680</v>
      </c>
      <c r="X3" s="31" t="s">
        <v>186</v>
      </c>
      <c r="Y3" s="31" t="s">
        <v>204</v>
      </c>
    </row>
    <row r="4" spans="1:25" x14ac:dyDescent="0.5">
      <c r="A4" s="31" t="s">
        <v>522</v>
      </c>
      <c r="B4" s="31">
        <v>8</v>
      </c>
      <c r="C4" s="31"/>
      <c r="D4" s="63">
        <v>46103</v>
      </c>
      <c r="E4" s="31" t="s">
        <v>441</v>
      </c>
      <c r="F4" s="31">
        <v>6.8</v>
      </c>
      <c r="G4" s="31"/>
      <c r="H4" s="63">
        <v>46027</v>
      </c>
      <c r="J4" s="31" t="s">
        <v>461</v>
      </c>
      <c r="K4" s="31" t="s">
        <v>185</v>
      </c>
      <c r="O4" s="76" t="s">
        <v>209</v>
      </c>
      <c r="P4" s="31">
        <v>7</v>
      </c>
      <c r="Q4" s="31"/>
      <c r="R4" s="63">
        <v>45708</v>
      </c>
      <c r="S4" s="31" t="s">
        <v>188</v>
      </c>
      <c r="T4" s="31">
        <v>7.9</v>
      </c>
      <c r="U4" s="31"/>
      <c r="V4" s="63">
        <v>45682</v>
      </c>
      <c r="X4" s="31" t="s">
        <v>279</v>
      </c>
      <c r="Y4" s="31" t="s">
        <v>280</v>
      </c>
    </row>
    <row r="5" spans="1:25" x14ac:dyDescent="0.5">
      <c r="A5" s="76" t="s">
        <v>525</v>
      </c>
      <c r="B5" s="31">
        <v>9.3000000000000007</v>
      </c>
      <c r="C5" s="31"/>
      <c r="D5" s="63">
        <v>46111</v>
      </c>
      <c r="E5" s="31" t="s">
        <v>442</v>
      </c>
      <c r="F5" s="31">
        <v>7.1</v>
      </c>
      <c r="G5" s="31"/>
      <c r="H5" s="63">
        <v>46033</v>
      </c>
      <c r="J5" s="31"/>
      <c r="K5" s="31"/>
      <c r="O5" s="31" t="s">
        <v>276</v>
      </c>
      <c r="P5" s="31">
        <v>7.4</v>
      </c>
      <c r="Q5" s="31"/>
      <c r="R5" s="63">
        <v>45780</v>
      </c>
      <c r="S5" s="31" t="s">
        <v>190</v>
      </c>
      <c r="T5" s="31">
        <v>6.9</v>
      </c>
      <c r="U5" s="31"/>
      <c r="V5" s="63">
        <v>45682</v>
      </c>
      <c r="X5" s="31" t="s">
        <v>292</v>
      </c>
      <c r="Y5" s="31" t="s">
        <v>293</v>
      </c>
    </row>
    <row r="6" spans="1:25" x14ac:dyDescent="0.5">
      <c r="A6" s="76" t="s">
        <v>525</v>
      </c>
      <c r="B6" s="31"/>
      <c r="C6" s="31" t="s">
        <v>630</v>
      </c>
      <c r="D6" s="31"/>
      <c r="E6" s="31" t="s">
        <v>448</v>
      </c>
      <c r="F6" s="31">
        <v>8.5</v>
      </c>
      <c r="G6" s="31"/>
      <c r="H6" s="63">
        <v>46039</v>
      </c>
      <c r="J6" s="31"/>
      <c r="K6" s="43"/>
      <c r="O6" s="31" t="s">
        <v>294</v>
      </c>
      <c r="P6" s="31">
        <v>8.5</v>
      </c>
      <c r="Q6" s="31"/>
      <c r="R6" s="63">
        <v>45840</v>
      </c>
      <c r="S6" s="31" t="s">
        <v>192</v>
      </c>
      <c r="T6" s="31">
        <v>7.3</v>
      </c>
      <c r="U6" s="31"/>
      <c r="V6" s="63">
        <v>45688</v>
      </c>
      <c r="X6" s="31" t="s">
        <v>245</v>
      </c>
      <c r="Y6" s="43">
        <v>4</v>
      </c>
    </row>
    <row r="7" spans="1:25" x14ac:dyDescent="0.5">
      <c r="A7" s="31" t="s">
        <v>565</v>
      </c>
      <c r="B7" s="31">
        <v>6.9</v>
      </c>
      <c r="C7" s="31"/>
      <c r="D7" s="63">
        <v>46185</v>
      </c>
      <c r="E7" s="31" t="s">
        <v>455</v>
      </c>
      <c r="F7" s="31">
        <v>7.8</v>
      </c>
      <c r="G7" s="31"/>
      <c r="H7" s="63">
        <v>46046</v>
      </c>
      <c r="J7" s="31"/>
      <c r="K7" s="31"/>
      <c r="O7" s="31" t="s">
        <v>296</v>
      </c>
      <c r="P7" s="31">
        <v>8.4</v>
      </c>
      <c r="Q7" s="31"/>
      <c r="R7" s="63">
        <v>45842</v>
      </c>
      <c r="S7" s="76" t="s">
        <v>201</v>
      </c>
      <c r="T7" s="31">
        <v>8.4</v>
      </c>
      <c r="U7" s="31"/>
      <c r="V7" s="63">
        <v>45696</v>
      </c>
      <c r="X7" s="31" t="s">
        <v>248</v>
      </c>
      <c r="Y7" s="31" t="s">
        <v>185</v>
      </c>
    </row>
    <row r="8" spans="1:25" x14ac:dyDescent="0.5">
      <c r="A8" s="31" t="s">
        <v>574</v>
      </c>
      <c r="B8" s="31">
        <v>7.6</v>
      </c>
      <c r="C8" s="31"/>
      <c r="D8" s="63">
        <v>46204</v>
      </c>
      <c r="E8" s="31" t="s">
        <v>456</v>
      </c>
      <c r="F8" s="31">
        <v>8</v>
      </c>
      <c r="G8" s="31"/>
      <c r="H8" s="63">
        <v>46046</v>
      </c>
      <c r="J8" s="31"/>
      <c r="K8" s="31"/>
      <c r="O8" s="31" t="s">
        <v>300</v>
      </c>
      <c r="P8" s="31">
        <v>7.6</v>
      </c>
      <c r="Q8" s="31"/>
      <c r="R8" s="63">
        <v>45854</v>
      </c>
      <c r="S8" s="31" t="s">
        <v>202</v>
      </c>
      <c r="T8" s="31">
        <v>6.9</v>
      </c>
      <c r="U8" s="31"/>
      <c r="V8" s="63">
        <v>45698</v>
      </c>
      <c r="X8" s="31" t="s">
        <v>393</v>
      </c>
      <c r="Y8" s="31" t="s">
        <v>401</v>
      </c>
    </row>
    <row r="9" spans="1:25" x14ac:dyDescent="0.5">
      <c r="A9" s="76" t="s">
        <v>610</v>
      </c>
      <c r="B9" s="31">
        <v>9.4</v>
      </c>
      <c r="C9" s="31"/>
      <c r="D9" s="63">
        <v>46236</v>
      </c>
      <c r="E9" s="31" t="s">
        <v>420</v>
      </c>
      <c r="F9" s="31">
        <v>8.4</v>
      </c>
      <c r="G9" s="31"/>
      <c r="H9" s="63">
        <v>46052</v>
      </c>
      <c r="J9" s="147"/>
      <c r="K9" s="147"/>
      <c r="O9" s="31" t="s">
        <v>301</v>
      </c>
      <c r="P9" s="31">
        <v>7.7</v>
      </c>
      <c r="Q9" s="31"/>
      <c r="R9" s="63">
        <v>45855</v>
      </c>
      <c r="S9" s="31" t="s">
        <v>203</v>
      </c>
      <c r="T9" s="31">
        <v>6.8</v>
      </c>
      <c r="U9" s="31"/>
      <c r="V9" s="63">
        <v>45699</v>
      </c>
      <c r="X9" s="147" t="s">
        <v>395</v>
      </c>
      <c r="Y9" s="147" t="s">
        <v>185</v>
      </c>
    </row>
    <row r="10" spans="1:25" x14ac:dyDescent="0.5">
      <c r="A10" s="76" t="s">
        <v>628</v>
      </c>
      <c r="B10" s="31">
        <v>4</v>
      </c>
      <c r="C10" s="31"/>
      <c r="D10" s="63"/>
      <c r="E10" s="31" t="s">
        <v>502</v>
      </c>
      <c r="F10" s="31">
        <v>8.1</v>
      </c>
      <c r="G10" s="31"/>
      <c r="H10" s="63">
        <v>46077</v>
      </c>
      <c r="O10" s="31" t="s">
        <v>303</v>
      </c>
      <c r="P10" s="31">
        <v>7.9</v>
      </c>
      <c r="Q10" s="31"/>
      <c r="R10" s="63">
        <v>45858</v>
      </c>
      <c r="S10" s="31" t="s">
        <v>208</v>
      </c>
      <c r="T10" s="31">
        <v>7</v>
      </c>
      <c r="U10" s="31"/>
      <c r="V10" s="63">
        <v>45707</v>
      </c>
    </row>
    <row r="11" spans="1:25" x14ac:dyDescent="0.5">
      <c r="A11" s="76" t="s">
        <v>610</v>
      </c>
      <c r="B11" s="31">
        <v>9.1</v>
      </c>
      <c r="C11" s="31" t="s">
        <v>630</v>
      </c>
      <c r="D11" s="63">
        <v>46276</v>
      </c>
      <c r="E11" s="31" t="s">
        <v>503</v>
      </c>
      <c r="F11" s="31">
        <v>7</v>
      </c>
      <c r="G11" s="31"/>
      <c r="H11" s="63">
        <v>46079</v>
      </c>
      <c r="O11" s="31" t="s">
        <v>304</v>
      </c>
      <c r="P11" s="31">
        <v>7.5</v>
      </c>
      <c r="Q11" s="31"/>
      <c r="R11" s="63">
        <v>45858</v>
      </c>
      <c r="S11" s="31" t="s">
        <v>211</v>
      </c>
      <c r="T11" s="31">
        <v>7.5</v>
      </c>
      <c r="U11" s="31"/>
      <c r="V11" s="63">
        <v>45711</v>
      </c>
    </row>
    <row r="12" spans="1:25" x14ac:dyDescent="0.5">
      <c r="A12" s="76" t="s">
        <v>658</v>
      </c>
      <c r="B12" s="31">
        <v>7.7</v>
      </c>
      <c r="C12" s="31"/>
      <c r="D12" s="63">
        <v>46308</v>
      </c>
      <c r="E12" s="31" t="s">
        <v>504</v>
      </c>
      <c r="F12" s="31">
        <v>7.6</v>
      </c>
      <c r="G12" s="31"/>
      <c r="H12" s="63">
        <v>46088</v>
      </c>
      <c r="O12" s="31" t="s">
        <v>338</v>
      </c>
      <c r="P12" s="31">
        <v>7.8</v>
      </c>
      <c r="Q12" s="31"/>
      <c r="R12" s="63">
        <v>45860</v>
      </c>
      <c r="S12" s="31" t="s">
        <v>216</v>
      </c>
      <c r="T12" s="31">
        <v>7.6</v>
      </c>
      <c r="U12" s="31"/>
      <c r="V12" s="63">
        <v>45713</v>
      </c>
    </row>
    <row r="13" spans="1:25" x14ac:dyDescent="0.5">
      <c r="E13" s="31" t="s">
        <v>505</v>
      </c>
      <c r="F13" s="31">
        <v>7.3</v>
      </c>
      <c r="G13" s="31"/>
      <c r="H13" s="63">
        <v>46089</v>
      </c>
      <c r="M13" t="s">
        <v>385</v>
      </c>
      <c r="O13" s="31" t="s">
        <v>339</v>
      </c>
      <c r="P13" s="31">
        <v>6</v>
      </c>
      <c r="Q13" s="31"/>
      <c r="R13" s="63">
        <v>45862</v>
      </c>
      <c r="S13" s="31" t="s">
        <v>213</v>
      </c>
      <c r="T13" s="31">
        <v>7</v>
      </c>
      <c r="U13" s="31"/>
      <c r="V13" s="63">
        <v>45717</v>
      </c>
    </row>
    <row r="14" spans="1:25" x14ac:dyDescent="0.5">
      <c r="E14" s="31" t="s">
        <v>521</v>
      </c>
      <c r="F14" s="31">
        <v>8</v>
      </c>
      <c r="G14" s="31"/>
      <c r="H14" s="63">
        <v>46094</v>
      </c>
      <c r="M14" t="s">
        <v>386</v>
      </c>
      <c r="O14" s="31" t="s">
        <v>340</v>
      </c>
      <c r="P14" s="31">
        <v>7.5</v>
      </c>
      <c r="Q14" s="31"/>
      <c r="R14" s="63">
        <v>45863</v>
      </c>
      <c r="S14" s="31" t="s">
        <v>215</v>
      </c>
      <c r="T14" s="31">
        <v>6.5</v>
      </c>
      <c r="U14" s="31"/>
      <c r="V14" s="63">
        <v>45734</v>
      </c>
    </row>
    <row r="15" spans="1:25" x14ac:dyDescent="0.5">
      <c r="E15" s="31" t="s">
        <v>526</v>
      </c>
      <c r="F15" s="31">
        <v>6.9</v>
      </c>
      <c r="G15" s="31"/>
      <c r="H15" s="63">
        <v>46114</v>
      </c>
      <c r="M15" t="s">
        <v>387</v>
      </c>
      <c r="O15" s="76" t="s">
        <v>351</v>
      </c>
      <c r="P15" s="31">
        <v>7.6</v>
      </c>
      <c r="Q15" s="31"/>
      <c r="R15" s="63">
        <v>45886</v>
      </c>
      <c r="S15" s="31" t="s">
        <v>262</v>
      </c>
      <c r="T15" s="31">
        <v>6</v>
      </c>
      <c r="U15" s="31"/>
      <c r="V15" s="63">
        <v>45750</v>
      </c>
    </row>
    <row r="16" spans="1:25" x14ac:dyDescent="0.5">
      <c r="E16" s="31" t="s">
        <v>528</v>
      </c>
      <c r="F16" s="31">
        <v>6.9</v>
      </c>
      <c r="G16" s="31"/>
      <c r="H16" s="63">
        <v>46115</v>
      </c>
      <c r="M16" t="s">
        <v>388</v>
      </c>
      <c r="O16" s="76" t="s">
        <v>354</v>
      </c>
      <c r="P16" s="31">
        <v>6</v>
      </c>
      <c r="Q16" s="31"/>
      <c r="R16" s="63">
        <v>45906</v>
      </c>
      <c r="S16" s="31" t="s">
        <v>264</v>
      </c>
      <c r="T16" s="31">
        <v>7.2</v>
      </c>
      <c r="U16" s="31" t="s">
        <v>61</v>
      </c>
      <c r="V16" s="63">
        <v>45758</v>
      </c>
    </row>
    <row r="17" spans="5:22" x14ac:dyDescent="0.5">
      <c r="E17" s="31" t="s">
        <v>538</v>
      </c>
      <c r="F17" s="31">
        <v>7</v>
      </c>
      <c r="G17" s="31"/>
      <c r="H17" s="63">
        <v>46143</v>
      </c>
      <c r="M17" t="s">
        <v>389</v>
      </c>
      <c r="O17" s="76" t="s">
        <v>363</v>
      </c>
      <c r="P17" s="31">
        <v>8.3000000000000007</v>
      </c>
      <c r="Q17" s="31"/>
      <c r="R17" s="63">
        <v>45921</v>
      </c>
      <c r="S17" s="31" t="s">
        <v>275</v>
      </c>
      <c r="T17" s="31">
        <v>8</v>
      </c>
      <c r="U17" s="31" t="s">
        <v>61</v>
      </c>
      <c r="V17" s="63">
        <v>45776</v>
      </c>
    </row>
    <row r="18" spans="5:22" x14ac:dyDescent="0.5">
      <c r="E18" s="31" t="s">
        <v>539</v>
      </c>
      <c r="F18" s="31">
        <v>7.3</v>
      </c>
      <c r="G18" s="31"/>
      <c r="H18" s="63">
        <v>46146</v>
      </c>
      <c r="M18" t="s">
        <v>390</v>
      </c>
      <c r="O18" s="31" t="s">
        <v>383</v>
      </c>
      <c r="P18" s="31">
        <v>8.5</v>
      </c>
      <c r="Q18" s="31"/>
      <c r="R18" s="63">
        <v>45934</v>
      </c>
      <c r="S18" s="31" t="s">
        <v>153</v>
      </c>
      <c r="T18" s="31">
        <v>8</v>
      </c>
      <c r="U18" s="31"/>
      <c r="V18" s="63">
        <v>45785</v>
      </c>
    </row>
    <row r="19" spans="5:22" x14ac:dyDescent="0.5">
      <c r="E19" s="31" t="s">
        <v>541</v>
      </c>
      <c r="F19" s="31">
        <v>8.6</v>
      </c>
      <c r="G19" s="31"/>
      <c r="H19" s="63">
        <v>46151</v>
      </c>
      <c r="M19" t="s">
        <v>391</v>
      </c>
      <c r="O19" s="76" t="s">
        <v>384</v>
      </c>
      <c r="P19" s="31">
        <v>9.6</v>
      </c>
      <c r="Q19" s="31"/>
      <c r="R19" s="63">
        <v>45934</v>
      </c>
      <c r="S19" s="31" t="s">
        <v>277</v>
      </c>
      <c r="T19" s="31">
        <v>8</v>
      </c>
      <c r="U19" s="31" t="s">
        <v>61</v>
      </c>
      <c r="V19" s="63">
        <v>45787</v>
      </c>
    </row>
    <row r="20" spans="5:22" x14ac:dyDescent="0.5">
      <c r="E20" s="31" t="s">
        <v>540</v>
      </c>
      <c r="F20" s="31">
        <v>9.1</v>
      </c>
      <c r="G20" s="31"/>
      <c r="H20" s="63">
        <v>46152</v>
      </c>
      <c r="M20" t="s">
        <v>402</v>
      </c>
      <c r="O20" s="31" t="s">
        <v>417</v>
      </c>
      <c r="P20" s="31">
        <v>7.3</v>
      </c>
      <c r="Q20" s="31"/>
      <c r="R20" s="63">
        <v>46002</v>
      </c>
      <c r="S20" s="31" t="s">
        <v>282</v>
      </c>
      <c r="T20" s="31">
        <v>6.8</v>
      </c>
      <c r="U20" s="31"/>
      <c r="V20" s="63">
        <v>45803</v>
      </c>
    </row>
    <row r="21" spans="5:22" x14ac:dyDescent="0.5">
      <c r="E21" s="31" t="s">
        <v>564</v>
      </c>
      <c r="F21" s="31">
        <v>7</v>
      </c>
      <c r="G21" s="31"/>
      <c r="H21" s="63">
        <v>46180</v>
      </c>
      <c r="O21" s="76" t="s">
        <v>420</v>
      </c>
      <c r="P21" s="31">
        <v>8.8000000000000007</v>
      </c>
      <c r="Q21" s="31"/>
      <c r="R21" s="63">
        <v>46005</v>
      </c>
      <c r="S21" s="31" t="s">
        <v>283</v>
      </c>
      <c r="T21" s="31">
        <v>7.8</v>
      </c>
      <c r="U21" s="31"/>
      <c r="V21" s="63">
        <v>45804</v>
      </c>
    </row>
    <row r="22" spans="5:22" x14ac:dyDescent="0.5">
      <c r="E22" s="31" t="s">
        <v>566</v>
      </c>
      <c r="F22" s="31">
        <v>7.4</v>
      </c>
      <c r="G22" s="31"/>
      <c r="H22" s="63">
        <v>46186</v>
      </c>
      <c r="O22" s="171" t="s">
        <v>424</v>
      </c>
      <c r="P22" s="171">
        <v>8.6999999999999993</v>
      </c>
      <c r="R22" s="172">
        <v>46018</v>
      </c>
      <c r="S22" s="31" t="s">
        <v>285</v>
      </c>
      <c r="T22" s="31">
        <v>7.8</v>
      </c>
      <c r="U22" s="31"/>
      <c r="V22" s="63">
        <v>45811</v>
      </c>
    </row>
    <row r="23" spans="5:22" x14ac:dyDescent="0.5">
      <c r="E23" s="31" t="s">
        <v>567</v>
      </c>
      <c r="F23" s="31">
        <v>8.1999999999999993</v>
      </c>
      <c r="G23" s="31"/>
      <c r="H23" s="63">
        <v>46187</v>
      </c>
      <c r="O23" s="171" t="s">
        <v>425</v>
      </c>
      <c r="P23" s="171">
        <v>8.8000000000000007</v>
      </c>
      <c r="R23" s="172">
        <v>46018</v>
      </c>
      <c r="S23" s="31" t="s">
        <v>286</v>
      </c>
      <c r="T23" s="31">
        <v>8.5</v>
      </c>
      <c r="U23" s="31" t="s">
        <v>61</v>
      </c>
      <c r="V23" s="63">
        <v>45813</v>
      </c>
    </row>
    <row r="24" spans="5:22" x14ac:dyDescent="0.5">
      <c r="E24" s="31" t="s">
        <v>568</v>
      </c>
      <c r="F24" s="31">
        <v>8.3000000000000007</v>
      </c>
      <c r="G24" s="31"/>
      <c r="H24" s="63">
        <v>46192</v>
      </c>
      <c r="S24" s="31" t="s">
        <v>291</v>
      </c>
      <c r="T24" s="31">
        <v>6.8</v>
      </c>
      <c r="U24" s="31"/>
      <c r="V24" s="63">
        <v>45818</v>
      </c>
    </row>
    <row r="25" spans="5:22" x14ac:dyDescent="0.5">
      <c r="E25" s="31" t="s">
        <v>569</v>
      </c>
      <c r="F25" s="31">
        <v>7.3</v>
      </c>
      <c r="G25" s="31"/>
      <c r="H25" s="63">
        <v>46188</v>
      </c>
      <c r="S25" s="31" t="s">
        <v>299</v>
      </c>
      <c r="T25" s="31">
        <v>8.4</v>
      </c>
      <c r="U25" s="31" t="s">
        <v>61</v>
      </c>
      <c r="V25" s="63">
        <v>45823</v>
      </c>
    </row>
    <row r="26" spans="5:22" x14ac:dyDescent="0.5">
      <c r="E26" s="31" t="s">
        <v>570</v>
      </c>
      <c r="F26" s="31">
        <v>7.2</v>
      </c>
      <c r="G26" s="31"/>
      <c r="H26" s="63">
        <v>46193</v>
      </c>
      <c r="S26" s="31" t="s">
        <v>305</v>
      </c>
      <c r="T26" s="31">
        <v>8</v>
      </c>
      <c r="U26" s="31"/>
      <c r="V26" s="63">
        <v>45856</v>
      </c>
    </row>
    <row r="27" spans="5:22" x14ac:dyDescent="0.5">
      <c r="E27" s="31" t="s">
        <v>573</v>
      </c>
      <c r="F27" s="31">
        <v>7.7</v>
      </c>
      <c r="G27" s="31"/>
      <c r="H27" s="63">
        <v>46203</v>
      </c>
      <c r="S27" s="31" t="s">
        <v>343</v>
      </c>
      <c r="T27" s="31">
        <v>7.2</v>
      </c>
      <c r="U27" s="31"/>
      <c r="V27" s="63">
        <v>45863</v>
      </c>
    </row>
    <row r="28" spans="5:22" x14ac:dyDescent="0.5">
      <c r="E28" s="31" t="s">
        <v>581</v>
      </c>
      <c r="F28" s="31">
        <v>7</v>
      </c>
      <c r="G28" s="31"/>
      <c r="H28" s="63">
        <v>46212</v>
      </c>
      <c r="S28" s="31" t="s">
        <v>66</v>
      </c>
      <c r="T28" s="31">
        <v>7.5</v>
      </c>
      <c r="U28" s="31" t="s">
        <v>61</v>
      </c>
      <c r="V28" s="63">
        <v>45872</v>
      </c>
    </row>
    <row r="29" spans="5:22" x14ac:dyDescent="0.5">
      <c r="E29" s="31" t="s">
        <v>582</v>
      </c>
      <c r="F29" s="31">
        <v>8</v>
      </c>
      <c r="G29" s="31"/>
      <c r="H29" s="63">
        <v>46219</v>
      </c>
      <c r="S29" s="31" t="s">
        <v>65</v>
      </c>
      <c r="T29" s="31">
        <v>9</v>
      </c>
      <c r="U29" s="31"/>
      <c r="V29" s="63">
        <v>45872</v>
      </c>
    </row>
    <row r="30" spans="5:22" x14ac:dyDescent="0.5">
      <c r="E30" s="31" t="s">
        <v>583</v>
      </c>
      <c r="F30" s="31">
        <v>8.1</v>
      </c>
      <c r="G30" s="31"/>
      <c r="H30" s="63">
        <v>46220</v>
      </c>
      <c r="S30" s="31" t="s">
        <v>348</v>
      </c>
      <c r="T30" s="31">
        <v>7</v>
      </c>
      <c r="U30" s="31"/>
      <c r="V30" s="63">
        <v>45879</v>
      </c>
    </row>
    <row r="31" spans="5:22" x14ac:dyDescent="0.5">
      <c r="E31" s="31" t="s">
        <v>584</v>
      </c>
      <c r="F31" s="31">
        <v>7.7</v>
      </c>
      <c r="G31" s="31"/>
      <c r="H31" s="63">
        <v>46221</v>
      </c>
      <c r="S31" s="31" t="s">
        <v>381</v>
      </c>
      <c r="T31" s="31">
        <v>7.2</v>
      </c>
      <c r="U31" s="31"/>
      <c r="V31" s="63">
        <v>45886</v>
      </c>
    </row>
    <row r="32" spans="5:22" x14ac:dyDescent="0.5">
      <c r="E32" s="31" t="s">
        <v>585</v>
      </c>
      <c r="F32" s="31">
        <v>7.1</v>
      </c>
      <c r="G32" s="31"/>
      <c r="H32" s="63">
        <v>46228</v>
      </c>
      <c r="S32" s="31" t="s">
        <v>352</v>
      </c>
      <c r="T32" s="31">
        <v>8</v>
      </c>
      <c r="U32" s="31"/>
      <c r="V32" s="63">
        <v>45891</v>
      </c>
    </row>
    <row r="33" spans="5:22" x14ac:dyDescent="0.5">
      <c r="E33" s="31" t="s">
        <v>629</v>
      </c>
      <c r="F33" s="31">
        <v>8</v>
      </c>
      <c r="G33" s="31"/>
      <c r="H33" s="63">
        <v>46262</v>
      </c>
      <c r="S33" s="31" t="s">
        <v>361</v>
      </c>
      <c r="T33" s="31">
        <v>8</v>
      </c>
      <c r="U33" s="31"/>
      <c r="V33" s="63">
        <v>45912</v>
      </c>
    </row>
    <row r="34" spans="5:22" x14ac:dyDescent="0.5">
      <c r="E34" s="31" t="s">
        <v>65</v>
      </c>
      <c r="F34" s="31">
        <v>8.5</v>
      </c>
      <c r="G34" s="31"/>
      <c r="H34" s="63">
        <v>46270</v>
      </c>
      <c r="S34" s="31" t="s">
        <v>360</v>
      </c>
      <c r="T34" s="31">
        <v>7.4</v>
      </c>
      <c r="U34" s="31"/>
      <c r="V34" s="63">
        <v>45915</v>
      </c>
    </row>
    <row r="35" spans="5:22" x14ac:dyDescent="0.5">
      <c r="E35" s="31" t="s">
        <v>631</v>
      </c>
      <c r="F35" s="31">
        <v>7.5</v>
      </c>
      <c r="G35" s="31"/>
      <c r="H35" s="63">
        <v>46276</v>
      </c>
      <c r="S35" s="31" t="s">
        <v>362</v>
      </c>
      <c r="T35" s="31">
        <v>8.1999999999999993</v>
      </c>
      <c r="U35" s="31"/>
      <c r="V35" s="63">
        <v>45918</v>
      </c>
    </row>
    <row r="36" spans="5:22" x14ac:dyDescent="0.5">
      <c r="E36" s="171" t="s">
        <v>632</v>
      </c>
      <c r="F36">
        <v>8</v>
      </c>
      <c r="H36" s="172">
        <v>46276</v>
      </c>
      <c r="S36" s="31" t="s">
        <v>408</v>
      </c>
      <c r="T36" s="31">
        <v>8.3000000000000007</v>
      </c>
      <c r="U36" s="31"/>
      <c r="V36" s="63">
        <v>45921</v>
      </c>
    </row>
    <row r="37" spans="5:22" x14ac:dyDescent="0.5">
      <c r="E37" s="171" t="s">
        <v>633</v>
      </c>
      <c r="F37">
        <v>8</v>
      </c>
      <c r="H37" s="172">
        <v>46277</v>
      </c>
      <c r="S37" s="31" t="s">
        <v>376</v>
      </c>
      <c r="T37" s="31">
        <v>8.1999999999999993</v>
      </c>
      <c r="U37" s="31"/>
      <c r="V37" s="63">
        <v>45923</v>
      </c>
    </row>
    <row r="38" spans="5:22" x14ac:dyDescent="0.5">
      <c r="S38" s="31" t="s">
        <v>380</v>
      </c>
      <c r="T38" s="31">
        <v>8.5</v>
      </c>
      <c r="U38" s="31" t="s">
        <v>61</v>
      </c>
      <c r="V38" s="63">
        <v>45927</v>
      </c>
    </row>
    <row r="39" spans="5:22" x14ac:dyDescent="0.5">
      <c r="S39" s="171" t="s">
        <v>418</v>
      </c>
      <c r="T39" s="171">
        <v>8.5</v>
      </c>
      <c r="U39" s="31" t="s">
        <v>61</v>
      </c>
      <c r="V39" s="172">
        <v>46002</v>
      </c>
    </row>
    <row r="40" spans="5:22" x14ac:dyDescent="0.5">
      <c r="S40" s="171" t="s">
        <v>419</v>
      </c>
      <c r="T40" s="171">
        <v>7.7</v>
      </c>
      <c r="V40" s="172">
        <v>46003</v>
      </c>
    </row>
    <row r="41" spans="5:22" x14ac:dyDescent="0.5">
      <c r="S41" s="171" t="s">
        <v>127</v>
      </c>
      <c r="T41" s="171">
        <v>9</v>
      </c>
      <c r="U41" s="31" t="s">
        <v>61</v>
      </c>
      <c r="V41" s="172">
        <v>46005</v>
      </c>
    </row>
    <row r="42" spans="5:22" x14ac:dyDescent="0.5">
      <c r="S42" s="171" t="s">
        <v>421</v>
      </c>
      <c r="T42" s="171">
        <v>9</v>
      </c>
      <c r="U42" s="31" t="s">
        <v>61</v>
      </c>
      <c r="V42" s="172">
        <v>46009</v>
      </c>
    </row>
    <row r="43" spans="5:22" x14ac:dyDescent="0.5">
      <c r="S43" s="171" t="s">
        <v>423</v>
      </c>
      <c r="T43" s="171">
        <v>8.1999999999999993</v>
      </c>
      <c r="V43" s="172">
        <v>46016</v>
      </c>
    </row>
    <row r="44" spans="5:22" x14ac:dyDescent="0.5">
      <c r="S44" s="171" t="s">
        <v>430</v>
      </c>
      <c r="T44" s="171">
        <v>8.8000000000000007</v>
      </c>
      <c r="V44" s="172">
        <v>46022</v>
      </c>
    </row>
  </sheetData>
  <mergeCells count="8">
    <mergeCell ref="O1:R1"/>
    <mergeCell ref="T2:U2"/>
    <mergeCell ref="S1:V1"/>
    <mergeCell ref="P2:Q2"/>
    <mergeCell ref="A1:D1"/>
    <mergeCell ref="E1:H1"/>
    <mergeCell ref="B2:C2"/>
    <mergeCell ref="F2:G2"/>
  </mergeCells>
  <conditionalFormatting sqref="B1:B5 B7:B10 B1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5 B7:B10 B1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5:B1048576 P29:P44 P1:P2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C1 B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26 F28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5:F1048576 T1:T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6 P18:P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Q1 P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98E8-81D2-42F9-9D57-E9442ED72ADF}">
  <dimension ref="A1:F43"/>
  <sheetViews>
    <sheetView zoomScale="40" zoomScaleNormal="50" workbookViewId="0">
      <selection activeCell="N24" sqref="N24"/>
    </sheetView>
  </sheetViews>
  <sheetFormatPr defaultRowHeight="14.35" x14ac:dyDescent="0.5"/>
  <cols>
    <col min="1" max="1" width="20" bestFit="1" customWidth="1"/>
    <col min="4" max="4" width="37.29296875" customWidth="1"/>
  </cols>
  <sheetData>
    <row r="1" spans="1:6" x14ac:dyDescent="0.5">
      <c r="A1" s="306" t="s">
        <v>55</v>
      </c>
      <c r="B1" s="306"/>
      <c r="C1" s="306"/>
      <c r="D1" s="308" t="s">
        <v>56</v>
      </c>
      <c r="E1" s="308"/>
      <c r="F1" s="308"/>
    </row>
    <row r="2" spans="1:6" x14ac:dyDescent="0.5">
      <c r="A2" s="34" t="s">
        <v>26</v>
      </c>
      <c r="B2" s="307" t="s">
        <v>27</v>
      </c>
      <c r="C2" s="307"/>
      <c r="D2" s="35" t="s">
        <v>57</v>
      </c>
      <c r="E2" s="307" t="s">
        <v>27</v>
      </c>
      <c r="F2" s="307"/>
    </row>
    <row r="3" spans="1:6" x14ac:dyDescent="0.5">
      <c r="A3" s="23" t="s">
        <v>65</v>
      </c>
      <c r="B3" s="2">
        <v>9.5</v>
      </c>
      <c r="C3" s="2" t="s">
        <v>61</v>
      </c>
      <c r="D3" s="36" t="s">
        <v>130</v>
      </c>
      <c r="E3" s="2">
        <v>9.5</v>
      </c>
      <c r="F3" s="2" t="s">
        <v>61</v>
      </c>
    </row>
    <row r="4" spans="1:6" x14ac:dyDescent="0.5">
      <c r="A4" s="102" t="s">
        <v>81</v>
      </c>
      <c r="B4" s="2">
        <v>9.1</v>
      </c>
      <c r="C4" s="2" t="s">
        <v>61</v>
      </c>
      <c r="D4" s="36" t="s">
        <v>127</v>
      </c>
      <c r="E4" s="2">
        <v>9</v>
      </c>
      <c r="F4" s="31"/>
    </row>
    <row r="5" spans="1:6" x14ac:dyDescent="0.5">
      <c r="A5" s="102" t="s">
        <v>60</v>
      </c>
      <c r="B5" s="2">
        <v>8.4</v>
      </c>
      <c r="C5" s="2" t="s">
        <v>61</v>
      </c>
      <c r="D5" s="36" t="s">
        <v>64</v>
      </c>
      <c r="E5" s="2">
        <v>8.5</v>
      </c>
      <c r="F5" s="2" t="s">
        <v>61</v>
      </c>
    </row>
    <row r="6" spans="1:6" x14ac:dyDescent="0.5">
      <c r="A6" s="102" t="s">
        <v>79</v>
      </c>
      <c r="B6" s="2">
        <v>8.1999999999999993</v>
      </c>
      <c r="C6" s="2"/>
      <c r="D6" s="36" t="s">
        <v>76</v>
      </c>
      <c r="E6" s="2">
        <v>8.4</v>
      </c>
      <c r="F6" s="2" t="s">
        <v>61</v>
      </c>
    </row>
    <row r="7" spans="1:6" x14ac:dyDescent="0.5">
      <c r="A7" s="23" t="s">
        <v>167</v>
      </c>
      <c r="B7" s="2">
        <v>8</v>
      </c>
      <c r="C7" s="2"/>
      <c r="D7" s="36" t="s">
        <v>93</v>
      </c>
      <c r="E7" s="2">
        <v>8.3000000000000007</v>
      </c>
      <c r="F7" s="2" t="s">
        <v>61</v>
      </c>
    </row>
    <row r="8" spans="1:6" x14ac:dyDescent="0.5">
      <c r="A8" s="102" t="s">
        <v>83</v>
      </c>
      <c r="B8" s="2">
        <v>7.9</v>
      </c>
      <c r="C8" s="2"/>
      <c r="D8" s="36" t="s">
        <v>88</v>
      </c>
      <c r="E8" s="2">
        <v>8.1999999999999993</v>
      </c>
      <c r="F8" s="2" t="s">
        <v>61</v>
      </c>
    </row>
    <row r="9" spans="1:6" x14ac:dyDescent="0.5">
      <c r="A9" s="23" t="s">
        <v>58</v>
      </c>
      <c r="B9" s="2">
        <v>7.8</v>
      </c>
      <c r="C9" s="2"/>
      <c r="D9" s="36" t="s">
        <v>100</v>
      </c>
      <c r="E9" s="2">
        <v>8.1999999999999993</v>
      </c>
      <c r="F9" s="2" t="s">
        <v>61</v>
      </c>
    </row>
    <row r="10" spans="1:6" x14ac:dyDescent="0.5">
      <c r="A10" s="23" t="s">
        <v>75</v>
      </c>
      <c r="B10" s="2">
        <v>7.8</v>
      </c>
      <c r="C10" s="2"/>
      <c r="D10" s="36" t="s">
        <v>89</v>
      </c>
      <c r="E10" s="2">
        <v>8</v>
      </c>
      <c r="F10" s="2"/>
    </row>
    <row r="11" spans="1:6" x14ac:dyDescent="0.5">
      <c r="A11" s="23" t="s">
        <v>73</v>
      </c>
      <c r="B11" s="2">
        <v>7.6</v>
      </c>
      <c r="C11" s="2"/>
      <c r="D11" s="36" t="s">
        <v>91</v>
      </c>
      <c r="E11" s="2">
        <v>8</v>
      </c>
      <c r="F11" s="2"/>
    </row>
    <row r="12" spans="1:6" x14ac:dyDescent="0.5">
      <c r="A12" s="23" t="s">
        <v>129</v>
      </c>
      <c r="B12" s="2">
        <v>7.5</v>
      </c>
      <c r="C12" s="2"/>
      <c r="D12" s="36" t="s">
        <v>94</v>
      </c>
      <c r="E12" s="2">
        <v>8</v>
      </c>
      <c r="F12" s="2" t="s">
        <v>61</v>
      </c>
    </row>
    <row r="13" spans="1:6" x14ac:dyDescent="0.5">
      <c r="A13" s="23" t="s">
        <v>77</v>
      </c>
      <c r="B13" s="2">
        <v>7.4</v>
      </c>
      <c r="C13" s="2"/>
      <c r="D13" s="36" t="s">
        <v>102</v>
      </c>
      <c r="E13" s="2">
        <v>8</v>
      </c>
      <c r="F13" s="2"/>
    </row>
    <row r="14" spans="1:6" x14ac:dyDescent="0.5">
      <c r="A14" s="23" t="s">
        <v>69</v>
      </c>
      <c r="B14" s="2">
        <v>6.9</v>
      </c>
      <c r="C14" s="2"/>
      <c r="D14" s="36" t="s">
        <v>153</v>
      </c>
      <c r="E14" s="2">
        <v>8</v>
      </c>
      <c r="F14" s="31"/>
    </row>
    <row r="15" spans="1:6" x14ac:dyDescent="0.5">
      <c r="A15" s="23" t="s">
        <v>85</v>
      </c>
      <c r="B15" s="2">
        <v>6.7</v>
      </c>
      <c r="C15" s="2"/>
      <c r="D15" s="36" t="s">
        <v>166</v>
      </c>
      <c r="E15" s="2">
        <v>8</v>
      </c>
      <c r="F15" s="31"/>
    </row>
    <row r="16" spans="1:6" x14ac:dyDescent="0.5">
      <c r="A16" s="23" t="s">
        <v>67</v>
      </c>
      <c r="B16" s="2">
        <v>6.5</v>
      </c>
      <c r="C16" s="2"/>
      <c r="D16" s="36" t="s">
        <v>97</v>
      </c>
      <c r="E16" s="2">
        <v>7.9</v>
      </c>
      <c r="F16" s="2"/>
    </row>
    <row r="17" spans="1:6" x14ac:dyDescent="0.5">
      <c r="A17" s="23" t="s">
        <v>71</v>
      </c>
      <c r="B17" s="2">
        <v>6.2</v>
      </c>
      <c r="C17" s="2"/>
      <c r="D17" s="36" t="s">
        <v>98</v>
      </c>
      <c r="E17" s="2">
        <v>7.9</v>
      </c>
      <c r="F17" s="2"/>
    </row>
    <row r="18" spans="1:6" x14ac:dyDescent="0.5">
      <c r="A18" s="23" t="s">
        <v>63</v>
      </c>
      <c r="B18" s="2">
        <v>5</v>
      </c>
      <c r="C18" s="2"/>
      <c r="D18" s="36" t="s">
        <v>92</v>
      </c>
      <c r="E18" s="2">
        <v>7.8</v>
      </c>
      <c r="F18" s="2"/>
    </row>
    <row r="19" spans="1:6" x14ac:dyDescent="0.5">
      <c r="A19" s="2"/>
      <c r="B19" s="2"/>
      <c r="C19" s="2"/>
      <c r="D19" s="36" t="s">
        <v>154</v>
      </c>
      <c r="E19" s="2">
        <v>7.8</v>
      </c>
      <c r="F19" s="31"/>
    </row>
    <row r="20" spans="1:6" x14ac:dyDescent="0.5">
      <c r="A20" s="23"/>
      <c r="B20" s="2"/>
      <c r="C20" s="2"/>
      <c r="D20" s="36" t="s">
        <v>78</v>
      </c>
      <c r="E20" s="2">
        <v>7.7</v>
      </c>
      <c r="F20" s="2"/>
    </row>
    <row r="21" spans="1:6" x14ac:dyDescent="0.5">
      <c r="A21" s="23"/>
      <c r="B21" s="2"/>
      <c r="C21" s="2"/>
      <c r="D21" s="36" t="s">
        <v>104</v>
      </c>
      <c r="E21" s="2">
        <v>7.6</v>
      </c>
      <c r="F21" s="2"/>
    </row>
    <row r="22" spans="1:6" x14ac:dyDescent="0.5">
      <c r="A22" s="23"/>
      <c r="B22" s="2"/>
      <c r="C22" s="2"/>
      <c r="D22" s="36" t="s">
        <v>66</v>
      </c>
      <c r="E22" s="2">
        <v>7.5</v>
      </c>
      <c r="F22" s="2" t="s">
        <v>61</v>
      </c>
    </row>
    <row r="23" spans="1:6" x14ac:dyDescent="0.5">
      <c r="A23" s="23"/>
      <c r="B23" s="2"/>
      <c r="C23" s="2"/>
      <c r="D23" s="36" t="s">
        <v>99</v>
      </c>
      <c r="E23" s="2">
        <v>7.5</v>
      </c>
      <c r="F23" s="2"/>
    </row>
    <row r="24" spans="1:6" x14ac:dyDescent="0.5">
      <c r="A24" s="23"/>
      <c r="B24" s="2"/>
      <c r="C24" s="2"/>
      <c r="D24" s="36" t="s">
        <v>74</v>
      </c>
      <c r="E24" s="2">
        <v>7.2</v>
      </c>
      <c r="F24" s="2"/>
    </row>
    <row r="25" spans="1:6" x14ac:dyDescent="0.5">
      <c r="A25" s="23"/>
      <c r="B25" s="2"/>
      <c r="C25" s="2"/>
      <c r="D25" s="36" t="s">
        <v>80</v>
      </c>
      <c r="E25" s="2">
        <v>7.1</v>
      </c>
      <c r="F25" s="2" t="s">
        <v>61</v>
      </c>
    </row>
    <row r="26" spans="1:6" x14ac:dyDescent="0.5">
      <c r="A26" s="23"/>
      <c r="B26" s="2"/>
      <c r="C26" s="2"/>
      <c r="D26" s="36" t="s">
        <v>96</v>
      </c>
      <c r="E26" s="2">
        <v>7</v>
      </c>
      <c r="F26" s="2"/>
    </row>
    <row r="27" spans="1:6" x14ac:dyDescent="0.5">
      <c r="A27" s="23"/>
      <c r="B27" s="2"/>
      <c r="C27" s="2"/>
      <c r="D27" s="36" t="s">
        <v>105</v>
      </c>
      <c r="E27" s="2">
        <v>7</v>
      </c>
      <c r="F27" s="2"/>
    </row>
    <row r="28" spans="1:6" x14ac:dyDescent="0.5">
      <c r="A28" s="23"/>
      <c r="B28" s="2"/>
      <c r="C28" s="2"/>
      <c r="D28" s="36" t="s">
        <v>106</v>
      </c>
      <c r="E28" s="2">
        <v>7</v>
      </c>
      <c r="F28" s="31"/>
    </row>
    <row r="29" spans="1:6" x14ac:dyDescent="0.5">
      <c r="A29" s="23"/>
      <c r="B29" s="2"/>
      <c r="C29" s="2"/>
      <c r="D29" s="36" t="s">
        <v>200</v>
      </c>
      <c r="E29" s="2">
        <v>7</v>
      </c>
      <c r="F29" s="31"/>
    </row>
    <row r="30" spans="1:6" x14ac:dyDescent="0.5">
      <c r="A30" s="23"/>
      <c r="B30" s="2"/>
      <c r="C30" s="2"/>
      <c r="D30" s="36" t="s">
        <v>95</v>
      </c>
      <c r="E30" s="2">
        <v>6.9</v>
      </c>
      <c r="F30" s="2"/>
    </row>
    <row r="31" spans="1:6" x14ac:dyDescent="0.5">
      <c r="A31" s="23"/>
      <c r="B31" s="2"/>
      <c r="C31" s="2"/>
      <c r="D31" s="36" t="s">
        <v>101</v>
      </c>
      <c r="E31" s="2">
        <v>6.9</v>
      </c>
      <c r="F31" s="2"/>
    </row>
    <row r="32" spans="1:6" x14ac:dyDescent="0.5">
      <c r="A32" s="23"/>
      <c r="B32" s="2"/>
      <c r="C32" s="2"/>
      <c r="D32" s="36" t="s">
        <v>128</v>
      </c>
      <c r="E32" s="2">
        <v>6.7</v>
      </c>
      <c r="F32" s="31"/>
    </row>
    <row r="33" spans="1:6" x14ac:dyDescent="0.5">
      <c r="A33" s="23"/>
      <c r="B33" s="2"/>
      <c r="C33" s="2"/>
      <c r="D33" s="36" t="s">
        <v>68</v>
      </c>
      <c r="E33" s="2">
        <v>6.5</v>
      </c>
      <c r="F33" s="2"/>
    </row>
    <row r="34" spans="1:6" x14ac:dyDescent="0.5">
      <c r="A34" s="23"/>
      <c r="B34" s="2"/>
      <c r="C34" s="2"/>
      <c r="D34" s="36" t="s">
        <v>87</v>
      </c>
      <c r="E34" s="2">
        <v>6.5</v>
      </c>
      <c r="F34" s="2"/>
    </row>
    <row r="35" spans="1:6" x14ac:dyDescent="0.5">
      <c r="A35" s="23"/>
      <c r="B35" s="2"/>
      <c r="C35" s="2"/>
      <c r="D35" s="36" t="s">
        <v>70</v>
      </c>
      <c r="E35" s="2">
        <v>6.4</v>
      </c>
      <c r="F35" s="2"/>
    </row>
    <row r="36" spans="1:6" x14ac:dyDescent="0.5">
      <c r="A36" s="31"/>
      <c r="B36" s="31"/>
      <c r="C36" s="31"/>
      <c r="D36" s="36" t="s">
        <v>86</v>
      </c>
      <c r="E36" s="2">
        <v>6.4</v>
      </c>
      <c r="F36" s="2"/>
    </row>
    <row r="37" spans="1:6" x14ac:dyDescent="0.5">
      <c r="A37" s="31"/>
      <c r="B37" s="31"/>
      <c r="C37" s="31"/>
      <c r="D37" s="36" t="s">
        <v>82</v>
      </c>
      <c r="E37" s="2">
        <v>6</v>
      </c>
      <c r="F37" s="2"/>
    </row>
    <row r="38" spans="1:6" x14ac:dyDescent="0.5">
      <c r="A38" s="31"/>
      <c r="B38" s="31"/>
      <c r="C38" s="31"/>
      <c r="D38" s="36" t="s">
        <v>84</v>
      </c>
      <c r="E38" s="2">
        <v>6</v>
      </c>
      <c r="F38" s="2"/>
    </row>
    <row r="39" spans="1:6" x14ac:dyDescent="0.5">
      <c r="A39" s="31"/>
      <c r="B39" s="31"/>
      <c r="C39" s="31"/>
      <c r="D39" s="36" t="s">
        <v>72</v>
      </c>
      <c r="E39" s="2">
        <v>5.5</v>
      </c>
      <c r="F39" s="2"/>
    </row>
    <row r="40" spans="1:6" x14ac:dyDescent="0.5">
      <c r="A40" s="31"/>
      <c r="B40" s="31"/>
      <c r="C40" s="31"/>
      <c r="D40" s="36" t="s">
        <v>90</v>
      </c>
      <c r="E40" s="2">
        <v>5</v>
      </c>
      <c r="F40" s="2"/>
    </row>
    <row r="41" spans="1:6" x14ac:dyDescent="0.5">
      <c r="A41" s="31"/>
      <c r="B41" s="31"/>
      <c r="C41" s="31"/>
      <c r="D41" s="36" t="s">
        <v>103</v>
      </c>
      <c r="E41" s="2">
        <v>4.5</v>
      </c>
      <c r="F41" s="2"/>
    </row>
    <row r="42" spans="1:6" x14ac:dyDescent="0.5">
      <c r="A42" s="31"/>
      <c r="B42" s="31"/>
      <c r="C42" s="31"/>
      <c r="D42" s="36" t="s">
        <v>59</v>
      </c>
      <c r="E42" s="2">
        <v>4</v>
      </c>
      <c r="F42" s="2"/>
    </row>
    <row r="43" spans="1:6" x14ac:dyDescent="0.5">
      <c r="A43" s="31"/>
      <c r="B43" s="31"/>
      <c r="C43" s="31"/>
      <c r="D43" s="36" t="s">
        <v>62</v>
      </c>
      <c r="E43" s="2">
        <v>0.2</v>
      </c>
      <c r="F43" s="2"/>
    </row>
  </sheetData>
  <autoFilter ref="A2:C2" xr:uid="{08F098E8-81D2-42F9-9D57-E9442ED72ADF}">
    <filterColumn colId="1" showButton="0"/>
    <sortState xmlns:xlrd2="http://schemas.microsoft.com/office/spreadsheetml/2017/richdata2" ref="A3:C43">
      <sortCondition descending="1" ref="B2"/>
    </sortState>
  </autoFilter>
  <mergeCells count="4">
    <mergeCell ref="A1:C1"/>
    <mergeCell ref="D1:F1"/>
    <mergeCell ref="B2:C2"/>
    <mergeCell ref="E2:F2"/>
  </mergeCells>
  <conditionalFormatting sqref="B1:B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FEF3-7A6D-4D9D-AC05-3EB2237225CC}">
  <dimension ref="A1:Z44"/>
  <sheetViews>
    <sheetView zoomScale="63" zoomScaleNormal="100" workbookViewId="0">
      <selection activeCell="S8" sqref="S8"/>
    </sheetView>
  </sheetViews>
  <sheetFormatPr defaultRowHeight="14.35" x14ac:dyDescent="0.5"/>
  <cols>
    <col min="1" max="1" width="3.9375" style="99" bestFit="1" customWidth="1"/>
    <col min="2" max="2" width="10.1171875" bestFit="1" customWidth="1"/>
    <col min="3" max="3" width="9.9375" style="39" bestFit="1" customWidth="1"/>
    <col min="4" max="4" width="7.8203125" style="39" bestFit="1" customWidth="1"/>
    <col min="5" max="5" width="9.05859375" style="97" bestFit="1" customWidth="1"/>
    <col min="6" max="6" width="13.76171875" bestFit="1" customWidth="1"/>
    <col min="7" max="7" width="7.8203125" style="99" bestFit="1" customWidth="1"/>
    <col min="8" max="8" width="7.46875" bestFit="1" customWidth="1"/>
    <col min="9" max="9" width="5.76171875" bestFit="1" customWidth="1"/>
    <col min="10" max="10" width="4.29296875" style="38" bestFit="1" customWidth="1"/>
    <col min="11" max="11" width="11.9375" style="94" bestFit="1" customWidth="1"/>
    <col min="12" max="12" width="8.76171875" bestFit="1" customWidth="1"/>
    <col min="14" max="14" width="15.3515625" customWidth="1"/>
    <col min="15" max="15" width="14.8203125" style="184" customWidth="1"/>
    <col min="17" max="17" width="9.1171875" customWidth="1"/>
    <col min="18" max="18" width="6.17578125" bestFit="1" customWidth="1"/>
    <col min="20" max="20" width="10.05859375" customWidth="1"/>
    <col min="21" max="21" width="5.52734375" bestFit="1" customWidth="1"/>
    <col min="22" max="22" width="11.234375" customWidth="1"/>
    <col min="23" max="23" width="6.87890625" bestFit="1" customWidth="1"/>
    <col min="25" max="25" width="10" bestFit="1" customWidth="1"/>
    <col min="26" max="26" width="11.76171875" bestFit="1" customWidth="1"/>
  </cols>
  <sheetData>
    <row r="1" spans="1:26" x14ac:dyDescent="0.5">
      <c r="A1" s="43"/>
      <c r="B1" s="312" t="s">
        <v>107</v>
      </c>
      <c r="C1" s="312"/>
      <c r="D1" s="312"/>
      <c r="E1" s="312"/>
      <c r="F1" s="312"/>
      <c r="G1" s="312"/>
      <c r="H1" s="43"/>
      <c r="I1" s="43"/>
      <c r="J1" s="41"/>
      <c r="K1" s="41"/>
      <c r="L1" s="41"/>
      <c r="T1" s="189" t="s">
        <v>510</v>
      </c>
      <c r="U1" s="189" t="s">
        <v>511</v>
      </c>
      <c r="V1" s="189" t="s">
        <v>109</v>
      </c>
      <c r="W1" s="189" t="s">
        <v>110</v>
      </c>
      <c r="X1" s="189" t="s">
        <v>112</v>
      </c>
      <c r="Y1" s="189" t="s">
        <v>515</v>
      </c>
      <c r="Z1" s="189" t="s">
        <v>517</v>
      </c>
    </row>
    <row r="2" spans="1:26" x14ac:dyDescent="0.5">
      <c r="A2" s="177" t="s">
        <v>446</v>
      </c>
      <c r="B2" s="40" t="s">
        <v>108</v>
      </c>
      <c r="C2" s="42" t="s">
        <v>109</v>
      </c>
      <c r="D2" s="42" t="s">
        <v>110</v>
      </c>
      <c r="E2" s="95" t="s">
        <v>122</v>
      </c>
      <c r="F2" s="40" t="s">
        <v>111</v>
      </c>
      <c r="G2" s="40" t="s">
        <v>112</v>
      </c>
      <c r="H2" s="40" t="s">
        <v>113</v>
      </c>
      <c r="I2" s="40" t="s">
        <v>345</v>
      </c>
      <c r="J2" s="40" t="s">
        <v>346</v>
      </c>
      <c r="K2" s="40" t="s">
        <v>138</v>
      </c>
      <c r="L2" s="40" t="s">
        <v>347</v>
      </c>
      <c r="T2" s="63">
        <v>46093</v>
      </c>
      <c r="U2" s="190" t="s">
        <v>512</v>
      </c>
      <c r="V2" s="31" t="s">
        <v>513</v>
      </c>
      <c r="W2" s="31" t="s">
        <v>514</v>
      </c>
      <c r="X2" s="31">
        <v>902</v>
      </c>
      <c r="Y2" s="31" t="s">
        <v>516</v>
      </c>
      <c r="Z2" s="31" t="s">
        <v>518</v>
      </c>
    </row>
    <row r="3" spans="1:26" x14ac:dyDescent="0.5">
      <c r="A3" s="41">
        <v>1</v>
      </c>
      <c r="B3" s="167">
        <v>44868</v>
      </c>
      <c r="C3" s="41" t="s">
        <v>114</v>
      </c>
      <c r="D3" s="41" t="s">
        <v>115</v>
      </c>
      <c r="E3" s="96" t="s">
        <v>123</v>
      </c>
      <c r="F3" s="44" t="s">
        <v>116</v>
      </c>
      <c r="G3" s="41">
        <v>9000</v>
      </c>
      <c r="H3" s="316">
        <f>AVERAGE(G3:G27)</f>
        <v>8433</v>
      </c>
      <c r="I3" s="43">
        <v>2275</v>
      </c>
      <c r="J3" s="41" t="s">
        <v>137</v>
      </c>
      <c r="K3" s="41" t="s">
        <v>145</v>
      </c>
      <c r="L3" s="178" t="s">
        <v>145</v>
      </c>
      <c r="T3" s="63">
        <v>46101</v>
      </c>
      <c r="U3" s="31" t="s">
        <v>512</v>
      </c>
      <c r="V3" s="31" t="s">
        <v>514</v>
      </c>
      <c r="W3" s="31" t="s">
        <v>523</v>
      </c>
      <c r="X3" s="31">
        <v>1300</v>
      </c>
      <c r="Y3" s="31" t="s">
        <v>516</v>
      </c>
      <c r="Z3" s="31" t="s">
        <v>524</v>
      </c>
    </row>
    <row r="4" spans="1:26" x14ac:dyDescent="0.5">
      <c r="A4" s="41">
        <v>2</v>
      </c>
      <c r="B4" s="168">
        <v>44998</v>
      </c>
      <c r="C4" s="41" t="s">
        <v>115</v>
      </c>
      <c r="D4" s="41" t="s">
        <v>114</v>
      </c>
      <c r="E4" s="96" t="s">
        <v>124</v>
      </c>
      <c r="F4" s="45" t="s">
        <v>117</v>
      </c>
      <c r="G4" s="41">
        <v>6807</v>
      </c>
      <c r="H4" s="317"/>
      <c r="I4" s="43">
        <v>2275</v>
      </c>
      <c r="J4" s="41" t="s">
        <v>135</v>
      </c>
      <c r="K4" s="41" t="s">
        <v>144</v>
      </c>
      <c r="L4" s="178" t="s">
        <v>148</v>
      </c>
    </row>
    <row r="5" spans="1:26" x14ac:dyDescent="0.5">
      <c r="A5" s="41">
        <v>3</v>
      </c>
      <c r="B5" s="168">
        <v>45024</v>
      </c>
      <c r="C5" s="41" t="s">
        <v>114</v>
      </c>
      <c r="D5" s="41" t="s">
        <v>115</v>
      </c>
      <c r="E5" s="96" t="s">
        <v>123</v>
      </c>
      <c r="F5" s="45" t="s">
        <v>117</v>
      </c>
      <c r="G5" s="41">
        <v>6807</v>
      </c>
      <c r="H5" s="317"/>
      <c r="I5" s="43">
        <v>2275</v>
      </c>
      <c r="J5" s="41" t="s">
        <v>136</v>
      </c>
      <c r="K5" s="41" t="s">
        <v>144</v>
      </c>
      <c r="L5" s="178" t="s">
        <v>149</v>
      </c>
    </row>
    <row r="6" spans="1:26" x14ac:dyDescent="0.5">
      <c r="A6" s="41">
        <v>4</v>
      </c>
      <c r="B6" s="168">
        <v>45127</v>
      </c>
      <c r="C6" s="41" t="s">
        <v>115</v>
      </c>
      <c r="D6" s="41" t="s">
        <v>114</v>
      </c>
      <c r="E6" s="96" t="s">
        <v>124</v>
      </c>
      <c r="F6" s="45" t="s">
        <v>117</v>
      </c>
      <c r="G6" s="41">
        <v>6946</v>
      </c>
      <c r="H6" s="317"/>
      <c r="I6" s="43">
        <v>2275</v>
      </c>
      <c r="J6" s="41" t="s">
        <v>137</v>
      </c>
      <c r="K6" s="41" t="s">
        <v>140</v>
      </c>
      <c r="L6" s="178" t="s">
        <v>148</v>
      </c>
    </row>
    <row r="7" spans="1:26" x14ac:dyDescent="0.5">
      <c r="A7" s="41">
        <v>5</v>
      </c>
      <c r="B7" s="168">
        <v>45145</v>
      </c>
      <c r="C7" s="41" t="s">
        <v>114</v>
      </c>
      <c r="D7" s="41" t="s">
        <v>115</v>
      </c>
      <c r="E7" s="96" t="s">
        <v>123</v>
      </c>
      <c r="F7" s="45" t="s">
        <v>117</v>
      </c>
      <c r="G7" s="41">
        <v>6946</v>
      </c>
      <c r="H7" s="317"/>
      <c r="I7" s="43">
        <v>2275</v>
      </c>
      <c r="J7" s="41" t="s">
        <v>137</v>
      </c>
      <c r="K7" s="41" t="s">
        <v>140</v>
      </c>
      <c r="L7" s="178" t="s">
        <v>149</v>
      </c>
      <c r="N7" s="40" t="s">
        <v>374</v>
      </c>
      <c r="O7" s="185" t="s">
        <v>375</v>
      </c>
    </row>
    <row r="8" spans="1:26" x14ac:dyDescent="0.5">
      <c r="A8" s="41">
        <v>6</v>
      </c>
      <c r="B8" s="168">
        <v>45261</v>
      </c>
      <c r="C8" s="41" t="s">
        <v>115</v>
      </c>
      <c r="D8" s="41" t="s">
        <v>114</v>
      </c>
      <c r="E8" s="96" t="s">
        <v>124</v>
      </c>
      <c r="F8" s="98" t="s">
        <v>118</v>
      </c>
      <c r="G8" s="41">
        <v>7564</v>
      </c>
      <c r="H8" s="317"/>
      <c r="I8" s="43">
        <v>2275</v>
      </c>
      <c r="J8" s="41" t="s">
        <v>141</v>
      </c>
      <c r="K8" s="41" t="s">
        <v>140</v>
      </c>
      <c r="L8" s="179" t="s">
        <v>151</v>
      </c>
      <c r="N8" s="31" t="s">
        <v>116</v>
      </c>
      <c r="O8" s="183">
        <v>1</v>
      </c>
    </row>
    <row r="9" spans="1:26" x14ac:dyDescent="0.5">
      <c r="A9" s="41">
        <v>7</v>
      </c>
      <c r="B9" s="169">
        <v>45298</v>
      </c>
      <c r="C9" s="41" t="s">
        <v>114</v>
      </c>
      <c r="D9" s="41" t="s">
        <v>115</v>
      </c>
      <c r="E9" s="96" t="s">
        <v>123</v>
      </c>
      <c r="F9" s="46" t="s">
        <v>119</v>
      </c>
      <c r="G9" s="41">
        <v>6355</v>
      </c>
      <c r="H9" s="317"/>
      <c r="I9" s="43">
        <v>2275</v>
      </c>
      <c r="J9" s="41" t="s">
        <v>142</v>
      </c>
      <c r="K9" s="41" t="s">
        <v>140</v>
      </c>
      <c r="L9" s="178" t="s">
        <v>150</v>
      </c>
      <c r="N9" s="41" t="s">
        <v>117</v>
      </c>
      <c r="O9" s="183">
        <f>COUNTIF(F4:F30,N9)</f>
        <v>7</v>
      </c>
    </row>
    <row r="10" spans="1:26" x14ac:dyDescent="0.5">
      <c r="A10" s="41">
        <v>8</v>
      </c>
      <c r="B10" s="169">
        <v>45393</v>
      </c>
      <c r="C10" s="41" t="s">
        <v>120</v>
      </c>
      <c r="D10" s="41" t="s">
        <v>114</v>
      </c>
      <c r="E10" s="96" t="s">
        <v>124</v>
      </c>
      <c r="F10" s="45" t="s">
        <v>117</v>
      </c>
      <c r="G10" s="41">
        <v>10599</v>
      </c>
      <c r="H10" s="317"/>
      <c r="I10" s="43">
        <v>2360</v>
      </c>
      <c r="J10" s="41" t="s">
        <v>137</v>
      </c>
      <c r="K10" s="41" t="s">
        <v>143</v>
      </c>
      <c r="L10" s="178" t="s">
        <v>152</v>
      </c>
      <c r="N10" s="41" t="s">
        <v>118</v>
      </c>
      <c r="O10" s="183">
        <f>COUNTIF(F5:F31,N10)</f>
        <v>6</v>
      </c>
    </row>
    <row r="11" spans="1:26" x14ac:dyDescent="0.5">
      <c r="A11" s="41">
        <v>9</v>
      </c>
      <c r="B11" s="169">
        <v>45504</v>
      </c>
      <c r="C11" s="41" t="s">
        <v>114</v>
      </c>
      <c r="D11" s="41" t="s">
        <v>115</v>
      </c>
      <c r="E11" s="96" t="s">
        <v>123</v>
      </c>
      <c r="F11" s="45" t="s">
        <v>117</v>
      </c>
      <c r="G11" s="41">
        <v>7214</v>
      </c>
      <c r="H11" s="317"/>
      <c r="I11" s="43">
        <v>2275</v>
      </c>
      <c r="J11" s="41" t="s">
        <v>134</v>
      </c>
      <c r="K11" s="41" t="s">
        <v>144</v>
      </c>
      <c r="L11" s="178" t="s">
        <v>149</v>
      </c>
      <c r="N11" s="41" t="s">
        <v>119</v>
      </c>
      <c r="O11" s="183">
        <f>COUNTIF(F6:F32,N11)</f>
        <v>6</v>
      </c>
    </row>
    <row r="12" spans="1:26" x14ac:dyDescent="0.5">
      <c r="A12" s="41">
        <v>10</v>
      </c>
      <c r="B12" s="169">
        <v>45594</v>
      </c>
      <c r="C12" s="41" t="s">
        <v>115</v>
      </c>
      <c r="D12" s="41" t="s">
        <v>114</v>
      </c>
      <c r="E12" s="96" t="s">
        <v>125</v>
      </c>
      <c r="F12" s="45" t="s">
        <v>117</v>
      </c>
      <c r="G12" s="41">
        <v>8650</v>
      </c>
      <c r="H12" s="317"/>
      <c r="I12" s="43">
        <v>2275</v>
      </c>
      <c r="J12" s="41" t="s">
        <v>133</v>
      </c>
      <c r="K12" s="41" t="s">
        <v>144</v>
      </c>
      <c r="L12" s="178" t="s">
        <v>148</v>
      </c>
      <c r="N12" s="41" t="s">
        <v>355</v>
      </c>
      <c r="O12" s="183">
        <f>COUNTIF(F7:F33,N12)</f>
        <v>5</v>
      </c>
    </row>
    <row r="13" spans="1:26" x14ac:dyDescent="0.5">
      <c r="A13" s="41">
        <v>11</v>
      </c>
      <c r="B13" s="169">
        <v>45599</v>
      </c>
      <c r="C13" s="41" t="s">
        <v>114</v>
      </c>
      <c r="D13" s="41" t="s">
        <v>115</v>
      </c>
      <c r="E13" s="96" t="s">
        <v>125</v>
      </c>
      <c r="F13" s="47" t="s">
        <v>119</v>
      </c>
      <c r="G13" s="41">
        <v>8650</v>
      </c>
      <c r="H13" s="317"/>
      <c r="I13" s="43">
        <v>2275</v>
      </c>
      <c r="J13" s="41" t="s">
        <v>131</v>
      </c>
      <c r="K13" s="41" t="s">
        <v>144</v>
      </c>
      <c r="L13" s="178" t="s">
        <v>146</v>
      </c>
      <c r="N13" s="41" t="s">
        <v>557</v>
      </c>
      <c r="O13" s="183">
        <f>COUNTIF(F7:F33,N13)</f>
        <v>2</v>
      </c>
    </row>
    <row r="14" spans="1:26" x14ac:dyDescent="0.5">
      <c r="A14" s="41">
        <v>12</v>
      </c>
      <c r="B14" s="169">
        <v>45626</v>
      </c>
      <c r="C14" s="41" t="s">
        <v>115</v>
      </c>
      <c r="D14" s="41" t="s">
        <v>114</v>
      </c>
      <c r="E14" s="96" t="s">
        <v>124</v>
      </c>
      <c r="F14" s="47" t="s">
        <v>119</v>
      </c>
      <c r="G14" s="41">
        <v>7565</v>
      </c>
      <c r="H14" s="317"/>
      <c r="I14" s="43">
        <v>2275</v>
      </c>
      <c r="J14" s="41" t="s">
        <v>132</v>
      </c>
      <c r="K14" s="41" t="s">
        <v>143</v>
      </c>
      <c r="L14" s="178" t="s">
        <v>147</v>
      </c>
    </row>
    <row r="15" spans="1:26" x14ac:dyDescent="0.5">
      <c r="A15" s="41">
        <v>13</v>
      </c>
      <c r="B15" s="170">
        <v>45665</v>
      </c>
      <c r="C15" s="41" t="s">
        <v>114</v>
      </c>
      <c r="D15" s="41" t="s">
        <v>115</v>
      </c>
      <c r="E15" s="96" t="s">
        <v>123</v>
      </c>
      <c r="F15" s="47" t="s">
        <v>119</v>
      </c>
      <c r="G15" s="41">
        <v>9218</v>
      </c>
      <c r="H15" s="317"/>
      <c r="I15" s="43">
        <v>2275</v>
      </c>
      <c r="J15" s="41" t="s">
        <v>131</v>
      </c>
      <c r="K15" s="41" t="s">
        <v>139</v>
      </c>
      <c r="L15" s="178" t="s">
        <v>146</v>
      </c>
    </row>
    <row r="16" spans="1:26" x14ac:dyDescent="0.5">
      <c r="A16" s="41">
        <v>14</v>
      </c>
      <c r="B16" s="170">
        <v>45776</v>
      </c>
      <c r="C16" s="41" t="s">
        <v>115</v>
      </c>
      <c r="D16" s="41" t="s">
        <v>114</v>
      </c>
      <c r="E16" s="96" t="s">
        <v>124</v>
      </c>
      <c r="F16" s="47" t="s">
        <v>119</v>
      </c>
      <c r="G16" s="41">
        <v>7166</v>
      </c>
      <c r="H16" s="317"/>
      <c r="I16" s="43">
        <v>2275</v>
      </c>
      <c r="J16" s="41" t="s">
        <v>137</v>
      </c>
      <c r="K16" s="41" t="s">
        <v>144</v>
      </c>
      <c r="L16" s="178" t="s">
        <v>214</v>
      </c>
    </row>
    <row r="17" spans="1:12" x14ac:dyDescent="0.5">
      <c r="A17" s="41">
        <v>15</v>
      </c>
      <c r="B17" s="170">
        <v>45871</v>
      </c>
      <c r="C17" s="41" t="s">
        <v>114</v>
      </c>
      <c r="D17" s="41" t="s">
        <v>115</v>
      </c>
      <c r="E17" s="96" t="s">
        <v>123</v>
      </c>
      <c r="F17" s="98" t="s">
        <v>118</v>
      </c>
      <c r="G17" s="41">
        <v>7987</v>
      </c>
      <c r="H17" s="317"/>
      <c r="I17" s="43">
        <v>2275</v>
      </c>
      <c r="J17" s="41" t="s">
        <v>132</v>
      </c>
      <c r="K17" s="41" t="s">
        <v>140</v>
      </c>
      <c r="L17" s="179" t="s">
        <v>302</v>
      </c>
    </row>
    <row r="18" spans="1:12" ht="28.7" x14ac:dyDescent="0.5">
      <c r="A18" s="41">
        <v>16</v>
      </c>
      <c r="B18" s="170">
        <v>45917</v>
      </c>
      <c r="C18" s="41" t="s">
        <v>115</v>
      </c>
      <c r="D18" s="41" t="s">
        <v>114</v>
      </c>
      <c r="E18" s="96" t="s">
        <v>357</v>
      </c>
      <c r="F18" s="100" t="s">
        <v>355</v>
      </c>
      <c r="G18" s="41">
        <v>10585</v>
      </c>
      <c r="H18" s="317"/>
      <c r="I18" s="43">
        <v>2275</v>
      </c>
      <c r="J18" s="41" t="s">
        <v>134</v>
      </c>
      <c r="K18" s="41" t="s">
        <v>144</v>
      </c>
      <c r="L18" s="179" t="s">
        <v>356</v>
      </c>
    </row>
    <row r="19" spans="1:12" x14ac:dyDescent="0.5">
      <c r="A19" s="310">
        <v>17</v>
      </c>
      <c r="B19" s="319">
        <v>45941</v>
      </c>
      <c r="C19" s="41" t="s">
        <v>114</v>
      </c>
      <c r="D19" s="41" t="s">
        <v>365</v>
      </c>
      <c r="E19" s="314" t="s">
        <v>123</v>
      </c>
      <c r="F19" s="98" t="s">
        <v>118</v>
      </c>
      <c r="G19" s="310">
        <v>11466</v>
      </c>
      <c r="H19" s="317"/>
      <c r="I19" s="43">
        <v>1756</v>
      </c>
      <c r="J19" s="41" t="s">
        <v>366</v>
      </c>
      <c r="K19" s="310" t="s">
        <v>144</v>
      </c>
      <c r="L19" s="179" t="s">
        <v>367</v>
      </c>
    </row>
    <row r="20" spans="1:12" x14ac:dyDescent="0.5">
      <c r="A20" s="311"/>
      <c r="B20" s="320"/>
      <c r="C20" s="41" t="s">
        <v>365</v>
      </c>
      <c r="D20" s="41" t="s">
        <v>115</v>
      </c>
      <c r="E20" s="315"/>
      <c r="F20" s="98" t="s">
        <v>118</v>
      </c>
      <c r="G20" s="311"/>
      <c r="H20" s="317"/>
      <c r="I20" s="43">
        <v>517</v>
      </c>
      <c r="J20" s="41" t="s">
        <v>131</v>
      </c>
      <c r="K20" s="311"/>
      <c r="L20" s="179" t="s">
        <v>368</v>
      </c>
    </row>
    <row r="21" spans="1:12" x14ac:dyDescent="0.5">
      <c r="A21" s="148">
        <v>18</v>
      </c>
      <c r="B21" s="170">
        <v>45992</v>
      </c>
      <c r="C21" s="41" t="s">
        <v>115</v>
      </c>
      <c r="D21" s="41" t="s">
        <v>114</v>
      </c>
      <c r="E21" s="149" t="s">
        <v>124</v>
      </c>
      <c r="F21" s="100" t="s">
        <v>355</v>
      </c>
      <c r="G21" s="148">
        <v>8231</v>
      </c>
      <c r="H21" s="317"/>
      <c r="I21" s="43">
        <v>2275</v>
      </c>
      <c r="J21" s="41" t="s">
        <v>142</v>
      </c>
      <c r="K21" s="148" t="s">
        <v>139</v>
      </c>
      <c r="L21" s="179" t="s">
        <v>403</v>
      </c>
    </row>
    <row r="22" spans="1:12" x14ac:dyDescent="0.5">
      <c r="A22" s="148">
        <v>19</v>
      </c>
      <c r="B22" s="173">
        <v>46033</v>
      </c>
      <c r="C22" s="41" t="s">
        <v>114</v>
      </c>
      <c r="D22" s="41" t="s">
        <v>115</v>
      </c>
      <c r="E22" s="149" t="s">
        <v>123</v>
      </c>
      <c r="F22" s="100" t="s">
        <v>355</v>
      </c>
      <c r="G22" s="148">
        <v>9791</v>
      </c>
      <c r="H22" s="317"/>
      <c r="I22" s="43">
        <v>2275</v>
      </c>
      <c r="J22" s="41" t="s">
        <v>134</v>
      </c>
      <c r="K22" s="148" t="s">
        <v>144</v>
      </c>
      <c r="L22" s="179" t="s">
        <v>422</v>
      </c>
    </row>
    <row r="23" spans="1:12" x14ac:dyDescent="0.5">
      <c r="A23" s="148">
        <v>20</v>
      </c>
      <c r="B23" s="173">
        <v>46057</v>
      </c>
      <c r="C23" s="41" t="s">
        <v>115</v>
      </c>
      <c r="D23" s="41" t="s">
        <v>114</v>
      </c>
      <c r="E23" s="149" t="s">
        <v>464</v>
      </c>
      <c r="F23" s="100" t="s">
        <v>355</v>
      </c>
      <c r="G23" s="148">
        <v>16566</v>
      </c>
      <c r="H23" s="317"/>
      <c r="I23" s="43">
        <v>2275</v>
      </c>
      <c r="J23" s="41" t="s">
        <v>135</v>
      </c>
      <c r="K23" s="148" t="s">
        <v>144</v>
      </c>
      <c r="L23" s="179" t="s">
        <v>403</v>
      </c>
    </row>
    <row r="24" spans="1:12" x14ac:dyDescent="0.5">
      <c r="A24" s="148">
        <v>21</v>
      </c>
      <c r="B24" s="173">
        <v>46061</v>
      </c>
      <c r="C24" s="41" t="s">
        <v>114</v>
      </c>
      <c r="D24" s="41" t="s">
        <v>115</v>
      </c>
      <c r="E24" s="149" t="s">
        <v>123</v>
      </c>
      <c r="F24" s="100" t="s">
        <v>355</v>
      </c>
      <c r="G24" s="148">
        <v>8566</v>
      </c>
      <c r="H24" s="317"/>
      <c r="I24" s="43">
        <v>2275</v>
      </c>
      <c r="J24" s="41" t="s">
        <v>469</v>
      </c>
      <c r="K24" s="148" t="s">
        <v>144</v>
      </c>
      <c r="L24" s="179" t="s">
        <v>470</v>
      </c>
    </row>
    <row r="25" spans="1:12" x14ac:dyDescent="0.5">
      <c r="A25" s="148">
        <v>22</v>
      </c>
      <c r="B25" s="173">
        <v>46075</v>
      </c>
      <c r="C25" s="41" t="s">
        <v>115</v>
      </c>
      <c r="D25" s="41" t="s">
        <v>462</v>
      </c>
      <c r="E25" s="149" t="s">
        <v>474</v>
      </c>
      <c r="F25" s="47" t="s">
        <v>119</v>
      </c>
      <c r="G25" s="148">
        <v>4151</v>
      </c>
      <c r="H25" s="317"/>
      <c r="I25" s="43">
        <v>342</v>
      </c>
      <c r="J25" s="41" t="s">
        <v>475</v>
      </c>
      <c r="K25" s="148" t="s">
        <v>144</v>
      </c>
      <c r="L25" s="179" t="s">
        <v>476</v>
      </c>
    </row>
    <row r="26" spans="1:12" ht="28.7" customHeight="1" x14ac:dyDescent="0.5">
      <c r="A26" s="148">
        <v>23</v>
      </c>
      <c r="B26" s="173">
        <v>46199</v>
      </c>
      <c r="C26" s="41" t="s">
        <v>462</v>
      </c>
      <c r="D26" s="41" t="s">
        <v>114</v>
      </c>
      <c r="E26" s="314" t="s">
        <v>556</v>
      </c>
      <c r="F26" s="255" t="s">
        <v>557</v>
      </c>
      <c r="G26" s="148">
        <v>7781</v>
      </c>
      <c r="H26" s="317"/>
      <c r="I26" s="43">
        <v>1710</v>
      </c>
      <c r="J26" s="41" t="s">
        <v>572</v>
      </c>
      <c r="K26" s="148" t="s">
        <v>139</v>
      </c>
      <c r="L26" s="179" t="s">
        <v>558</v>
      </c>
    </row>
    <row r="27" spans="1:12" x14ac:dyDescent="0.5">
      <c r="A27" s="148">
        <v>24</v>
      </c>
      <c r="B27" s="173">
        <v>46217</v>
      </c>
      <c r="C27" s="41" t="s">
        <v>114</v>
      </c>
      <c r="D27" s="41" t="s">
        <v>462</v>
      </c>
      <c r="E27" s="315"/>
      <c r="F27" s="255" t="s">
        <v>557</v>
      </c>
      <c r="G27" s="148">
        <v>7781</v>
      </c>
      <c r="H27" s="318"/>
      <c r="I27" s="43">
        <v>1710</v>
      </c>
      <c r="J27" s="41" t="s">
        <v>560</v>
      </c>
      <c r="K27" s="148" t="s">
        <v>139</v>
      </c>
      <c r="L27" s="179" t="s">
        <v>559</v>
      </c>
    </row>
    <row r="28" spans="1:12" ht="57.35" x14ac:dyDescent="0.5">
      <c r="A28" s="148">
        <v>25</v>
      </c>
      <c r="B28" s="173">
        <v>46255</v>
      </c>
      <c r="C28" s="41" t="s">
        <v>462</v>
      </c>
      <c r="D28" s="41" t="s">
        <v>114</v>
      </c>
      <c r="E28" s="149" t="s">
        <v>611</v>
      </c>
      <c r="F28" s="98" t="s">
        <v>118</v>
      </c>
      <c r="G28" s="148">
        <v>9914</v>
      </c>
      <c r="H28" s="256"/>
      <c r="I28" s="43">
        <v>1710</v>
      </c>
      <c r="J28" s="41" t="s">
        <v>613</v>
      </c>
      <c r="K28" s="148" t="s">
        <v>144</v>
      </c>
      <c r="L28" s="179" t="s">
        <v>612</v>
      </c>
    </row>
    <row r="29" spans="1:12" ht="28.7" x14ac:dyDescent="0.5">
      <c r="A29" s="148">
        <v>26</v>
      </c>
      <c r="B29" s="173">
        <v>46279</v>
      </c>
      <c r="C29" s="41" t="s">
        <v>114</v>
      </c>
      <c r="D29" s="41" t="s">
        <v>462</v>
      </c>
      <c r="E29" s="149" t="s">
        <v>614</v>
      </c>
      <c r="F29" s="98" t="s">
        <v>118</v>
      </c>
      <c r="G29" s="148">
        <v>10300</v>
      </c>
      <c r="H29" s="256"/>
      <c r="I29" s="43">
        <v>1710</v>
      </c>
      <c r="J29" s="41" t="s">
        <v>615</v>
      </c>
      <c r="K29" s="148" t="s">
        <v>139</v>
      </c>
      <c r="L29" s="178">
        <v>6E-176</v>
      </c>
    </row>
    <row r="30" spans="1:12" x14ac:dyDescent="0.5">
      <c r="A30" s="43"/>
      <c r="B30" s="313" t="s">
        <v>121</v>
      </c>
      <c r="C30" s="313"/>
      <c r="D30" s="313"/>
      <c r="E30" s="313"/>
      <c r="F30" s="313"/>
      <c r="G30" s="40">
        <f>SUM(G3:G29)</f>
        <v>222606</v>
      </c>
      <c r="H30" s="43"/>
      <c r="I30" s="40">
        <f>SUM(I3:I29)</f>
        <v>55040</v>
      </c>
      <c r="J30" s="41"/>
      <c r="K30" s="41"/>
      <c r="L30" s="41"/>
    </row>
    <row r="31" spans="1:12" x14ac:dyDescent="0.5">
      <c r="I31" s="38"/>
    </row>
    <row r="32" spans="1:12" x14ac:dyDescent="0.5">
      <c r="I32" s="38"/>
    </row>
    <row r="36" spans="14:18" x14ac:dyDescent="0.5">
      <c r="N36" t="s">
        <v>369</v>
      </c>
    </row>
    <row r="39" spans="14:18" x14ac:dyDescent="0.5">
      <c r="Q39" s="309" t="s">
        <v>473</v>
      </c>
      <c r="R39" s="309"/>
    </row>
    <row r="40" spans="14:18" x14ac:dyDescent="0.5">
      <c r="N40" s="175" t="s">
        <v>426</v>
      </c>
      <c r="O40" s="186" t="s">
        <v>427</v>
      </c>
      <c r="P40" s="175" t="s">
        <v>428</v>
      </c>
      <c r="Q40" s="175" t="s">
        <v>471</v>
      </c>
      <c r="R40" s="175" t="s">
        <v>472</v>
      </c>
    </row>
    <row r="41" spans="14:18" x14ac:dyDescent="0.5">
      <c r="N41" t="s">
        <v>370</v>
      </c>
      <c r="O41" s="187">
        <v>28.56</v>
      </c>
      <c r="P41" s="174">
        <v>77.102999999999994</v>
      </c>
      <c r="Q41">
        <v>11</v>
      </c>
      <c r="R41">
        <v>10</v>
      </c>
    </row>
    <row r="42" spans="14:18" x14ac:dyDescent="0.5">
      <c r="N42" t="s">
        <v>371</v>
      </c>
      <c r="O42" s="187">
        <v>10.151999999999999</v>
      </c>
      <c r="P42" s="174">
        <v>76.402000000000001</v>
      </c>
      <c r="Q42">
        <v>9</v>
      </c>
      <c r="R42">
        <v>11</v>
      </c>
    </row>
    <row r="43" spans="14:18" x14ac:dyDescent="0.5">
      <c r="N43" t="s">
        <v>372</v>
      </c>
      <c r="O43" s="187">
        <v>12.994</v>
      </c>
      <c r="P43" s="174">
        <v>80.180999999999997</v>
      </c>
      <c r="Q43">
        <v>1</v>
      </c>
      <c r="R43">
        <v>1</v>
      </c>
    </row>
    <row r="44" spans="14:18" x14ac:dyDescent="0.5">
      <c r="N44" t="s">
        <v>373</v>
      </c>
      <c r="O44" s="187">
        <v>8.4819999999999993</v>
      </c>
      <c r="P44">
        <v>76.92</v>
      </c>
      <c r="Q44">
        <v>1</v>
      </c>
      <c r="R44">
        <v>0</v>
      </c>
    </row>
  </sheetData>
  <mergeCells count="10">
    <mergeCell ref="Q39:R39"/>
    <mergeCell ref="K19:K20"/>
    <mergeCell ref="B1:G1"/>
    <mergeCell ref="B30:F30"/>
    <mergeCell ref="A19:A20"/>
    <mergeCell ref="E19:E20"/>
    <mergeCell ref="G19:G20"/>
    <mergeCell ref="E26:E27"/>
    <mergeCell ref="H3:H27"/>
    <mergeCell ref="B19:B20"/>
  </mergeCells>
  <conditionalFormatting sqref="G3:G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AC27-45BC-4400-8866-2393AE69295D}">
  <dimension ref="A1:F32"/>
  <sheetViews>
    <sheetView zoomScale="72" workbookViewId="0">
      <selection activeCell="G3" sqref="G3"/>
    </sheetView>
  </sheetViews>
  <sheetFormatPr defaultRowHeight="14.35" x14ac:dyDescent="0.5"/>
  <cols>
    <col min="1" max="1" width="10.9375" bestFit="1" customWidth="1"/>
  </cols>
  <sheetData>
    <row r="1" spans="1:5" x14ac:dyDescent="0.5">
      <c r="A1" s="32" t="s">
        <v>155</v>
      </c>
      <c r="B1" s="32" t="s">
        <v>156</v>
      </c>
      <c r="C1" s="32" t="s">
        <v>157</v>
      </c>
    </row>
    <row r="2" spans="1:5" x14ac:dyDescent="0.5">
      <c r="A2" s="32" t="s">
        <v>158</v>
      </c>
      <c r="B2" s="32">
        <v>9.74</v>
      </c>
      <c r="C2" s="180">
        <f>AVERAGE(B2)</f>
        <v>9.74</v>
      </c>
    </row>
    <row r="3" spans="1:5" x14ac:dyDescent="0.5">
      <c r="A3" s="32" t="s">
        <v>159</v>
      </c>
      <c r="B3" s="32">
        <v>9.43</v>
      </c>
      <c r="C3" s="180">
        <f>AVERAGE(B2:B3)</f>
        <v>9.5850000000000009</v>
      </c>
    </row>
    <row r="4" spans="1:5" x14ac:dyDescent="0.5">
      <c r="A4" s="32" t="s">
        <v>160</v>
      </c>
      <c r="B4" s="32">
        <v>9.58</v>
      </c>
      <c r="C4" s="180">
        <f>AVERAGE(B2:B4)</f>
        <v>9.5833333333333339</v>
      </c>
    </row>
    <row r="5" spans="1:5" x14ac:dyDescent="0.5">
      <c r="A5" s="32" t="s">
        <v>161</v>
      </c>
      <c r="B5" s="32">
        <v>9.5399999999999991</v>
      </c>
      <c r="C5" s="180">
        <f>AVERAGE(B2:B5)</f>
        <v>9.5724999999999998</v>
      </c>
    </row>
    <row r="6" spans="1:5" x14ac:dyDescent="0.5">
      <c r="A6" s="32" t="s">
        <v>162</v>
      </c>
      <c r="B6" s="32">
        <v>9.91</v>
      </c>
      <c r="C6" s="180">
        <f>AVERAGE(B2:B6)</f>
        <v>9.64</v>
      </c>
    </row>
    <row r="7" spans="1:5" x14ac:dyDescent="0.5">
      <c r="A7" s="32" t="s">
        <v>163</v>
      </c>
      <c r="B7" s="32">
        <v>9.7799999999999994</v>
      </c>
      <c r="C7" s="180">
        <f>AVERAGE(B2:B7)</f>
        <v>9.663333333333334</v>
      </c>
    </row>
    <row r="8" spans="1:5" x14ac:dyDescent="0.5">
      <c r="A8" s="32" t="s">
        <v>164</v>
      </c>
      <c r="B8" s="32">
        <v>10</v>
      </c>
      <c r="C8" s="180">
        <f>AVERAGE(B2:B8)</f>
        <v>9.7114285714285717</v>
      </c>
    </row>
    <row r="9" spans="1:5" x14ac:dyDescent="0.5">
      <c r="A9" s="32" t="s">
        <v>165</v>
      </c>
      <c r="B9" s="32"/>
      <c r="C9" s="180"/>
    </row>
    <row r="13" spans="1:5" x14ac:dyDescent="0.5">
      <c r="B13" t="s">
        <v>25</v>
      </c>
      <c r="D13" t="s">
        <v>7</v>
      </c>
      <c r="E13" t="s">
        <v>20</v>
      </c>
    </row>
    <row r="14" spans="1:5" x14ac:dyDescent="0.5">
      <c r="A14" t="s">
        <v>168</v>
      </c>
      <c r="B14">
        <v>13</v>
      </c>
      <c r="D14" t="s">
        <v>12</v>
      </c>
      <c r="E14">
        <v>6.129032258064516</v>
      </c>
    </row>
    <row r="15" spans="1:5" x14ac:dyDescent="0.5">
      <c r="A15" t="s">
        <v>169</v>
      </c>
      <c r="B15">
        <v>33</v>
      </c>
      <c r="D15" t="s">
        <v>17</v>
      </c>
      <c r="E15">
        <v>5.612903225806452</v>
      </c>
    </row>
    <row r="16" spans="1:5" x14ac:dyDescent="0.5">
      <c r="A16" t="s">
        <v>170</v>
      </c>
      <c r="B16">
        <v>158</v>
      </c>
      <c r="D16" t="s">
        <v>10</v>
      </c>
      <c r="E16">
        <v>5.5483870967741939</v>
      </c>
    </row>
    <row r="17" spans="1:6" x14ac:dyDescent="0.5">
      <c r="A17" t="s">
        <v>171</v>
      </c>
      <c r="B17">
        <v>127</v>
      </c>
      <c r="D17" t="s">
        <v>18</v>
      </c>
      <c r="E17">
        <v>5.5333333333333332</v>
      </c>
    </row>
    <row r="18" spans="1:6" x14ac:dyDescent="0.5">
      <c r="A18" t="s">
        <v>172</v>
      </c>
      <c r="B18">
        <v>26</v>
      </c>
      <c r="D18" t="s">
        <v>13</v>
      </c>
      <c r="E18">
        <v>5.333333333333333</v>
      </c>
    </row>
    <row r="19" spans="1:6" x14ac:dyDescent="0.5">
      <c r="A19" t="s">
        <v>173</v>
      </c>
      <c r="B19">
        <v>9</v>
      </c>
      <c r="D19" t="s">
        <v>8</v>
      </c>
      <c r="E19">
        <v>5.290322580645161</v>
      </c>
    </row>
    <row r="20" spans="1:6" x14ac:dyDescent="0.5">
      <c r="D20" t="s">
        <v>16</v>
      </c>
      <c r="E20">
        <v>5.2666666666666666</v>
      </c>
    </row>
    <row r="21" spans="1:6" x14ac:dyDescent="0.5">
      <c r="D21" t="s">
        <v>14</v>
      </c>
      <c r="E21">
        <v>5.032258064516129</v>
      </c>
    </row>
    <row r="22" spans="1:6" x14ac:dyDescent="0.5">
      <c r="D22" t="s">
        <v>15</v>
      </c>
      <c r="E22">
        <v>4.967741935483871</v>
      </c>
    </row>
    <row r="23" spans="1:6" x14ac:dyDescent="0.5">
      <c r="D23" t="s">
        <v>19</v>
      </c>
      <c r="E23">
        <v>4.709677419354839</v>
      </c>
    </row>
    <row r="24" spans="1:6" x14ac:dyDescent="0.5">
      <c r="D24" t="s">
        <v>11</v>
      </c>
      <c r="E24">
        <v>4.4666666666666668</v>
      </c>
    </row>
    <row r="25" spans="1:6" x14ac:dyDescent="0.5">
      <c r="D25" t="s">
        <v>9</v>
      </c>
      <c r="E25">
        <v>4.4137931034482758</v>
      </c>
    </row>
    <row r="29" spans="1:6" x14ac:dyDescent="0.5">
      <c r="E29">
        <v>160</v>
      </c>
      <c r="F29" t="s">
        <v>205</v>
      </c>
    </row>
    <row r="30" spans="1:6" x14ac:dyDescent="0.5">
      <c r="E30">
        <v>300</v>
      </c>
      <c r="F30" t="s">
        <v>206</v>
      </c>
    </row>
    <row r="32" spans="1:6" x14ac:dyDescent="0.5">
      <c r="E32">
        <f>20+15+25+15+20</f>
        <v>95</v>
      </c>
    </row>
  </sheetData>
  <autoFilter ref="D13:E25" xr:uid="{8A08AC27-45BC-4400-8866-2393AE69295D}">
    <sortState xmlns:xlrd2="http://schemas.microsoft.com/office/spreadsheetml/2017/richdata2" ref="D14:E25">
      <sortCondition descending="1" ref="E13:E25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7954-7710-41E2-9B85-8FB983756544}">
  <dimension ref="A1:X14"/>
  <sheetViews>
    <sheetView zoomScale="102" zoomScaleNormal="85" workbookViewId="0">
      <selection activeCell="M16" sqref="M16"/>
    </sheetView>
  </sheetViews>
  <sheetFormatPr defaultRowHeight="14.35" x14ac:dyDescent="0.5"/>
  <cols>
    <col min="1" max="1" width="10.87890625" bestFit="1" customWidth="1"/>
    <col min="2" max="2" width="6.41015625" bestFit="1" customWidth="1"/>
    <col min="3" max="3" width="5.703125" bestFit="1" customWidth="1"/>
    <col min="4" max="4" width="3.76171875" bestFit="1" customWidth="1"/>
    <col min="6" max="6" width="11" bestFit="1" customWidth="1"/>
    <col min="10" max="10" width="4.1171875" bestFit="1" customWidth="1"/>
    <col min="11" max="11" width="11.76171875" bestFit="1" customWidth="1"/>
  </cols>
  <sheetData>
    <row r="1" spans="1:24" x14ac:dyDescent="0.5">
      <c r="A1" s="82" t="s">
        <v>266</v>
      </c>
      <c r="B1" s="83" t="s">
        <v>267</v>
      </c>
      <c r="C1" s="83" t="s">
        <v>268</v>
      </c>
      <c r="D1" s="83"/>
      <c r="E1" s="321" t="s">
        <v>555</v>
      </c>
      <c r="F1" s="322"/>
      <c r="G1" s="322"/>
      <c r="H1" s="322"/>
      <c r="I1" s="322"/>
      <c r="J1" s="322"/>
      <c r="K1" s="323"/>
    </row>
    <row r="2" spans="1:24" x14ac:dyDescent="0.5">
      <c r="A2" s="84" t="s">
        <v>450</v>
      </c>
      <c r="B2" s="81">
        <v>3</v>
      </c>
      <c r="C2" s="81">
        <v>10</v>
      </c>
      <c r="D2" s="81">
        <f>B2*C2</f>
        <v>30</v>
      </c>
      <c r="E2" s="309"/>
      <c r="F2" s="333" t="s">
        <v>156</v>
      </c>
      <c r="G2" s="333"/>
      <c r="H2" s="309"/>
      <c r="I2" s="309"/>
      <c r="J2" s="324"/>
      <c r="K2" s="325"/>
    </row>
    <row r="3" spans="1:24" x14ac:dyDescent="0.5">
      <c r="A3" s="84" t="s">
        <v>451</v>
      </c>
      <c r="B3" s="81">
        <v>4</v>
      </c>
      <c r="C3" s="81">
        <v>10</v>
      </c>
      <c r="D3" s="81">
        <f>B3*C3</f>
        <v>40</v>
      </c>
      <c r="E3" s="309"/>
      <c r="F3" s="333"/>
      <c r="G3" s="333"/>
      <c r="H3" s="309"/>
      <c r="I3" s="309"/>
      <c r="J3" s="80" t="s">
        <v>265</v>
      </c>
      <c r="K3" s="88" t="s">
        <v>156</v>
      </c>
      <c r="L3" s="90" t="s">
        <v>267</v>
      </c>
      <c r="M3" s="90" t="s">
        <v>281</v>
      </c>
      <c r="N3" s="90"/>
    </row>
    <row r="4" spans="1:24" x14ac:dyDescent="0.5">
      <c r="A4" s="84" t="s">
        <v>452</v>
      </c>
      <c r="B4" s="81">
        <v>3</v>
      </c>
      <c r="C4" s="81">
        <v>10</v>
      </c>
      <c r="D4" s="81">
        <f t="shared" ref="D4:D8" si="0">B4*C4</f>
        <v>30</v>
      </c>
      <c r="E4" s="309"/>
      <c r="F4" s="334">
        <f>D9/B9</f>
        <v>10</v>
      </c>
      <c r="G4" s="334"/>
      <c r="H4" s="309"/>
      <c r="I4" s="309"/>
      <c r="J4" s="80">
        <v>1</v>
      </c>
      <c r="K4" s="88">
        <v>9.74</v>
      </c>
      <c r="L4" s="90">
        <v>23</v>
      </c>
      <c r="M4" s="90">
        <f>K4*L4</f>
        <v>224.02</v>
      </c>
      <c r="N4" s="90"/>
    </row>
    <row r="5" spans="1:24" x14ac:dyDescent="0.5">
      <c r="A5" s="84"/>
      <c r="B5" s="81"/>
      <c r="C5" s="81"/>
      <c r="D5" s="81"/>
      <c r="E5" s="309"/>
      <c r="F5" s="334"/>
      <c r="G5" s="334"/>
      <c r="H5" s="309"/>
      <c r="I5" s="309"/>
      <c r="J5" s="80">
        <v>2</v>
      </c>
      <c r="K5" s="88">
        <v>9.43</v>
      </c>
      <c r="L5" s="90">
        <v>23</v>
      </c>
      <c r="M5" s="90">
        <f t="shared" ref="M5:M9" si="1">K5*L5</f>
        <v>216.89</v>
      </c>
      <c r="N5" s="90"/>
    </row>
    <row r="6" spans="1:24" x14ac:dyDescent="0.5">
      <c r="A6" s="84"/>
      <c r="B6" s="81"/>
      <c r="C6" s="81"/>
      <c r="D6" s="81"/>
      <c r="E6" s="309"/>
      <c r="F6" s="339" t="s">
        <v>157</v>
      </c>
      <c r="G6" s="340"/>
      <c r="H6" s="309"/>
      <c r="I6" s="309"/>
      <c r="J6" s="80">
        <v>3</v>
      </c>
      <c r="K6" s="88">
        <v>9.58</v>
      </c>
      <c r="L6" s="90">
        <v>24</v>
      </c>
      <c r="M6" s="90">
        <f t="shared" si="1"/>
        <v>229.92000000000002</v>
      </c>
      <c r="N6" s="90"/>
      <c r="V6">
        <v>6.87</v>
      </c>
      <c r="W6">
        <v>23</v>
      </c>
      <c r="X6">
        <f>V6*W6</f>
        <v>158.01</v>
      </c>
    </row>
    <row r="7" spans="1:24" x14ac:dyDescent="0.5">
      <c r="A7" s="84" t="s">
        <v>263</v>
      </c>
      <c r="B7" s="81">
        <v>6</v>
      </c>
      <c r="C7" s="81">
        <v>10</v>
      </c>
      <c r="D7" s="81">
        <f t="shared" si="0"/>
        <v>60</v>
      </c>
      <c r="E7" s="309"/>
      <c r="F7" s="341"/>
      <c r="G7" s="342"/>
      <c r="H7" s="309"/>
      <c r="I7" s="309"/>
      <c r="J7" s="80">
        <v>4</v>
      </c>
      <c r="K7" s="88">
        <v>9.5399999999999991</v>
      </c>
      <c r="L7" s="90">
        <v>24</v>
      </c>
      <c r="M7" s="90">
        <f t="shared" si="1"/>
        <v>228.95999999999998</v>
      </c>
      <c r="N7" s="90">
        <f>COUNT(K4:K11)</f>
        <v>8</v>
      </c>
      <c r="V7">
        <v>6.74</v>
      </c>
      <c r="W7">
        <v>23</v>
      </c>
      <c r="X7">
        <f t="shared" ref="X7:X11" si="2">V7*W7</f>
        <v>155.02000000000001</v>
      </c>
    </row>
    <row r="8" spans="1:24" x14ac:dyDescent="0.5">
      <c r="A8" s="84" t="s">
        <v>394</v>
      </c>
      <c r="B8" s="81">
        <v>6</v>
      </c>
      <c r="C8" s="81">
        <v>10</v>
      </c>
      <c r="D8" s="81">
        <f t="shared" si="0"/>
        <v>60</v>
      </c>
      <c r="E8" s="309"/>
      <c r="F8" s="335">
        <f>M12/L12</f>
        <v>9.741236559139784</v>
      </c>
      <c r="G8" s="336"/>
      <c r="H8" s="309"/>
      <c r="I8" s="309"/>
      <c r="J8" s="80">
        <v>5</v>
      </c>
      <c r="K8" s="88">
        <v>9.91</v>
      </c>
      <c r="L8" s="90">
        <v>22</v>
      </c>
      <c r="M8" s="90">
        <f t="shared" si="1"/>
        <v>218.02</v>
      </c>
      <c r="N8" s="90"/>
      <c r="V8">
        <v>7.42</v>
      </c>
      <c r="W8">
        <v>24</v>
      </c>
      <c r="X8">
        <f t="shared" si="2"/>
        <v>178.07999999999998</v>
      </c>
    </row>
    <row r="9" spans="1:24" x14ac:dyDescent="0.5">
      <c r="A9" s="84" t="s">
        <v>269</v>
      </c>
      <c r="B9" s="81">
        <f>SUM(B2:B8)</f>
        <v>22</v>
      </c>
      <c r="C9" s="81"/>
      <c r="D9" s="81">
        <f>SUM(D2:D8)</f>
        <v>220</v>
      </c>
      <c r="E9" s="309"/>
      <c r="F9" s="337"/>
      <c r="G9" s="338"/>
      <c r="H9" s="309"/>
      <c r="I9" s="309"/>
      <c r="J9" s="80">
        <v>6</v>
      </c>
      <c r="K9" s="89">
        <v>9.7799999999999994</v>
      </c>
      <c r="L9" s="90">
        <v>27</v>
      </c>
      <c r="M9" s="90">
        <f t="shared" si="1"/>
        <v>264.06</v>
      </c>
      <c r="N9" s="90"/>
      <c r="V9">
        <v>6.42</v>
      </c>
      <c r="W9">
        <v>24</v>
      </c>
      <c r="X9">
        <f t="shared" si="2"/>
        <v>154.07999999999998</v>
      </c>
    </row>
    <row r="10" spans="1:24" x14ac:dyDescent="0.5">
      <c r="A10" s="327"/>
      <c r="B10" s="328"/>
      <c r="C10" s="328"/>
      <c r="D10" s="328"/>
      <c r="E10" s="309"/>
      <c r="F10" s="328"/>
      <c r="G10" s="328"/>
      <c r="H10" s="309"/>
      <c r="I10" s="309"/>
      <c r="J10" s="80">
        <v>7</v>
      </c>
      <c r="K10" s="89">
        <v>10</v>
      </c>
      <c r="L10" s="90">
        <v>21</v>
      </c>
      <c r="M10" s="90">
        <f>K10*L10</f>
        <v>210</v>
      </c>
      <c r="N10" s="90"/>
      <c r="V10">
        <v>7.23</v>
      </c>
      <c r="W10">
        <v>22</v>
      </c>
      <c r="X10">
        <f t="shared" si="2"/>
        <v>159.06</v>
      </c>
    </row>
    <row r="11" spans="1:24" x14ac:dyDescent="0.5">
      <c r="A11" s="329"/>
      <c r="B11" s="309"/>
      <c r="C11" s="309"/>
      <c r="D11" s="309"/>
      <c r="E11" s="309"/>
      <c r="F11" s="309"/>
      <c r="G11" s="309"/>
      <c r="H11" s="309"/>
      <c r="I11" s="309"/>
      <c r="J11" s="80">
        <v>8</v>
      </c>
      <c r="K11" s="89">
        <f>F4</f>
        <v>10</v>
      </c>
      <c r="L11" s="90">
        <v>22</v>
      </c>
      <c r="M11" s="90">
        <f>K11*L11</f>
        <v>220</v>
      </c>
      <c r="N11" s="90"/>
      <c r="V11">
        <v>7.33</v>
      </c>
      <c r="W11">
        <v>21</v>
      </c>
      <c r="X11">
        <f t="shared" si="2"/>
        <v>153.93</v>
      </c>
    </row>
    <row r="12" spans="1:24" x14ac:dyDescent="0.5">
      <c r="A12" s="329"/>
      <c r="B12" s="309"/>
      <c r="C12" s="309"/>
      <c r="D12" s="309"/>
      <c r="E12" s="309"/>
      <c r="F12" s="309" t="s">
        <v>270</v>
      </c>
      <c r="G12" s="309">
        <v>9.74</v>
      </c>
      <c r="H12" s="309"/>
      <c r="I12" s="309"/>
      <c r="J12" s="80"/>
      <c r="K12" s="89">
        <f>SUM(K4:K11)</f>
        <v>77.98</v>
      </c>
      <c r="L12" s="90">
        <f>SUM(L4:L11)</f>
        <v>186</v>
      </c>
      <c r="M12" s="90">
        <f>SUM(M4:M11)</f>
        <v>1811.87</v>
      </c>
      <c r="N12" s="90"/>
      <c r="W12">
        <f>SUM(W6:W11)</f>
        <v>137</v>
      </c>
      <c r="X12">
        <f>SUM(X6:X11)</f>
        <v>958.18000000000006</v>
      </c>
    </row>
    <row r="13" spans="1:24" x14ac:dyDescent="0.5">
      <c r="A13" s="329"/>
      <c r="B13" s="309"/>
      <c r="C13" s="309"/>
      <c r="D13" s="309"/>
      <c r="E13" s="309"/>
      <c r="F13" s="309"/>
      <c r="G13" s="309"/>
      <c r="H13" s="309"/>
      <c r="I13" s="309"/>
      <c r="J13" s="328"/>
      <c r="K13" s="331"/>
      <c r="V13">
        <f>SUM(V6:V11)</f>
        <v>42.010000000000005</v>
      </c>
      <c r="X13">
        <f>X12/W12</f>
        <v>6.9940145985401463</v>
      </c>
    </row>
    <row r="14" spans="1:24" ht="14.7" thickBot="1" x14ac:dyDescent="0.55000000000000004">
      <c r="A14" s="330"/>
      <c r="B14" s="326"/>
      <c r="C14" s="326"/>
      <c r="D14" s="326"/>
      <c r="E14" s="326"/>
      <c r="F14" s="85" t="s">
        <v>271</v>
      </c>
      <c r="G14" s="85">
        <f>(G12-F8)*100/G12</f>
        <v>-1.2695679053221987E-2</v>
      </c>
      <c r="H14" s="326"/>
      <c r="I14" s="326"/>
      <c r="J14" s="326"/>
      <c r="K14" s="332"/>
      <c r="V14">
        <f>V13/6</f>
        <v>7.0016666666666678</v>
      </c>
    </row>
  </sheetData>
  <mergeCells count="13">
    <mergeCell ref="E1:K1"/>
    <mergeCell ref="J2:K2"/>
    <mergeCell ref="E2:E14"/>
    <mergeCell ref="A10:D14"/>
    <mergeCell ref="H2:I14"/>
    <mergeCell ref="F10:G11"/>
    <mergeCell ref="J13:K14"/>
    <mergeCell ref="F2:G3"/>
    <mergeCell ref="F4:G5"/>
    <mergeCell ref="F8:G9"/>
    <mergeCell ref="F6:G7"/>
    <mergeCell ref="F12:F13"/>
    <mergeCell ref="G12:G13"/>
  </mergeCells>
  <conditionalFormatting sqref="K4:K1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2BD1-EB05-4DCD-814C-05892D405AB7}">
  <dimension ref="A1:H383"/>
  <sheetViews>
    <sheetView zoomScale="62" workbookViewId="0">
      <selection activeCell="R34" sqref="R34"/>
    </sheetView>
  </sheetViews>
  <sheetFormatPr defaultRowHeight="14.35" x14ac:dyDescent="0.5"/>
  <cols>
    <col min="1" max="1" width="10.3515625" bestFit="1" customWidth="1"/>
    <col min="2" max="5" width="18.703125" style="79" customWidth="1"/>
    <col min="6" max="6" width="10.64453125" style="79" bestFit="1" customWidth="1"/>
    <col min="7" max="7" width="18.703125" style="79" customWidth="1"/>
  </cols>
  <sheetData>
    <row r="1" spans="1:7" x14ac:dyDescent="0.5">
      <c r="A1" s="343" t="s">
        <v>217</v>
      </c>
      <c r="B1" s="103" t="s">
        <v>223</v>
      </c>
      <c r="C1" s="104" t="s">
        <v>226</v>
      </c>
      <c r="D1" s="104" t="s">
        <v>242</v>
      </c>
      <c r="E1" s="104"/>
      <c r="F1" s="104"/>
      <c r="G1" s="105"/>
    </row>
    <row r="2" spans="1:7" x14ac:dyDescent="0.5">
      <c r="A2" s="344"/>
      <c r="B2" s="106" t="s">
        <v>224</v>
      </c>
      <c r="C2" s="107" t="s">
        <v>248</v>
      </c>
      <c r="D2" s="107"/>
      <c r="E2" s="107"/>
      <c r="F2" s="107"/>
      <c r="G2" s="108"/>
    </row>
    <row r="3" spans="1:7" ht="29" thickBot="1" x14ac:dyDescent="0.55000000000000004">
      <c r="A3" s="345"/>
      <c r="B3" s="109" t="s">
        <v>225</v>
      </c>
      <c r="C3" s="110" t="s">
        <v>186</v>
      </c>
      <c r="D3" s="110"/>
      <c r="E3" s="110"/>
      <c r="F3" s="110"/>
      <c r="G3" s="111"/>
    </row>
    <row r="4" spans="1:7" x14ac:dyDescent="0.5">
      <c r="A4" s="346" t="s">
        <v>179</v>
      </c>
      <c r="B4" s="112" t="s">
        <v>227</v>
      </c>
      <c r="C4" s="113" t="s">
        <v>228</v>
      </c>
      <c r="D4" s="113" t="s">
        <v>253</v>
      </c>
      <c r="E4" s="113" t="s">
        <v>393</v>
      </c>
      <c r="F4" s="113"/>
      <c r="G4" s="114"/>
    </row>
    <row r="5" spans="1:7" x14ac:dyDescent="0.5">
      <c r="A5" s="347"/>
      <c r="B5" s="115" t="s">
        <v>243</v>
      </c>
      <c r="C5" s="116" t="s">
        <v>245</v>
      </c>
      <c r="D5" s="116" t="s">
        <v>254</v>
      </c>
      <c r="E5" s="116"/>
      <c r="F5" s="116"/>
      <c r="G5" s="117"/>
    </row>
    <row r="6" spans="1:7" ht="14.7" thickBot="1" x14ac:dyDescent="0.55000000000000004">
      <c r="A6" s="348"/>
      <c r="B6" s="118" t="s">
        <v>257</v>
      </c>
      <c r="C6" s="119" t="s">
        <v>258</v>
      </c>
      <c r="D6" s="119" t="s">
        <v>292</v>
      </c>
      <c r="E6" s="119"/>
      <c r="F6" s="119"/>
      <c r="G6" s="120"/>
    </row>
    <row r="7" spans="1:7" x14ac:dyDescent="0.5">
      <c r="A7" s="349" t="s">
        <v>218</v>
      </c>
      <c r="B7" s="121" t="s">
        <v>229</v>
      </c>
      <c r="C7" s="122" t="s">
        <v>241</v>
      </c>
      <c r="D7" s="122"/>
      <c r="E7" s="122"/>
      <c r="F7" s="122"/>
      <c r="G7" s="123"/>
    </row>
    <row r="8" spans="1:7" x14ac:dyDescent="0.5">
      <c r="A8" s="350"/>
      <c r="B8" s="124" t="s">
        <v>233</v>
      </c>
      <c r="C8" s="125" t="s">
        <v>252</v>
      </c>
      <c r="D8" s="125"/>
      <c r="E8" s="125"/>
      <c r="F8" s="125"/>
      <c r="G8" s="126"/>
    </row>
    <row r="9" spans="1:7" ht="14.7" thickBot="1" x14ac:dyDescent="0.55000000000000004">
      <c r="A9" s="351"/>
      <c r="B9" s="127" t="s">
        <v>236</v>
      </c>
      <c r="C9" s="128"/>
      <c r="D9" s="128"/>
      <c r="E9" s="128"/>
      <c r="F9" s="128"/>
      <c r="G9" s="129"/>
    </row>
    <row r="10" spans="1:7" x14ac:dyDescent="0.5">
      <c r="A10" s="352" t="s">
        <v>219</v>
      </c>
      <c r="B10" s="130" t="s">
        <v>230</v>
      </c>
      <c r="C10" s="131" t="s">
        <v>231</v>
      </c>
      <c r="D10" s="131" t="s">
        <v>246</v>
      </c>
      <c r="E10" s="131" t="s">
        <v>395</v>
      </c>
      <c r="F10" s="131"/>
      <c r="G10" s="132"/>
    </row>
    <row r="11" spans="1:7" ht="14.7" thickBot="1" x14ac:dyDescent="0.55000000000000004">
      <c r="A11" s="353"/>
      <c r="B11" s="133" t="s">
        <v>184</v>
      </c>
      <c r="C11" s="134" t="s">
        <v>244</v>
      </c>
      <c r="D11" s="134" t="s">
        <v>251</v>
      </c>
      <c r="E11" s="134"/>
      <c r="F11" s="134"/>
      <c r="G11" s="135"/>
    </row>
    <row r="12" spans="1:7" ht="28.7" x14ac:dyDescent="0.5">
      <c r="A12" s="354" t="s">
        <v>220</v>
      </c>
      <c r="B12" s="136" t="s">
        <v>232</v>
      </c>
      <c r="C12" s="137" t="s">
        <v>247</v>
      </c>
      <c r="D12" s="137" t="s">
        <v>249</v>
      </c>
      <c r="E12" s="137"/>
      <c r="F12" s="137"/>
      <c r="G12" s="138"/>
    </row>
    <row r="13" spans="1:7" ht="14.7" thickBot="1" x14ac:dyDescent="0.55000000000000004">
      <c r="A13" s="355"/>
      <c r="B13" s="139" t="s">
        <v>250</v>
      </c>
      <c r="C13" s="140" t="s">
        <v>256</v>
      </c>
      <c r="D13" s="140"/>
      <c r="E13" s="140"/>
      <c r="F13" s="140"/>
      <c r="G13" s="141"/>
    </row>
    <row r="14" spans="1:7" ht="29" thickBot="1" x14ac:dyDescent="0.55000000000000004">
      <c r="A14" s="77" t="s">
        <v>221</v>
      </c>
      <c r="B14" s="142" t="s">
        <v>234</v>
      </c>
      <c r="C14" s="143" t="s">
        <v>235</v>
      </c>
      <c r="D14" s="143" t="s">
        <v>237</v>
      </c>
      <c r="E14" s="143" t="s">
        <v>238</v>
      </c>
      <c r="F14" s="143" t="s">
        <v>255</v>
      </c>
      <c r="G14" s="144"/>
    </row>
    <row r="15" spans="1:7" ht="29" thickBot="1" x14ac:dyDescent="0.55000000000000004">
      <c r="A15" s="78" t="s">
        <v>222</v>
      </c>
      <c r="B15" s="145" t="s">
        <v>239</v>
      </c>
      <c r="C15" s="145" t="s">
        <v>240</v>
      </c>
      <c r="D15" s="145"/>
      <c r="E15" s="145"/>
      <c r="F15" s="145"/>
      <c r="G15" s="146"/>
    </row>
    <row r="18" spans="1:7" ht="14.7" thickBot="1" x14ac:dyDescent="0.55000000000000004">
      <c r="A18" s="67" t="s">
        <v>108</v>
      </c>
      <c r="B18" s="67" t="s">
        <v>24</v>
      </c>
      <c r="C18" s="60"/>
      <c r="D18" s="67" t="s">
        <v>180</v>
      </c>
    </row>
    <row r="19" spans="1:7" x14ac:dyDescent="0.5">
      <c r="A19" s="71">
        <v>45658</v>
      </c>
      <c r="B19" s="72">
        <v>2.5</v>
      </c>
      <c r="C19" s="58"/>
      <c r="D19" s="38" t="s">
        <v>194</v>
      </c>
      <c r="F19" s="79" t="s">
        <v>479</v>
      </c>
      <c r="G19" s="79" t="s">
        <v>480</v>
      </c>
    </row>
    <row r="20" spans="1:7" x14ac:dyDescent="0.5">
      <c r="A20" s="53">
        <v>45659</v>
      </c>
      <c r="B20" s="2">
        <v>2.8</v>
      </c>
      <c r="C20" s="58"/>
      <c r="D20" s="68" t="s">
        <v>195</v>
      </c>
      <c r="F20" s="79">
        <v>2003</v>
      </c>
      <c r="G20" s="79">
        <v>5</v>
      </c>
    </row>
    <row r="21" spans="1:7" x14ac:dyDescent="0.5">
      <c r="A21" s="53">
        <v>45660</v>
      </c>
      <c r="B21" s="2">
        <v>4.8</v>
      </c>
      <c r="C21" s="58"/>
      <c r="D21" s="69" t="s">
        <v>114</v>
      </c>
      <c r="F21" s="79">
        <v>2004</v>
      </c>
      <c r="G21" s="79">
        <v>5.2</v>
      </c>
    </row>
    <row r="22" spans="1:7" x14ac:dyDescent="0.5">
      <c r="A22" s="53">
        <v>45661</v>
      </c>
      <c r="B22" s="2">
        <v>8.1999999999999993</v>
      </c>
      <c r="C22" s="58"/>
      <c r="D22" s="68" t="s">
        <v>114</v>
      </c>
      <c r="F22" s="79">
        <v>2005</v>
      </c>
      <c r="G22" s="79">
        <v>5.5</v>
      </c>
    </row>
    <row r="23" spans="1:7" x14ac:dyDescent="0.5">
      <c r="A23" s="53">
        <v>45662</v>
      </c>
      <c r="B23" s="2">
        <v>6.2</v>
      </c>
      <c r="C23" s="58"/>
      <c r="D23" s="69" t="s">
        <v>114</v>
      </c>
      <c r="F23" s="79">
        <v>2006</v>
      </c>
      <c r="G23" s="79">
        <v>5.5</v>
      </c>
    </row>
    <row r="24" spans="1:7" x14ac:dyDescent="0.5">
      <c r="A24" s="53">
        <v>45663</v>
      </c>
      <c r="B24" s="2">
        <v>6.1</v>
      </c>
      <c r="C24" s="58"/>
      <c r="D24" s="68" t="s">
        <v>114</v>
      </c>
      <c r="F24" s="79">
        <v>2007</v>
      </c>
      <c r="G24" s="79">
        <v>5.6</v>
      </c>
    </row>
    <row r="25" spans="1:7" x14ac:dyDescent="0.5">
      <c r="A25" s="53">
        <v>45664</v>
      </c>
      <c r="B25" s="2">
        <v>3.5</v>
      </c>
      <c r="C25" s="58"/>
      <c r="D25" s="69" t="s">
        <v>114</v>
      </c>
      <c r="F25" s="79">
        <v>2008</v>
      </c>
      <c r="G25" s="79">
        <v>6</v>
      </c>
    </row>
    <row r="26" spans="1:7" x14ac:dyDescent="0.5">
      <c r="A26" s="53">
        <v>45665</v>
      </c>
      <c r="B26" s="2">
        <v>1.2</v>
      </c>
      <c r="C26" s="58"/>
      <c r="D26" s="68" t="s">
        <v>114</v>
      </c>
      <c r="F26" s="79">
        <v>2009</v>
      </c>
      <c r="G26" s="79">
        <v>6.2</v>
      </c>
    </row>
    <row r="27" spans="1:7" x14ac:dyDescent="0.5">
      <c r="A27" s="53">
        <v>45666</v>
      </c>
      <c r="B27" s="2">
        <v>5.6</v>
      </c>
      <c r="C27" s="58"/>
      <c r="D27" s="69" t="s">
        <v>342</v>
      </c>
      <c r="F27" s="79">
        <v>2010</v>
      </c>
      <c r="G27" s="79">
        <v>6.2</v>
      </c>
    </row>
    <row r="28" spans="1:7" x14ac:dyDescent="0.5">
      <c r="A28" s="53">
        <v>45667</v>
      </c>
      <c r="B28" s="2">
        <v>4.3</v>
      </c>
      <c r="C28" s="58"/>
      <c r="D28" s="68" t="s">
        <v>176</v>
      </c>
      <c r="F28" s="79">
        <v>2011</v>
      </c>
      <c r="G28" s="79">
        <v>6.3</v>
      </c>
    </row>
    <row r="29" spans="1:7" x14ac:dyDescent="0.5">
      <c r="A29" s="53">
        <v>45668</v>
      </c>
      <c r="B29" s="2">
        <v>5.4</v>
      </c>
      <c r="C29" s="58"/>
      <c r="D29" s="69" t="s">
        <v>176</v>
      </c>
      <c r="F29" s="79">
        <v>2012</v>
      </c>
      <c r="G29" s="79">
        <v>6.4</v>
      </c>
    </row>
    <row r="30" spans="1:7" x14ac:dyDescent="0.5">
      <c r="A30" s="53">
        <v>45669</v>
      </c>
      <c r="B30" s="2">
        <v>7.2</v>
      </c>
      <c r="C30" s="58"/>
      <c r="D30" s="68" t="s">
        <v>176</v>
      </c>
      <c r="F30" s="79">
        <v>2013</v>
      </c>
      <c r="G30" s="79">
        <v>6.6</v>
      </c>
    </row>
    <row r="31" spans="1:7" x14ac:dyDescent="0.5">
      <c r="A31" s="53">
        <v>45670</v>
      </c>
      <c r="B31" s="2">
        <v>3.9</v>
      </c>
      <c r="C31" s="58"/>
      <c r="D31" s="69" t="s">
        <v>176</v>
      </c>
      <c r="F31" s="79">
        <v>2014</v>
      </c>
      <c r="G31" s="79">
        <v>6.6</v>
      </c>
    </row>
    <row r="32" spans="1:7" x14ac:dyDescent="0.5">
      <c r="A32" s="53">
        <v>45671</v>
      </c>
      <c r="B32" s="2">
        <v>1.5</v>
      </c>
      <c r="C32" s="58"/>
      <c r="D32" s="68" t="s">
        <v>176</v>
      </c>
      <c r="F32" s="79">
        <v>2015</v>
      </c>
      <c r="G32" s="79">
        <v>1</v>
      </c>
    </row>
    <row r="33" spans="1:8" x14ac:dyDescent="0.5">
      <c r="A33" s="53">
        <v>45672</v>
      </c>
      <c r="B33" s="2">
        <v>5.2</v>
      </c>
      <c r="C33" s="58"/>
      <c r="D33" s="69" t="s">
        <v>176</v>
      </c>
      <c r="F33" s="79">
        <v>2016</v>
      </c>
      <c r="G33" s="79">
        <v>4</v>
      </c>
    </row>
    <row r="34" spans="1:8" x14ac:dyDescent="0.5">
      <c r="A34" s="53">
        <v>45673</v>
      </c>
      <c r="B34" s="2">
        <v>6.5</v>
      </c>
      <c r="C34" s="58"/>
      <c r="D34" s="68" t="s">
        <v>176</v>
      </c>
      <c r="F34" s="79">
        <v>2017</v>
      </c>
      <c r="G34" s="79">
        <v>6</v>
      </c>
    </row>
    <row r="35" spans="1:8" x14ac:dyDescent="0.5">
      <c r="A35" s="53">
        <v>45674</v>
      </c>
      <c r="B35" s="2">
        <v>2.9</v>
      </c>
      <c r="C35" s="58"/>
      <c r="D35" s="69" t="s">
        <v>176</v>
      </c>
      <c r="F35" s="79">
        <v>2018</v>
      </c>
      <c r="G35" s="79">
        <v>7</v>
      </c>
    </row>
    <row r="36" spans="1:8" x14ac:dyDescent="0.5">
      <c r="A36" s="53">
        <v>45675</v>
      </c>
      <c r="B36" s="2">
        <v>3.3</v>
      </c>
      <c r="C36" s="58"/>
      <c r="D36" s="68" t="s">
        <v>176</v>
      </c>
      <c r="F36" s="79">
        <v>2019</v>
      </c>
      <c r="G36" s="79">
        <v>1.2</v>
      </c>
    </row>
    <row r="37" spans="1:8" x14ac:dyDescent="0.5">
      <c r="A37" s="53">
        <v>45676</v>
      </c>
      <c r="B37" s="2">
        <v>6.2</v>
      </c>
      <c r="C37" s="58"/>
      <c r="D37" s="69" t="s">
        <v>176</v>
      </c>
      <c r="F37" s="79">
        <v>2020</v>
      </c>
      <c r="G37" s="79">
        <v>2.4</v>
      </c>
    </row>
    <row r="38" spans="1:8" x14ac:dyDescent="0.5">
      <c r="A38" s="53">
        <v>45677</v>
      </c>
      <c r="B38" s="2">
        <v>5</v>
      </c>
      <c r="C38" s="58"/>
      <c r="D38" s="68" t="s">
        <v>176</v>
      </c>
      <c r="F38" s="79">
        <v>2021</v>
      </c>
      <c r="G38" s="79">
        <v>2.6</v>
      </c>
    </row>
    <row r="39" spans="1:8" x14ac:dyDescent="0.5">
      <c r="A39" s="53">
        <v>45678</v>
      </c>
      <c r="B39" s="2">
        <v>4.3</v>
      </c>
      <c r="C39" s="58"/>
      <c r="D39" s="69" t="s">
        <v>176</v>
      </c>
      <c r="F39" s="79">
        <v>2022</v>
      </c>
      <c r="G39" s="79">
        <v>4</v>
      </c>
    </row>
    <row r="40" spans="1:8" x14ac:dyDescent="0.5">
      <c r="A40" s="53">
        <v>45679</v>
      </c>
      <c r="B40" s="2">
        <v>4.0999999999999996</v>
      </c>
      <c r="C40" s="58"/>
      <c r="D40" s="68" t="s">
        <v>176</v>
      </c>
      <c r="F40" s="79">
        <v>2023</v>
      </c>
      <c r="G40" s="79">
        <v>7</v>
      </c>
    </row>
    <row r="41" spans="1:8" x14ac:dyDescent="0.5">
      <c r="A41" s="53">
        <v>45680</v>
      </c>
      <c r="B41" s="2">
        <v>1.2</v>
      </c>
      <c r="C41" s="58"/>
      <c r="D41" s="69" t="s">
        <v>176</v>
      </c>
      <c r="F41" s="79">
        <v>2024</v>
      </c>
      <c r="G41" s="79">
        <v>6.5</v>
      </c>
    </row>
    <row r="42" spans="1:8" x14ac:dyDescent="0.5">
      <c r="A42" s="53">
        <v>45681</v>
      </c>
      <c r="B42" s="2">
        <v>6.2</v>
      </c>
      <c r="C42" s="58"/>
      <c r="D42" s="68" t="s">
        <v>176</v>
      </c>
      <c r="F42" s="79">
        <v>2025</v>
      </c>
      <c r="G42" s="79">
        <v>7.5</v>
      </c>
    </row>
    <row r="43" spans="1:8" x14ac:dyDescent="0.5">
      <c r="A43" s="53">
        <v>45682</v>
      </c>
      <c r="B43" s="2">
        <v>8.1</v>
      </c>
      <c r="C43" s="58"/>
      <c r="D43" s="69" t="s">
        <v>176</v>
      </c>
      <c r="F43" s="79">
        <v>2026</v>
      </c>
      <c r="G43" s="79">
        <v>8</v>
      </c>
    </row>
    <row r="44" spans="1:8" x14ac:dyDescent="0.5">
      <c r="A44" s="53">
        <v>45683</v>
      </c>
      <c r="B44" s="2">
        <v>6.8</v>
      </c>
      <c r="C44" s="58"/>
      <c r="D44" s="68" t="s">
        <v>176</v>
      </c>
      <c r="F44" s="182">
        <v>2027</v>
      </c>
      <c r="G44" s="182">
        <v>8.1999999999999993</v>
      </c>
      <c r="H44" s="181"/>
    </row>
    <row r="45" spans="1:8" ht="71.7" x14ac:dyDescent="0.5">
      <c r="A45" s="53">
        <v>45684</v>
      </c>
      <c r="B45" s="2">
        <v>5</v>
      </c>
      <c r="C45" s="58"/>
      <c r="D45" s="69" t="s">
        <v>176</v>
      </c>
      <c r="F45" s="182">
        <v>2028</v>
      </c>
      <c r="G45" s="182">
        <v>8.5</v>
      </c>
      <c r="H45" s="182" t="s">
        <v>481</v>
      </c>
    </row>
    <row r="46" spans="1:8" ht="71.7" x14ac:dyDescent="0.5">
      <c r="A46" s="53">
        <v>45685</v>
      </c>
      <c r="B46" s="2">
        <v>5.8</v>
      </c>
      <c r="C46" s="58"/>
      <c r="D46" s="68" t="s">
        <v>176</v>
      </c>
      <c r="F46" s="182">
        <v>2029</v>
      </c>
      <c r="G46" s="182">
        <v>7.2</v>
      </c>
      <c r="H46" s="182" t="s">
        <v>482</v>
      </c>
    </row>
    <row r="47" spans="1:8" ht="86" x14ac:dyDescent="0.5">
      <c r="A47" s="53">
        <v>45686</v>
      </c>
      <c r="B47" s="2">
        <v>5.3</v>
      </c>
      <c r="C47" s="58"/>
      <c r="D47" s="69" t="s">
        <v>176</v>
      </c>
      <c r="F47" s="182">
        <v>2030</v>
      </c>
      <c r="G47" s="182">
        <v>8.6999999999999993</v>
      </c>
      <c r="H47" s="182" t="s">
        <v>483</v>
      </c>
    </row>
    <row r="48" spans="1:8" ht="86" x14ac:dyDescent="0.5">
      <c r="A48" s="53">
        <v>45687</v>
      </c>
      <c r="B48" s="2">
        <v>7.4</v>
      </c>
      <c r="C48" s="58"/>
      <c r="D48" s="68" t="s">
        <v>176</v>
      </c>
      <c r="F48" s="182">
        <v>2031</v>
      </c>
      <c r="G48" s="182">
        <v>9</v>
      </c>
      <c r="H48" s="182" t="s">
        <v>484</v>
      </c>
    </row>
    <row r="49" spans="1:8" ht="57.7" thickBot="1" x14ac:dyDescent="0.55000000000000004">
      <c r="A49" s="54">
        <v>45688</v>
      </c>
      <c r="B49" s="55">
        <v>8.5</v>
      </c>
      <c r="C49" s="58"/>
      <c r="D49" s="69" t="s">
        <v>176</v>
      </c>
      <c r="F49" s="182">
        <v>2032</v>
      </c>
      <c r="G49" s="182">
        <v>6.8</v>
      </c>
      <c r="H49" s="182" t="s">
        <v>485</v>
      </c>
    </row>
    <row r="50" spans="1:8" ht="86" x14ac:dyDescent="0.5">
      <c r="A50" s="52">
        <v>45689</v>
      </c>
      <c r="B50" s="48">
        <v>4.8</v>
      </c>
      <c r="C50" s="58"/>
      <c r="D50" s="68" t="s">
        <v>176</v>
      </c>
      <c r="F50" s="182">
        <v>2033</v>
      </c>
      <c r="G50" s="182">
        <v>8.9</v>
      </c>
      <c r="H50" s="182" t="s">
        <v>486</v>
      </c>
    </row>
    <row r="51" spans="1:8" ht="100.35" x14ac:dyDescent="0.5">
      <c r="A51" s="1">
        <v>45690</v>
      </c>
      <c r="B51" s="2">
        <v>4.5</v>
      </c>
      <c r="C51" s="58"/>
      <c r="D51" s="69" t="s">
        <v>176</v>
      </c>
      <c r="F51" s="182">
        <v>2034</v>
      </c>
      <c r="G51" s="182">
        <v>9.1999999999999993</v>
      </c>
      <c r="H51" s="182" t="s">
        <v>487</v>
      </c>
    </row>
    <row r="52" spans="1:8" ht="71.7" x14ac:dyDescent="0.5">
      <c r="A52" s="1">
        <v>45691</v>
      </c>
      <c r="B52" s="2">
        <v>5</v>
      </c>
      <c r="C52" s="58"/>
      <c r="D52" s="68" t="s">
        <v>176</v>
      </c>
      <c r="F52" s="182">
        <v>2035</v>
      </c>
      <c r="G52" s="182">
        <v>7.5</v>
      </c>
      <c r="H52" s="182" t="s">
        <v>488</v>
      </c>
    </row>
    <row r="53" spans="1:8" ht="71.7" x14ac:dyDescent="0.5">
      <c r="A53" s="1">
        <v>45692</v>
      </c>
      <c r="B53" s="2">
        <v>2.2999999999999998</v>
      </c>
      <c r="C53" s="58"/>
      <c r="D53" s="38" t="s">
        <v>176</v>
      </c>
      <c r="F53" s="182">
        <v>2036</v>
      </c>
      <c r="G53" s="182">
        <v>9.3000000000000007</v>
      </c>
      <c r="H53" s="182" t="s">
        <v>489</v>
      </c>
    </row>
    <row r="54" spans="1:8" ht="114.7" x14ac:dyDescent="0.5">
      <c r="A54" s="1">
        <v>45693</v>
      </c>
      <c r="B54" s="2">
        <v>3.3</v>
      </c>
      <c r="C54" s="58"/>
      <c r="D54" s="38" t="s">
        <v>176</v>
      </c>
      <c r="F54" s="182">
        <v>2037</v>
      </c>
      <c r="G54" s="182">
        <v>9</v>
      </c>
      <c r="H54" s="182" t="s">
        <v>490</v>
      </c>
    </row>
    <row r="55" spans="1:8" ht="57.35" x14ac:dyDescent="0.5">
      <c r="A55" s="1">
        <v>45694</v>
      </c>
      <c r="B55" s="2">
        <v>2</v>
      </c>
      <c r="C55" s="58"/>
      <c r="D55" s="38" t="s">
        <v>176</v>
      </c>
      <c r="F55" s="182">
        <v>2038</v>
      </c>
      <c r="G55" s="182">
        <v>7.8</v>
      </c>
      <c r="H55" s="182" t="s">
        <v>491</v>
      </c>
    </row>
    <row r="56" spans="1:8" ht="71.7" x14ac:dyDescent="0.5">
      <c r="A56" s="1">
        <v>45695</v>
      </c>
      <c r="B56" s="2">
        <v>1.3</v>
      </c>
      <c r="C56" s="58"/>
      <c r="D56" s="38" t="s">
        <v>176</v>
      </c>
      <c r="F56" s="182">
        <v>2039</v>
      </c>
      <c r="G56" s="182">
        <v>9.4</v>
      </c>
      <c r="H56" s="182" t="s">
        <v>492</v>
      </c>
    </row>
    <row r="57" spans="1:8" ht="71.7" x14ac:dyDescent="0.5">
      <c r="A57" s="1">
        <v>45696</v>
      </c>
      <c r="B57" s="2">
        <v>8.5</v>
      </c>
      <c r="C57" s="58"/>
      <c r="D57" s="38" t="s">
        <v>176</v>
      </c>
      <c r="F57" s="182">
        <v>2040</v>
      </c>
      <c r="G57" s="182">
        <v>9.5</v>
      </c>
      <c r="H57" s="182" t="s">
        <v>493</v>
      </c>
    </row>
    <row r="58" spans="1:8" ht="71.7" x14ac:dyDescent="0.5">
      <c r="A58" s="1">
        <v>45697</v>
      </c>
      <c r="B58" s="2">
        <v>4.5</v>
      </c>
      <c r="C58" s="58"/>
      <c r="D58" s="38" t="s">
        <v>176</v>
      </c>
      <c r="F58" s="182">
        <v>2041</v>
      </c>
      <c r="G58" s="182">
        <v>8.8000000000000007</v>
      </c>
      <c r="H58" s="182" t="s">
        <v>494</v>
      </c>
    </row>
    <row r="59" spans="1:8" ht="86" x14ac:dyDescent="0.5">
      <c r="A59" s="1">
        <v>45698</v>
      </c>
      <c r="B59" s="2">
        <v>3.8</v>
      </c>
      <c r="C59" s="58"/>
      <c r="D59" s="38" t="s">
        <v>176</v>
      </c>
      <c r="F59" s="182">
        <v>2042</v>
      </c>
      <c r="G59" s="182">
        <v>9.3000000000000007</v>
      </c>
      <c r="H59" s="182" t="s">
        <v>495</v>
      </c>
    </row>
    <row r="60" spans="1:8" ht="43" x14ac:dyDescent="0.5">
      <c r="A60" s="1">
        <v>45699</v>
      </c>
      <c r="B60" s="2">
        <v>5.5</v>
      </c>
      <c r="C60" s="58"/>
      <c r="D60" s="38" t="s">
        <v>176</v>
      </c>
      <c r="F60" s="182">
        <v>2043</v>
      </c>
      <c r="G60" s="182">
        <v>8.9</v>
      </c>
      <c r="H60" s="182" t="s">
        <v>496</v>
      </c>
    </row>
    <row r="61" spans="1:8" ht="71.7" x14ac:dyDescent="0.5">
      <c r="A61" s="1">
        <v>45700</v>
      </c>
      <c r="B61" s="2">
        <v>5.8</v>
      </c>
      <c r="C61" s="58"/>
      <c r="D61" s="38" t="s">
        <v>176</v>
      </c>
      <c r="F61" s="182">
        <v>2044</v>
      </c>
      <c r="G61" s="182">
        <v>9.6</v>
      </c>
      <c r="H61" s="182" t="s">
        <v>497</v>
      </c>
    </row>
    <row r="62" spans="1:8" ht="71.7" x14ac:dyDescent="0.5">
      <c r="A62" s="1">
        <v>45701</v>
      </c>
      <c r="B62" s="2">
        <v>5.5</v>
      </c>
      <c r="C62" s="58"/>
      <c r="D62" s="38" t="s">
        <v>176</v>
      </c>
      <c r="F62" s="182">
        <v>2045</v>
      </c>
      <c r="G62" s="182">
        <v>9.4</v>
      </c>
      <c r="H62" s="182" t="s">
        <v>498</v>
      </c>
    </row>
    <row r="63" spans="1:8" ht="28.7" x14ac:dyDescent="0.5">
      <c r="A63" s="1">
        <v>45702</v>
      </c>
      <c r="B63" s="2">
        <v>0</v>
      </c>
      <c r="C63" s="58"/>
      <c r="D63" s="38" t="s">
        <v>176</v>
      </c>
      <c r="F63" s="182">
        <v>2046</v>
      </c>
      <c r="G63" s="182">
        <v>9.6999999999999993</v>
      </c>
      <c r="H63" s="182" t="s">
        <v>499</v>
      </c>
    </row>
    <row r="64" spans="1:8" ht="71.7" x14ac:dyDescent="0.5">
      <c r="A64" s="1">
        <v>45703</v>
      </c>
      <c r="B64" s="2">
        <v>4.5</v>
      </c>
      <c r="C64" s="58"/>
      <c r="D64" s="38" t="s">
        <v>176</v>
      </c>
      <c r="H64" s="182" t="s">
        <v>500</v>
      </c>
    </row>
    <row r="65" spans="1:4" x14ac:dyDescent="0.5">
      <c r="A65" s="1">
        <v>45704</v>
      </c>
      <c r="B65" s="2">
        <v>6.6</v>
      </c>
      <c r="C65" s="58"/>
      <c r="D65" s="38" t="s">
        <v>176</v>
      </c>
    </row>
    <row r="66" spans="1:4" x14ac:dyDescent="0.5">
      <c r="A66" s="1">
        <v>45705</v>
      </c>
      <c r="B66" s="2">
        <v>7.5</v>
      </c>
      <c r="C66" s="58"/>
      <c r="D66" s="38" t="s">
        <v>176</v>
      </c>
    </row>
    <row r="67" spans="1:4" x14ac:dyDescent="0.5">
      <c r="A67" s="1">
        <v>45706</v>
      </c>
      <c r="B67" s="2">
        <v>5</v>
      </c>
      <c r="C67" s="58"/>
      <c r="D67" s="38" t="s">
        <v>176</v>
      </c>
    </row>
    <row r="68" spans="1:4" x14ac:dyDescent="0.5">
      <c r="A68" s="1">
        <v>45707</v>
      </c>
      <c r="B68" s="2">
        <v>4.8</v>
      </c>
      <c r="C68" s="58"/>
      <c r="D68" s="38" t="s">
        <v>176</v>
      </c>
    </row>
    <row r="69" spans="1:4" x14ac:dyDescent="0.5">
      <c r="A69" s="1">
        <v>45708</v>
      </c>
      <c r="B69" s="2">
        <v>6.8</v>
      </c>
      <c r="C69" s="58"/>
      <c r="D69" s="38" t="s">
        <v>176</v>
      </c>
    </row>
    <row r="70" spans="1:4" x14ac:dyDescent="0.5">
      <c r="A70" s="1">
        <v>45709</v>
      </c>
      <c r="B70" s="2">
        <v>2.2000000000000002</v>
      </c>
      <c r="C70" s="58"/>
      <c r="D70" s="38" t="s">
        <v>176</v>
      </c>
    </row>
    <row r="71" spans="1:4" x14ac:dyDescent="0.5">
      <c r="A71" s="1">
        <v>45710</v>
      </c>
      <c r="B71" s="2">
        <v>5.5</v>
      </c>
      <c r="C71" s="58"/>
      <c r="D71" s="38" t="s">
        <v>176</v>
      </c>
    </row>
    <row r="72" spans="1:4" x14ac:dyDescent="0.5">
      <c r="A72" s="1">
        <v>45711</v>
      </c>
      <c r="B72" s="2">
        <v>4.5</v>
      </c>
      <c r="C72" s="58"/>
      <c r="D72" s="38" t="s">
        <v>176</v>
      </c>
    </row>
    <row r="73" spans="1:4" x14ac:dyDescent="0.5">
      <c r="A73" s="1">
        <v>45712</v>
      </c>
      <c r="B73" s="2">
        <v>6.5</v>
      </c>
      <c r="C73" s="58"/>
      <c r="D73" s="38" t="s">
        <v>176</v>
      </c>
    </row>
    <row r="74" spans="1:4" x14ac:dyDescent="0.5">
      <c r="A74" s="1">
        <v>45713</v>
      </c>
      <c r="B74" s="2">
        <v>4.5</v>
      </c>
      <c r="C74" s="58"/>
      <c r="D74" s="38" t="s">
        <v>176</v>
      </c>
    </row>
    <row r="75" spans="1:4" x14ac:dyDescent="0.5">
      <c r="A75" s="1">
        <v>45714</v>
      </c>
      <c r="B75" s="2">
        <v>7.5</v>
      </c>
      <c r="C75" s="58"/>
      <c r="D75" s="38" t="s">
        <v>176</v>
      </c>
    </row>
    <row r="76" spans="1:4" x14ac:dyDescent="0.5">
      <c r="A76" s="1">
        <v>45715</v>
      </c>
      <c r="B76" s="2">
        <v>5</v>
      </c>
      <c r="C76" s="58"/>
      <c r="D76" s="38" t="s">
        <v>176</v>
      </c>
    </row>
    <row r="77" spans="1:4" x14ac:dyDescent="0.5">
      <c r="A77" s="1">
        <v>45716</v>
      </c>
      <c r="B77" s="2">
        <v>5.5</v>
      </c>
      <c r="C77" s="58"/>
      <c r="D77" s="38" t="s">
        <v>176</v>
      </c>
    </row>
    <row r="78" spans="1:4" x14ac:dyDescent="0.5">
      <c r="A78" s="1">
        <v>45717</v>
      </c>
      <c r="B78" s="2">
        <v>5</v>
      </c>
      <c r="C78" s="58"/>
      <c r="D78" s="38" t="s">
        <v>176</v>
      </c>
    </row>
    <row r="79" spans="1:4" x14ac:dyDescent="0.5">
      <c r="A79" s="1">
        <v>45718</v>
      </c>
      <c r="B79" s="2">
        <v>4.8</v>
      </c>
      <c r="C79" s="58"/>
      <c r="D79" s="38" t="s">
        <v>176</v>
      </c>
    </row>
    <row r="80" spans="1:4" x14ac:dyDescent="0.5">
      <c r="A80" s="1">
        <v>45719</v>
      </c>
      <c r="B80" s="2">
        <v>3</v>
      </c>
      <c r="C80" s="58"/>
      <c r="D80" s="38" t="s">
        <v>176</v>
      </c>
    </row>
    <row r="81" spans="1:4" x14ac:dyDescent="0.5">
      <c r="A81" s="1">
        <v>45720</v>
      </c>
      <c r="B81" s="2">
        <v>4</v>
      </c>
      <c r="C81" s="58"/>
      <c r="D81" s="38" t="s">
        <v>176</v>
      </c>
    </row>
    <row r="82" spans="1:4" x14ac:dyDescent="0.5">
      <c r="A82" s="1">
        <v>45721</v>
      </c>
      <c r="B82" s="2">
        <v>5</v>
      </c>
      <c r="C82" s="58"/>
      <c r="D82" s="38" t="s">
        <v>176</v>
      </c>
    </row>
    <row r="83" spans="1:4" x14ac:dyDescent="0.5">
      <c r="A83" s="1">
        <v>45722</v>
      </c>
      <c r="B83" s="2">
        <v>6.5</v>
      </c>
      <c r="C83" s="58"/>
      <c r="D83" s="38" t="s">
        <v>176</v>
      </c>
    </row>
    <row r="84" spans="1:4" x14ac:dyDescent="0.5">
      <c r="A84" s="1">
        <v>45723</v>
      </c>
      <c r="B84" s="2">
        <v>6</v>
      </c>
      <c r="C84" s="58"/>
      <c r="D84" s="38" t="s">
        <v>176</v>
      </c>
    </row>
    <row r="85" spans="1:4" x14ac:dyDescent="0.5">
      <c r="A85" s="1">
        <v>45724</v>
      </c>
      <c r="B85" s="2">
        <v>6.1</v>
      </c>
      <c r="C85" s="58"/>
      <c r="D85" s="38" t="s">
        <v>176</v>
      </c>
    </row>
    <row r="86" spans="1:4" x14ac:dyDescent="0.5">
      <c r="A86" s="1">
        <v>45725</v>
      </c>
      <c r="B86" s="2">
        <v>8</v>
      </c>
      <c r="C86" s="58"/>
      <c r="D86" s="38" t="s">
        <v>176</v>
      </c>
    </row>
    <row r="87" spans="1:4" x14ac:dyDescent="0.5">
      <c r="A87" s="1">
        <v>45726</v>
      </c>
      <c r="B87" s="2">
        <v>4.5</v>
      </c>
      <c r="C87" s="58"/>
      <c r="D87" s="38" t="s">
        <v>176</v>
      </c>
    </row>
    <row r="88" spans="1:4" x14ac:dyDescent="0.5">
      <c r="A88" s="1">
        <v>45727</v>
      </c>
      <c r="B88" s="2">
        <v>7</v>
      </c>
      <c r="C88" s="58"/>
      <c r="D88" s="38" t="s">
        <v>176</v>
      </c>
    </row>
    <row r="89" spans="1:4" x14ac:dyDescent="0.5">
      <c r="A89" s="1">
        <v>45728</v>
      </c>
      <c r="B89" s="2">
        <v>4.8</v>
      </c>
      <c r="C89" s="58"/>
      <c r="D89" s="38" t="s">
        <v>176</v>
      </c>
    </row>
    <row r="90" spans="1:4" x14ac:dyDescent="0.5">
      <c r="A90" s="1">
        <v>45729</v>
      </c>
      <c r="B90" s="2">
        <v>5</v>
      </c>
      <c r="C90" s="58"/>
      <c r="D90" s="38" t="s">
        <v>176</v>
      </c>
    </row>
    <row r="91" spans="1:4" x14ac:dyDescent="0.5">
      <c r="A91" s="1">
        <v>45730</v>
      </c>
      <c r="B91" s="2">
        <v>4</v>
      </c>
      <c r="C91" s="58"/>
      <c r="D91" s="38" t="s">
        <v>176</v>
      </c>
    </row>
    <row r="92" spans="1:4" x14ac:dyDescent="0.5">
      <c r="A92" s="1">
        <v>45731</v>
      </c>
      <c r="B92" s="2">
        <v>4</v>
      </c>
      <c r="C92" s="58"/>
      <c r="D92" s="38" t="s">
        <v>176</v>
      </c>
    </row>
    <row r="93" spans="1:4" x14ac:dyDescent="0.5">
      <c r="A93" s="1">
        <v>45732</v>
      </c>
      <c r="B93" s="2">
        <v>5</v>
      </c>
      <c r="C93" s="58"/>
      <c r="D93" s="38" t="s">
        <v>176</v>
      </c>
    </row>
    <row r="94" spans="1:4" x14ac:dyDescent="0.5">
      <c r="A94" s="1">
        <v>45733</v>
      </c>
      <c r="B94" s="2">
        <v>4.2</v>
      </c>
      <c r="C94" s="58"/>
      <c r="D94" s="38" t="s">
        <v>176</v>
      </c>
    </row>
    <row r="95" spans="1:4" x14ac:dyDescent="0.5">
      <c r="A95" s="1">
        <v>45734</v>
      </c>
      <c r="B95" s="2">
        <v>5.5</v>
      </c>
      <c r="C95" s="58"/>
      <c r="D95" s="38" t="s">
        <v>176</v>
      </c>
    </row>
    <row r="96" spans="1:4" x14ac:dyDescent="0.5">
      <c r="A96" s="1">
        <v>45735</v>
      </c>
      <c r="B96" s="2">
        <v>3</v>
      </c>
      <c r="C96" s="58"/>
      <c r="D96" s="38" t="s">
        <v>176</v>
      </c>
    </row>
    <row r="97" spans="1:4" x14ac:dyDescent="0.5">
      <c r="A97" s="1">
        <v>45736</v>
      </c>
      <c r="B97" s="2">
        <v>5</v>
      </c>
      <c r="C97" s="58"/>
      <c r="D97" s="38" t="s">
        <v>176</v>
      </c>
    </row>
    <row r="98" spans="1:4" x14ac:dyDescent="0.5">
      <c r="A98" s="1">
        <v>45737</v>
      </c>
      <c r="B98" s="2">
        <v>5</v>
      </c>
      <c r="C98" s="58"/>
      <c r="D98" s="38" t="s">
        <v>176</v>
      </c>
    </row>
    <row r="99" spans="1:4" x14ac:dyDescent="0.5">
      <c r="A99" s="1">
        <v>45738</v>
      </c>
      <c r="B99" s="2">
        <v>7.5</v>
      </c>
      <c r="C99" s="58"/>
      <c r="D99" s="38" t="s">
        <v>176</v>
      </c>
    </row>
    <row r="100" spans="1:4" x14ac:dyDescent="0.5">
      <c r="A100" s="1">
        <v>45739</v>
      </c>
      <c r="B100" s="2">
        <v>7</v>
      </c>
      <c r="C100" s="58"/>
      <c r="D100" s="38" t="s">
        <v>176</v>
      </c>
    </row>
    <row r="101" spans="1:4" x14ac:dyDescent="0.5">
      <c r="A101" s="1">
        <v>45740</v>
      </c>
      <c r="B101" s="2">
        <v>4</v>
      </c>
      <c r="C101" s="58"/>
      <c r="D101" s="38" t="s">
        <v>176</v>
      </c>
    </row>
    <row r="102" spans="1:4" x14ac:dyDescent="0.5">
      <c r="A102" s="1">
        <v>45741</v>
      </c>
      <c r="B102" s="2">
        <v>5.5</v>
      </c>
      <c r="C102" s="58"/>
      <c r="D102" s="38" t="s">
        <v>176</v>
      </c>
    </row>
    <row r="103" spans="1:4" x14ac:dyDescent="0.5">
      <c r="A103" s="1">
        <v>45742</v>
      </c>
      <c r="B103" s="2">
        <v>6</v>
      </c>
      <c r="C103" s="58"/>
      <c r="D103" s="38" t="s">
        <v>176</v>
      </c>
    </row>
    <row r="104" spans="1:4" x14ac:dyDescent="0.5">
      <c r="A104" s="1">
        <v>45743</v>
      </c>
      <c r="B104" s="2">
        <v>5.2</v>
      </c>
      <c r="C104" s="58"/>
      <c r="D104" s="38" t="s">
        <v>176</v>
      </c>
    </row>
    <row r="105" spans="1:4" x14ac:dyDescent="0.5">
      <c r="A105" s="1">
        <v>45744</v>
      </c>
      <c r="B105" s="2">
        <v>4.5</v>
      </c>
      <c r="C105" s="58"/>
      <c r="D105" s="38" t="s">
        <v>176</v>
      </c>
    </row>
    <row r="106" spans="1:4" x14ac:dyDescent="0.5">
      <c r="A106" s="1">
        <v>45745</v>
      </c>
      <c r="B106" s="2">
        <v>4</v>
      </c>
      <c r="C106" s="58"/>
      <c r="D106" s="38" t="s">
        <v>176</v>
      </c>
    </row>
    <row r="107" spans="1:4" x14ac:dyDescent="0.5">
      <c r="A107" s="1">
        <v>45746</v>
      </c>
      <c r="B107" s="2">
        <v>6.5</v>
      </c>
      <c r="C107" s="58"/>
      <c r="D107" s="38" t="s">
        <v>176</v>
      </c>
    </row>
    <row r="108" spans="1:4" x14ac:dyDescent="0.5">
      <c r="A108" s="1">
        <v>45747</v>
      </c>
      <c r="B108" s="2">
        <v>5.5</v>
      </c>
      <c r="C108" s="58"/>
      <c r="D108" s="38" t="s">
        <v>176</v>
      </c>
    </row>
    <row r="109" spans="1:4" x14ac:dyDescent="0.5">
      <c r="A109" s="1">
        <v>45748</v>
      </c>
      <c r="B109" s="2">
        <v>4.8</v>
      </c>
      <c r="C109" s="58"/>
      <c r="D109" s="38" t="s">
        <v>176</v>
      </c>
    </row>
    <row r="110" spans="1:4" x14ac:dyDescent="0.5">
      <c r="A110" s="1">
        <v>45749</v>
      </c>
      <c r="B110" s="2">
        <v>4.2</v>
      </c>
      <c r="C110" s="58"/>
      <c r="D110" s="38" t="s">
        <v>176</v>
      </c>
    </row>
    <row r="111" spans="1:4" x14ac:dyDescent="0.5">
      <c r="A111" s="1">
        <v>45750</v>
      </c>
      <c r="B111" s="2">
        <v>4</v>
      </c>
      <c r="C111" s="58"/>
      <c r="D111" s="38" t="s">
        <v>176</v>
      </c>
    </row>
    <row r="112" spans="1:4" x14ac:dyDescent="0.5">
      <c r="A112" s="1">
        <v>45751</v>
      </c>
      <c r="B112" s="2">
        <v>0</v>
      </c>
      <c r="C112" s="58"/>
      <c r="D112" s="38" t="s">
        <v>176</v>
      </c>
    </row>
    <row r="113" spans="1:4" x14ac:dyDescent="0.5">
      <c r="A113" s="1">
        <v>45752</v>
      </c>
      <c r="B113" s="2">
        <v>0.5</v>
      </c>
      <c r="C113" s="58"/>
      <c r="D113" s="38" t="s">
        <v>176</v>
      </c>
    </row>
    <row r="114" spans="1:4" x14ac:dyDescent="0.5">
      <c r="A114" s="1">
        <v>45753</v>
      </c>
      <c r="B114" s="2">
        <v>5.2</v>
      </c>
      <c r="C114" s="58"/>
      <c r="D114" s="38" t="s">
        <v>176</v>
      </c>
    </row>
    <row r="115" spans="1:4" x14ac:dyDescent="0.5">
      <c r="A115" s="1">
        <v>45754</v>
      </c>
      <c r="B115" s="2">
        <v>6</v>
      </c>
      <c r="C115" s="58"/>
      <c r="D115" s="38" t="s">
        <v>176</v>
      </c>
    </row>
    <row r="116" spans="1:4" x14ac:dyDescent="0.5">
      <c r="A116" s="1">
        <v>45755</v>
      </c>
      <c r="B116" s="2">
        <v>4.8</v>
      </c>
      <c r="C116" s="58"/>
      <c r="D116" s="38" t="s">
        <v>176</v>
      </c>
    </row>
    <row r="117" spans="1:4" x14ac:dyDescent="0.5">
      <c r="A117" s="1">
        <v>45756</v>
      </c>
      <c r="B117" s="2">
        <v>1</v>
      </c>
      <c r="C117" s="58"/>
      <c r="D117" s="38" t="s">
        <v>176</v>
      </c>
    </row>
    <row r="118" spans="1:4" x14ac:dyDescent="0.5">
      <c r="A118" s="1">
        <v>45757</v>
      </c>
      <c r="B118" s="2">
        <v>4</v>
      </c>
      <c r="C118" s="58"/>
      <c r="D118" s="38" t="s">
        <v>176</v>
      </c>
    </row>
    <row r="119" spans="1:4" x14ac:dyDescent="0.5">
      <c r="A119" s="1">
        <v>45758</v>
      </c>
      <c r="B119" s="2">
        <v>5</v>
      </c>
      <c r="C119" s="58"/>
      <c r="D119" s="38" t="s">
        <v>176</v>
      </c>
    </row>
    <row r="120" spans="1:4" x14ac:dyDescent="0.5">
      <c r="A120" s="1">
        <v>45759</v>
      </c>
      <c r="B120" s="2">
        <v>6</v>
      </c>
      <c r="C120" s="58"/>
      <c r="D120" s="38" t="s">
        <v>176</v>
      </c>
    </row>
    <row r="121" spans="1:4" x14ac:dyDescent="0.5">
      <c r="A121" s="1">
        <v>45760</v>
      </c>
      <c r="B121" s="2">
        <v>6.5</v>
      </c>
      <c r="C121" s="58"/>
      <c r="D121" s="38" t="s">
        <v>176</v>
      </c>
    </row>
    <row r="122" spans="1:4" x14ac:dyDescent="0.5">
      <c r="A122" s="1">
        <v>45761</v>
      </c>
      <c r="B122" s="2">
        <v>7</v>
      </c>
      <c r="C122" s="58"/>
      <c r="D122" s="38" t="s">
        <v>176</v>
      </c>
    </row>
    <row r="123" spans="1:4" x14ac:dyDescent="0.5">
      <c r="A123" s="1">
        <v>45762</v>
      </c>
      <c r="B123" s="2">
        <v>6</v>
      </c>
      <c r="C123" s="58"/>
      <c r="D123" s="38" t="s">
        <v>176</v>
      </c>
    </row>
    <row r="124" spans="1:4" x14ac:dyDescent="0.5">
      <c r="A124" s="1">
        <v>45763</v>
      </c>
      <c r="B124" s="2">
        <v>5</v>
      </c>
      <c r="C124" s="58"/>
      <c r="D124" s="38" t="s">
        <v>176</v>
      </c>
    </row>
    <row r="125" spans="1:4" x14ac:dyDescent="0.5">
      <c r="A125" s="1">
        <v>45764</v>
      </c>
      <c r="B125" s="2">
        <v>7</v>
      </c>
      <c r="C125" s="58"/>
      <c r="D125" s="38" t="s">
        <v>176</v>
      </c>
    </row>
    <row r="126" spans="1:4" x14ac:dyDescent="0.5">
      <c r="A126" s="1">
        <v>45765</v>
      </c>
      <c r="B126" s="2">
        <v>5</v>
      </c>
      <c r="C126" s="58"/>
      <c r="D126" s="38" t="s">
        <v>176</v>
      </c>
    </row>
    <row r="127" spans="1:4" x14ac:dyDescent="0.5">
      <c r="A127" s="1">
        <v>45766</v>
      </c>
      <c r="B127" s="2">
        <v>5</v>
      </c>
      <c r="C127" s="58"/>
      <c r="D127" s="38" t="s">
        <v>176</v>
      </c>
    </row>
    <row r="128" spans="1:4" x14ac:dyDescent="0.5">
      <c r="A128" s="1">
        <v>45767</v>
      </c>
      <c r="B128" s="2">
        <v>3</v>
      </c>
      <c r="C128" s="58"/>
      <c r="D128" s="38" t="s">
        <v>176</v>
      </c>
    </row>
    <row r="129" spans="1:4" x14ac:dyDescent="0.5">
      <c r="A129" s="1">
        <v>45768</v>
      </c>
      <c r="B129" s="2">
        <v>5</v>
      </c>
      <c r="C129" s="58"/>
      <c r="D129" s="38" t="s">
        <v>176</v>
      </c>
    </row>
    <row r="130" spans="1:4" x14ac:dyDescent="0.5">
      <c r="A130" s="1">
        <v>45769</v>
      </c>
      <c r="B130" s="2">
        <v>3.5</v>
      </c>
      <c r="C130" s="58"/>
      <c r="D130" s="38" t="s">
        <v>176</v>
      </c>
    </row>
    <row r="131" spans="1:4" x14ac:dyDescent="0.5">
      <c r="A131" s="1">
        <v>45770</v>
      </c>
      <c r="B131" s="2">
        <v>2</v>
      </c>
      <c r="C131" s="58"/>
      <c r="D131" s="38" t="s">
        <v>176</v>
      </c>
    </row>
    <row r="132" spans="1:4" x14ac:dyDescent="0.5">
      <c r="A132" s="1">
        <v>45771</v>
      </c>
      <c r="B132" s="2">
        <v>5</v>
      </c>
      <c r="C132" s="58"/>
      <c r="D132" s="38" t="s">
        <v>176</v>
      </c>
    </row>
    <row r="133" spans="1:4" x14ac:dyDescent="0.5">
      <c r="A133" s="1">
        <v>45772</v>
      </c>
      <c r="B133" s="2">
        <v>7</v>
      </c>
      <c r="C133" s="58"/>
      <c r="D133" s="38" t="s">
        <v>176</v>
      </c>
    </row>
    <row r="134" spans="1:4" x14ac:dyDescent="0.5">
      <c r="A134" s="1">
        <v>45773</v>
      </c>
      <c r="B134" s="2">
        <v>4.8</v>
      </c>
      <c r="C134" s="58"/>
      <c r="D134" s="38" t="s">
        <v>176</v>
      </c>
    </row>
    <row r="135" spans="1:4" x14ac:dyDescent="0.5">
      <c r="A135" s="1">
        <v>45774</v>
      </c>
      <c r="B135" s="2">
        <v>5</v>
      </c>
      <c r="C135" s="58"/>
      <c r="D135" s="38" t="s">
        <v>176</v>
      </c>
    </row>
    <row r="136" spans="1:4" x14ac:dyDescent="0.5">
      <c r="A136" s="1">
        <v>45775</v>
      </c>
      <c r="B136" s="2">
        <v>7</v>
      </c>
      <c r="C136" s="58"/>
      <c r="D136" s="38" t="s">
        <v>176</v>
      </c>
    </row>
    <row r="137" spans="1:4" x14ac:dyDescent="0.5">
      <c r="A137" s="1">
        <v>45776</v>
      </c>
      <c r="B137" s="2">
        <v>9</v>
      </c>
      <c r="C137" s="58"/>
      <c r="D137" s="38" t="s">
        <v>261</v>
      </c>
    </row>
    <row r="138" spans="1:4" x14ac:dyDescent="0.5">
      <c r="A138" s="1">
        <v>45777</v>
      </c>
      <c r="B138" s="2">
        <v>8.3000000000000007</v>
      </c>
      <c r="C138" s="58"/>
      <c r="D138" s="38" t="s">
        <v>272</v>
      </c>
    </row>
    <row r="139" spans="1:4" x14ac:dyDescent="0.5">
      <c r="A139" s="1">
        <v>45778</v>
      </c>
      <c r="B139" s="2">
        <v>6.2</v>
      </c>
      <c r="C139" s="58"/>
      <c r="D139" s="38" t="s">
        <v>194</v>
      </c>
    </row>
    <row r="140" spans="1:4" x14ac:dyDescent="0.5">
      <c r="A140" s="1">
        <v>45779</v>
      </c>
      <c r="B140" s="2">
        <v>7.3</v>
      </c>
      <c r="C140" s="58"/>
      <c r="D140" s="38" t="s">
        <v>194</v>
      </c>
    </row>
    <row r="141" spans="1:4" x14ac:dyDescent="0.5">
      <c r="A141" s="1">
        <v>45780</v>
      </c>
      <c r="B141" s="2">
        <v>8</v>
      </c>
      <c r="C141" s="58"/>
      <c r="D141" s="38" t="s">
        <v>194</v>
      </c>
    </row>
    <row r="142" spans="1:4" x14ac:dyDescent="0.5">
      <c r="A142" s="1">
        <v>45781</v>
      </c>
      <c r="B142" s="2">
        <v>5.5</v>
      </c>
      <c r="C142" s="58"/>
      <c r="D142" s="38" t="s">
        <v>194</v>
      </c>
    </row>
    <row r="143" spans="1:4" x14ac:dyDescent="0.5">
      <c r="A143" s="1">
        <v>45782</v>
      </c>
      <c r="B143" s="2">
        <v>5.8</v>
      </c>
      <c r="C143" s="58"/>
      <c r="D143" s="38" t="s">
        <v>194</v>
      </c>
    </row>
    <row r="144" spans="1:4" x14ac:dyDescent="0.5">
      <c r="A144" s="1">
        <v>45783</v>
      </c>
      <c r="B144" s="2">
        <v>5.4</v>
      </c>
      <c r="C144" s="58"/>
      <c r="D144" s="38" t="s">
        <v>194</v>
      </c>
    </row>
    <row r="145" spans="1:4" x14ac:dyDescent="0.5">
      <c r="A145" s="1">
        <v>45784</v>
      </c>
      <c r="B145" s="2">
        <v>5.2</v>
      </c>
      <c r="C145" s="58"/>
      <c r="D145" s="38" t="s">
        <v>194</v>
      </c>
    </row>
    <row r="146" spans="1:4" x14ac:dyDescent="0.5">
      <c r="A146" s="1">
        <v>45785</v>
      </c>
      <c r="B146" s="2">
        <v>5.2</v>
      </c>
      <c r="C146" s="58"/>
      <c r="D146" s="38" t="s">
        <v>194</v>
      </c>
    </row>
    <row r="147" spans="1:4" x14ac:dyDescent="0.5">
      <c r="A147" s="1">
        <v>45786</v>
      </c>
      <c r="B147" s="2">
        <v>6</v>
      </c>
      <c r="C147" s="58"/>
      <c r="D147" s="38" t="s">
        <v>194</v>
      </c>
    </row>
    <row r="148" spans="1:4" x14ac:dyDescent="0.5">
      <c r="A148" s="1">
        <v>45787</v>
      </c>
      <c r="B148" s="2">
        <v>7</v>
      </c>
      <c r="C148" s="58"/>
      <c r="D148" s="38" t="s">
        <v>194</v>
      </c>
    </row>
    <row r="149" spans="1:4" x14ac:dyDescent="0.5">
      <c r="A149" s="1">
        <v>45788</v>
      </c>
      <c r="B149" s="2">
        <v>6.8</v>
      </c>
      <c r="C149" s="58"/>
      <c r="D149" s="38" t="s">
        <v>194</v>
      </c>
    </row>
    <row r="150" spans="1:4" x14ac:dyDescent="0.5">
      <c r="A150" s="1">
        <v>45789</v>
      </c>
      <c r="B150" s="2">
        <v>9</v>
      </c>
      <c r="C150" s="58"/>
      <c r="D150" s="38" t="s">
        <v>278</v>
      </c>
    </row>
    <row r="151" spans="1:4" x14ac:dyDescent="0.5">
      <c r="A151" s="1">
        <v>45790</v>
      </c>
      <c r="B151" s="2">
        <v>5.5</v>
      </c>
      <c r="C151" s="58"/>
      <c r="D151" s="38" t="s">
        <v>278</v>
      </c>
    </row>
    <row r="152" spans="1:4" x14ac:dyDescent="0.5">
      <c r="A152" s="1">
        <v>45791</v>
      </c>
      <c r="B152" s="2">
        <v>5.4</v>
      </c>
      <c r="C152" s="58"/>
      <c r="D152" s="38" t="s">
        <v>194</v>
      </c>
    </row>
    <row r="153" spans="1:4" x14ac:dyDescent="0.5">
      <c r="A153" s="1">
        <v>45792</v>
      </c>
      <c r="B153" s="2">
        <v>5.3</v>
      </c>
      <c r="C153" s="58"/>
      <c r="D153" s="38" t="s">
        <v>194</v>
      </c>
    </row>
    <row r="154" spans="1:4" x14ac:dyDescent="0.5">
      <c r="A154" s="1">
        <v>45793</v>
      </c>
      <c r="B154" s="2">
        <v>5.2</v>
      </c>
      <c r="C154" s="58"/>
      <c r="D154" s="38" t="s">
        <v>194</v>
      </c>
    </row>
    <row r="155" spans="1:4" x14ac:dyDescent="0.5">
      <c r="A155" s="1">
        <v>45794</v>
      </c>
      <c r="B155" s="2">
        <v>6.5</v>
      </c>
      <c r="C155" s="58"/>
      <c r="D155" s="38" t="s">
        <v>194</v>
      </c>
    </row>
    <row r="156" spans="1:4" x14ac:dyDescent="0.5">
      <c r="A156" s="1">
        <v>45795</v>
      </c>
      <c r="B156" s="2">
        <v>7</v>
      </c>
      <c r="C156" s="58"/>
      <c r="D156" s="38" t="s">
        <v>194</v>
      </c>
    </row>
    <row r="157" spans="1:4" x14ac:dyDescent="0.5">
      <c r="A157" s="1">
        <v>45796</v>
      </c>
      <c r="B157" s="2">
        <v>4.5</v>
      </c>
      <c r="C157" s="58"/>
      <c r="D157" s="38" t="s">
        <v>194</v>
      </c>
    </row>
    <row r="158" spans="1:4" x14ac:dyDescent="0.5">
      <c r="A158" s="1">
        <v>45797</v>
      </c>
      <c r="B158" s="2">
        <v>4.5</v>
      </c>
      <c r="C158" s="58"/>
      <c r="D158" s="38" t="s">
        <v>194</v>
      </c>
    </row>
    <row r="159" spans="1:4" x14ac:dyDescent="0.5">
      <c r="A159" s="1">
        <v>45798</v>
      </c>
      <c r="B159" s="2">
        <v>6</v>
      </c>
      <c r="C159" s="58"/>
      <c r="D159" s="38" t="s">
        <v>194</v>
      </c>
    </row>
    <row r="160" spans="1:4" x14ac:dyDescent="0.5">
      <c r="A160" s="1">
        <v>45799</v>
      </c>
      <c r="B160" s="2">
        <v>7</v>
      </c>
      <c r="C160" s="58"/>
      <c r="D160" s="38" t="s">
        <v>194</v>
      </c>
    </row>
    <row r="161" spans="1:4" x14ac:dyDescent="0.5">
      <c r="A161" s="1">
        <v>45800</v>
      </c>
      <c r="B161" s="2">
        <v>5</v>
      </c>
      <c r="C161" s="58"/>
      <c r="D161" s="38" t="s">
        <v>194</v>
      </c>
    </row>
    <row r="162" spans="1:4" x14ac:dyDescent="0.5">
      <c r="A162" s="1">
        <v>45801</v>
      </c>
      <c r="B162" s="2">
        <v>7</v>
      </c>
      <c r="C162" s="58"/>
      <c r="D162" s="38" t="s">
        <v>194</v>
      </c>
    </row>
    <row r="163" spans="1:4" x14ac:dyDescent="0.5">
      <c r="A163" s="1">
        <v>45802</v>
      </c>
      <c r="B163" s="2">
        <v>7</v>
      </c>
      <c r="C163" s="58"/>
      <c r="D163" s="38" t="s">
        <v>194</v>
      </c>
    </row>
    <row r="164" spans="1:4" x14ac:dyDescent="0.5">
      <c r="A164" s="1">
        <v>45803</v>
      </c>
      <c r="B164" s="2">
        <v>6.5</v>
      </c>
      <c r="C164" s="58"/>
      <c r="D164" s="38" t="s">
        <v>194</v>
      </c>
    </row>
    <row r="165" spans="1:4" x14ac:dyDescent="0.5">
      <c r="A165" s="1">
        <v>45804</v>
      </c>
      <c r="B165" s="2">
        <v>5.5</v>
      </c>
      <c r="C165" s="58"/>
      <c r="D165" s="38" t="s">
        <v>194</v>
      </c>
    </row>
    <row r="166" spans="1:4" x14ac:dyDescent="0.5">
      <c r="A166" s="1">
        <v>45805</v>
      </c>
      <c r="B166" s="2">
        <v>5</v>
      </c>
      <c r="C166" s="58"/>
      <c r="D166" s="38" t="s">
        <v>194</v>
      </c>
    </row>
    <row r="167" spans="1:4" x14ac:dyDescent="0.5">
      <c r="A167" s="1">
        <v>45806</v>
      </c>
      <c r="B167" s="2">
        <v>5</v>
      </c>
      <c r="C167" s="58"/>
      <c r="D167" s="38" t="s">
        <v>194</v>
      </c>
    </row>
    <row r="168" spans="1:4" x14ac:dyDescent="0.5">
      <c r="A168" s="1">
        <v>45807</v>
      </c>
      <c r="B168" s="2">
        <v>3.5</v>
      </c>
      <c r="C168" s="58"/>
      <c r="D168" s="38" t="s">
        <v>194</v>
      </c>
    </row>
    <row r="169" spans="1:4" x14ac:dyDescent="0.5">
      <c r="A169" s="1">
        <v>45808</v>
      </c>
      <c r="B169" s="2">
        <v>4</v>
      </c>
      <c r="C169" s="58"/>
      <c r="D169" s="38" t="s">
        <v>194</v>
      </c>
    </row>
    <row r="170" spans="1:4" x14ac:dyDescent="0.5">
      <c r="A170" s="1">
        <v>45809</v>
      </c>
      <c r="B170" s="2">
        <v>5</v>
      </c>
      <c r="C170" s="58"/>
      <c r="D170" s="38" t="s">
        <v>194</v>
      </c>
    </row>
    <row r="171" spans="1:4" x14ac:dyDescent="0.5">
      <c r="A171" s="1">
        <v>45810</v>
      </c>
      <c r="B171" s="2">
        <v>0</v>
      </c>
      <c r="C171" s="58"/>
      <c r="D171" s="38" t="s">
        <v>194</v>
      </c>
    </row>
    <row r="172" spans="1:4" x14ac:dyDescent="0.5">
      <c r="A172" s="1">
        <v>45811</v>
      </c>
      <c r="B172" s="2">
        <v>4</v>
      </c>
      <c r="C172" s="58"/>
      <c r="D172" s="38" t="s">
        <v>194</v>
      </c>
    </row>
    <row r="173" spans="1:4" x14ac:dyDescent="0.5">
      <c r="A173" s="1">
        <v>45812</v>
      </c>
      <c r="B173" s="2">
        <v>4</v>
      </c>
      <c r="C173" s="58"/>
      <c r="D173" s="38" t="s">
        <v>194</v>
      </c>
    </row>
    <row r="174" spans="1:4" x14ac:dyDescent="0.5">
      <c r="A174" s="1">
        <v>45813</v>
      </c>
      <c r="B174" s="2">
        <v>6</v>
      </c>
      <c r="C174" s="58"/>
      <c r="D174" s="38" t="s">
        <v>194</v>
      </c>
    </row>
    <row r="175" spans="1:4" x14ac:dyDescent="0.5">
      <c r="A175" s="1">
        <v>45814</v>
      </c>
      <c r="B175" s="2">
        <v>5</v>
      </c>
      <c r="C175" s="58"/>
      <c r="D175" s="38" t="s">
        <v>194</v>
      </c>
    </row>
    <row r="176" spans="1:4" x14ac:dyDescent="0.5">
      <c r="A176" s="1">
        <v>45815</v>
      </c>
      <c r="B176" s="2">
        <v>5.5</v>
      </c>
      <c r="C176" s="58"/>
      <c r="D176" s="38" t="s">
        <v>194</v>
      </c>
    </row>
    <row r="177" spans="1:4" x14ac:dyDescent="0.5">
      <c r="A177" s="1">
        <v>45816</v>
      </c>
      <c r="B177" s="2">
        <v>6</v>
      </c>
      <c r="C177" s="58"/>
      <c r="D177" s="38" t="s">
        <v>194</v>
      </c>
    </row>
    <row r="178" spans="1:4" x14ac:dyDescent="0.5">
      <c r="A178" s="1">
        <v>45817</v>
      </c>
      <c r="B178" s="2">
        <v>4</v>
      </c>
      <c r="C178" s="58"/>
      <c r="D178" s="38" t="s">
        <v>194</v>
      </c>
    </row>
    <row r="179" spans="1:4" x14ac:dyDescent="0.5">
      <c r="A179" s="1">
        <v>45818</v>
      </c>
      <c r="B179" s="2">
        <v>5</v>
      </c>
      <c r="C179" s="58"/>
      <c r="D179" s="38" t="s">
        <v>194</v>
      </c>
    </row>
    <row r="180" spans="1:4" x14ac:dyDescent="0.5">
      <c r="A180" s="1">
        <v>45819</v>
      </c>
      <c r="B180" s="2">
        <v>2</v>
      </c>
      <c r="C180" s="58"/>
      <c r="D180" s="38" t="s">
        <v>194</v>
      </c>
    </row>
    <row r="181" spans="1:4" x14ac:dyDescent="0.5">
      <c r="A181" s="1">
        <v>45820</v>
      </c>
      <c r="B181" s="2">
        <v>4</v>
      </c>
      <c r="C181" s="58"/>
      <c r="D181" s="38" t="s">
        <v>194</v>
      </c>
    </row>
    <row r="182" spans="1:4" x14ac:dyDescent="0.5">
      <c r="A182" s="1">
        <v>45821</v>
      </c>
      <c r="B182" s="2">
        <v>5</v>
      </c>
      <c r="C182" s="58"/>
      <c r="D182" s="38" t="s">
        <v>194</v>
      </c>
    </row>
    <row r="183" spans="1:4" x14ac:dyDescent="0.5">
      <c r="A183" s="1">
        <v>45822</v>
      </c>
      <c r="B183" s="2">
        <v>5</v>
      </c>
      <c r="C183" s="58"/>
      <c r="D183" s="38" t="s">
        <v>287</v>
      </c>
    </row>
    <row r="184" spans="1:4" x14ac:dyDescent="0.5">
      <c r="A184" s="1">
        <v>45823</v>
      </c>
      <c r="B184" s="2">
        <v>4.8</v>
      </c>
      <c r="C184" s="58"/>
      <c r="D184" s="38" t="s">
        <v>288</v>
      </c>
    </row>
    <row r="185" spans="1:4" x14ac:dyDescent="0.5">
      <c r="A185" s="1">
        <v>45824</v>
      </c>
      <c r="B185" s="2">
        <v>4</v>
      </c>
      <c r="C185" s="58"/>
      <c r="D185" s="38" t="s">
        <v>194</v>
      </c>
    </row>
    <row r="186" spans="1:4" x14ac:dyDescent="0.5">
      <c r="A186" s="1">
        <v>45825</v>
      </c>
      <c r="B186" s="2">
        <v>4</v>
      </c>
      <c r="C186" s="58"/>
      <c r="D186" s="38" t="s">
        <v>194</v>
      </c>
    </row>
    <row r="187" spans="1:4" x14ac:dyDescent="0.5">
      <c r="A187" s="1">
        <v>45826</v>
      </c>
      <c r="B187" s="2">
        <v>4.5</v>
      </c>
      <c r="C187" s="58"/>
      <c r="D187" s="38" t="s">
        <v>194</v>
      </c>
    </row>
    <row r="188" spans="1:4" x14ac:dyDescent="0.5">
      <c r="A188" s="1">
        <v>45827</v>
      </c>
      <c r="B188" s="2">
        <v>4.5</v>
      </c>
      <c r="C188" s="58"/>
      <c r="D188" s="38" t="s">
        <v>194</v>
      </c>
    </row>
    <row r="189" spans="1:4" x14ac:dyDescent="0.5">
      <c r="A189" s="1">
        <v>45828</v>
      </c>
      <c r="B189" s="2">
        <v>5</v>
      </c>
      <c r="C189" s="58"/>
      <c r="D189" s="38" t="s">
        <v>194</v>
      </c>
    </row>
    <row r="190" spans="1:4" x14ac:dyDescent="0.5">
      <c r="A190" s="1">
        <v>45829</v>
      </c>
      <c r="B190" s="2">
        <v>8.5</v>
      </c>
      <c r="C190" s="58"/>
      <c r="D190" s="38" t="s">
        <v>289</v>
      </c>
    </row>
    <row r="191" spans="1:4" x14ac:dyDescent="0.5">
      <c r="A191" s="1">
        <v>45830</v>
      </c>
      <c r="B191" s="2">
        <v>9</v>
      </c>
      <c r="C191" s="58"/>
      <c r="D191" s="38" t="s">
        <v>290</v>
      </c>
    </row>
    <row r="192" spans="1:4" x14ac:dyDescent="0.5">
      <c r="A192" s="1">
        <v>45831</v>
      </c>
      <c r="B192" s="2">
        <v>3.5</v>
      </c>
      <c r="C192" s="58"/>
      <c r="D192" s="38" t="s">
        <v>194</v>
      </c>
    </row>
    <row r="193" spans="1:4" x14ac:dyDescent="0.5">
      <c r="A193" s="1">
        <v>45832</v>
      </c>
      <c r="B193" s="2">
        <v>6</v>
      </c>
      <c r="C193" s="58"/>
      <c r="D193" s="38" t="s">
        <v>194</v>
      </c>
    </row>
    <row r="194" spans="1:4" x14ac:dyDescent="0.5">
      <c r="A194" s="1">
        <v>45833</v>
      </c>
      <c r="B194" s="2">
        <v>6</v>
      </c>
      <c r="C194" s="58"/>
      <c r="D194" s="38" t="s">
        <v>194</v>
      </c>
    </row>
    <row r="195" spans="1:4" x14ac:dyDescent="0.5">
      <c r="A195" s="1">
        <v>45834</v>
      </c>
      <c r="B195" s="2">
        <v>4.5</v>
      </c>
      <c r="C195" s="58"/>
      <c r="D195" s="38" t="s">
        <v>194</v>
      </c>
    </row>
    <row r="196" spans="1:4" x14ac:dyDescent="0.5">
      <c r="A196" s="1">
        <v>45835</v>
      </c>
      <c r="B196" s="2">
        <v>5</v>
      </c>
      <c r="C196" s="58"/>
      <c r="D196" s="38" t="s">
        <v>194</v>
      </c>
    </row>
    <row r="197" spans="1:4" x14ac:dyDescent="0.5">
      <c r="A197" s="1">
        <v>45836</v>
      </c>
      <c r="B197" s="2">
        <v>5</v>
      </c>
      <c r="C197" s="58"/>
      <c r="D197" s="38" t="s">
        <v>194</v>
      </c>
    </row>
    <row r="198" spans="1:4" x14ac:dyDescent="0.5">
      <c r="A198" s="1">
        <v>45837</v>
      </c>
      <c r="B198" s="2">
        <v>6</v>
      </c>
      <c r="C198" s="58"/>
      <c r="D198" s="38" t="s">
        <v>194</v>
      </c>
    </row>
    <row r="199" spans="1:4" x14ac:dyDescent="0.5">
      <c r="A199" s="1">
        <v>45838</v>
      </c>
      <c r="B199" s="2">
        <v>5</v>
      </c>
      <c r="C199" s="58"/>
      <c r="D199" s="38" t="s">
        <v>194</v>
      </c>
    </row>
    <row r="200" spans="1:4" x14ac:dyDescent="0.5">
      <c r="A200" s="1">
        <v>45839</v>
      </c>
      <c r="B200" s="2">
        <v>4</v>
      </c>
      <c r="C200" s="58"/>
      <c r="D200" s="38" t="s">
        <v>194</v>
      </c>
    </row>
    <row r="201" spans="1:4" x14ac:dyDescent="0.5">
      <c r="A201" s="1">
        <v>45840</v>
      </c>
      <c r="B201" s="2">
        <v>4.0999999999999996</v>
      </c>
      <c r="C201" s="58"/>
      <c r="D201" s="38" t="s">
        <v>194</v>
      </c>
    </row>
    <row r="202" spans="1:4" x14ac:dyDescent="0.5">
      <c r="A202" s="1">
        <v>45841</v>
      </c>
      <c r="B202" s="2">
        <v>4.2</v>
      </c>
      <c r="C202" s="58"/>
      <c r="D202" s="38" t="s">
        <v>194</v>
      </c>
    </row>
    <row r="203" spans="1:4" x14ac:dyDescent="0.5">
      <c r="A203" s="1">
        <v>45842</v>
      </c>
      <c r="B203" s="2">
        <v>8.8000000000000007</v>
      </c>
      <c r="C203" s="58"/>
      <c r="D203" s="38" t="s">
        <v>297</v>
      </c>
    </row>
    <row r="204" spans="1:4" x14ac:dyDescent="0.5">
      <c r="A204" s="1">
        <v>45843</v>
      </c>
      <c r="B204" s="2">
        <v>9</v>
      </c>
      <c r="C204" s="58"/>
      <c r="D204" s="38" t="s">
        <v>298</v>
      </c>
    </row>
    <row r="205" spans="1:4" x14ac:dyDescent="0.5">
      <c r="A205" s="1">
        <v>45844</v>
      </c>
      <c r="B205" s="2">
        <v>4.3</v>
      </c>
      <c r="C205" s="58"/>
      <c r="D205" s="38" t="s">
        <v>194</v>
      </c>
    </row>
    <row r="206" spans="1:4" x14ac:dyDescent="0.5">
      <c r="A206" s="1">
        <v>45845</v>
      </c>
      <c r="B206" s="2">
        <v>4.4000000000000004</v>
      </c>
      <c r="C206" s="58"/>
      <c r="D206" s="38" t="s">
        <v>194</v>
      </c>
    </row>
    <row r="207" spans="1:4" x14ac:dyDescent="0.5">
      <c r="A207" s="1">
        <v>45846</v>
      </c>
      <c r="B207" s="2">
        <v>5</v>
      </c>
      <c r="C207" s="58"/>
      <c r="D207" s="38" t="s">
        <v>194</v>
      </c>
    </row>
    <row r="208" spans="1:4" x14ac:dyDescent="0.5">
      <c r="A208" s="1">
        <v>45847</v>
      </c>
      <c r="B208" s="2">
        <v>1</v>
      </c>
      <c r="C208" s="58"/>
      <c r="D208" s="38" t="s">
        <v>194</v>
      </c>
    </row>
    <row r="209" spans="1:4" x14ac:dyDescent="0.5">
      <c r="A209" s="1">
        <v>45848</v>
      </c>
      <c r="B209" s="2">
        <v>6.5</v>
      </c>
      <c r="C209" s="58"/>
      <c r="D209" s="38" t="s">
        <v>194</v>
      </c>
    </row>
    <row r="210" spans="1:4" x14ac:dyDescent="0.5">
      <c r="A210" s="1">
        <v>45849</v>
      </c>
      <c r="B210" s="2">
        <v>9.1999999999999993</v>
      </c>
      <c r="C210" s="58"/>
      <c r="D210" s="38" t="s">
        <v>194</v>
      </c>
    </row>
    <row r="211" spans="1:4" x14ac:dyDescent="0.5">
      <c r="A211" s="1">
        <v>45850</v>
      </c>
      <c r="B211" s="2">
        <v>4.5</v>
      </c>
      <c r="C211" s="58"/>
      <c r="D211" s="38" t="s">
        <v>194</v>
      </c>
    </row>
    <row r="212" spans="1:4" x14ac:dyDescent="0.5">
      <c r="A212" s="1">
        <v>45851</v>
      </c>
      <c r="B212" s="2">
        <v>3</v>
      </c>
      <c r="C212" s="58"/>
      <c r="D212" s="38" t="s">
        <v>194</v>
      </c>
    </row>
    <row r="213" spans="1:4" x14ac:dyDescent="0.5">
      <c r="A213" s="1">
        <v>45852</v>
      </c>
      <c r="B213" s="2">
        <v>7.5</v>
      </c>
      <c r="C213" s="58"/>
      <c r="D213" s="38" t="s">
        <v>194</v>
      </c>
    </row>
    <row r="214" spans="1:4" x14ac:dyDescent="0.5">
      <c r="A214" s="1">
        <v>45853</v>
      </c>
      <c r="B214" s="2">
        <v>7</v>
      </c>
      <c r="C214" s="58"/>
      <c r="D214" s="38" t="s">
        <v>194</v>
      </c>
    </row>
    <row r="215" spans="1:4" x14ac:dyDescent="0.5">
      <c r="A215" s="1">
        <v>45854</v>
      </c>
      <c r="B215" s="2">
        <v>4.5</v>
      </c>
      <c r="C215" s="58"/>
      <c r="D215" s="38" t="s">
        <v>194</v>
      </c>
    </row>
    <row r="216" spans="1:4" x14ac:dyDescent="0.5">
      <c r="A216" s="1">
        <v>45855</v>
      </c>
      <c r="B216" s="2">
        <v>4.5</v>
      </c>
      <c r="C216" s="58"/>
      <c r="D216" s="38" t="s">
        <v>194</v>
      </c>
    </row>
    <row r="217" spans="1:4" x14ac:dyDescent="0.5">
      <c r="A217" s="1">
        <v>45856</v>
      </c>
      <c r="B217" s="2">
        <v>4.5</v>
      </c>
      <c r="C217" s="58"/>
      <c r="D217" s="38" t="s">
        <v>194</v>
      </c>
    </row>
    <row r="218" spans="1:4" x14ac:dyDescent="0.5">
      <c r="A218" s="1">
        <v>45857</v>
      </c>
      <c r="B218" s="2">
        <v>6</v>
      </c>
      <c r="C218" s="58"/>
      <c r="D218" s="38" t="s">
        <v>194</v>
      </c>
    </row>
    <row r="219" spans="1:4" x14ac:dyDescent="0.5">
      <c r="A219" s="1">
        <v>45858</v>
      </c>
      <c r="B219" s="2">
        <v>6</v>
      </c>
      <c r="C219" s="58"/>
      <c r="D219" s="38" t="s">
        <v>194</v>
      </c>
    </row>
    <row r="220" spans="1:4" x14ac:dyDescent="0.5">
      <c r="A220" s="1">
        <v>45859</v>
      </c>
      <c r="B220" s="2">
        <v>4</v>
      </c>
      <c r="C220" s="58"/>
      <c r="D220" s="38" t="s">
        <v>194</v>
      </c>
    </row>
    <row r="221" spans="1:4" x14ac:dyDescent="0.5">
      <c r="A221" s="1">
        <v>45860</v>
      </c>
      <c r="B221" s="2">
        <v>3.5</v>
      </c>
      <c r="C221" s="58"/>
      <c r="D221" s="38" t="s">
        <v>194</v>
      </c>
    </row>
    <row r="222" spans="1:4" x14ac:dyDescent="0.5">
      <c r="A222" s="1">
        <v>45861</v>
      </c>
      <c r="B222" s="2">
        <v>4</v>
      </c>
      <c r="C222" s="58"/>
      <c r="D222" s="38" t="s">
        <v>194</v>
      </c>
    </row>
    <row r="223" spans="1:4" x14ac:dyDescent="0.5">
      <c r="A223" s="1">
        <v>45862</v>
      </c>
      <c r="B223" s="2">
        <v>4.5</v>
      </c>
      <c r="C223" s="58"/>
      <c r="D223" s="38" t="s">
        <v>194</v>
      </c>
    </row>
    <row r="224" spans="1:4" x14ac:dyDescent="0.5">
      <c r="A224" s="1">
        <v>45863</v>
      </c>
      <c r="B224" s="2">
        <v>4.5999999999999996</v>
      </c>
      <c r="C224" s="58"/>
      <c r="D224" s="38" t="s">
        <v>194</v>
      </c>
    </row>
    <row r="225" spans="1:4" x14ac:dyDescent="0.5">
      <c r="A225" s="1">
        <v>45864</v>
      </c>
      <c r="B225" s="2">
        <v>8</v>
      </c>
      <c r="C225" s="58"/>
      <c r="D225" s="38" t="s">
        <v>194</v>
      </c>
    </row>
    <row r="226" spans="1:4" x14ac:dyDescent="0.5">
      <c r="A226" s="1">
        <v>45865</v>
      </c>
      <c r="B226" s="2">
        <v>7.5</v>
      </c>
      <c r="C226" s="58"/>
      <c r="D226" s="38" t="s">
        <v>278</v>
      </c>
    </row>
    <row r="227" spans="1:4" x14ac:dyDescent="0.5">
      <c r="A227" s="1">
        <v>45866</v>
      </c>
      <c r="B227" s="2">
        <v>4.5</v>
      </c>
      <c r="C227" s="58"/>
      <c r="D227" s="38" t="s">
        <v>194</v>
      </c>
    </row>
    <row r="228" spans="1:4" x14ac:dyDescent="0.5">
      <c r="A228" s="1">
        <v>45867</v>
      </c>
      <c r="B228" s="2">
        <v>5</v>
      </c>
      <c r="C228" s="58"/>
      <c r="D228" s="38" t="s">
        <v>194</v>
      </c>
    </row>
    <row r="229" spans="1:4" x14ac:dyDescent="0.5">
      <c r="A229" s="1">
        <v>45868</v>
      </c>
      <c r="B229" s="2">
        <v>3.5</v>
      </c>
      <c r="C229" s="58"/>
      <c r="D229" s="38" t="s">
        <v>194</v>
      </c>
    </row>
    <row r="230" spans="1:4" x14ac:dyDescent="0.5">
      <c r="A230" s="1">
        <v>45869</v>
      </c>
      <c r="B230" s="2">
        <v>10</v>
      </c>
      <c r="C230" s="58"/>
      <c r="D230" s="38" t="s">
        <v>195</v>
      </c>
    </row>
    <row r="231" spans="1:4" x14ac:dyDescent="0.5">
      <c r="A231" s="1">
        <v>45870</v>
      </c>
      <c r="B231" s="2">
        <v>7</v>
      </c>
      <c r="C231" s="58"/>
      <c r="D231" s="38" t="s">
        <v>194</v>
      </c>
    </row>
    <row r="232" spans="1:4" x14ac:dyDescent="0.5">
      <c r="A232" s="1">
        <v>45871</v>
      </c>
      <c r="B232" s="2">
        <v>4</v>
      </c>
      <c r="C232" s="58"/>
      <c r="D232" s="38" t="s">
        <v>341</v>
      </c>
    </row>
    <row r="233" spans="1:4" x14ac:dyDescent="0.5">
      <c r="A233" s="1">
        <v>45872</v>
      </c>
      <c r="B233" s="2">
        <v>2</v>
      </c>
      <c r="C233" s="58"/>
      <c r="D233" s="38" t="s">
        <v>176</v>
      </c>
    </row>
    <row r="234" spans="1:4" x14ac:dyDescent="0.5">
      <c r="A234" s="1">
        <v>45873</v>
      </c>
      <c r="B234" s="2">
        <v>4</v>
      </c>
      <c r="C234" s="58"/>
      <c r="D234" s="38" t="s">
        <v>176</v>
      </c>
    </row>
    <row r="235" spans="1:4" x14ac:dyDescent="0.5">
      <c r="A235" s="1">
        <v>45874</v>
      </c>
      <c r="B235" s="2">
        <v>3.9</v>
      </c>
      <c r="C235" s="58"/>
      <c r="D235" s="38" t="s">
        <v>176</v>
      </c>
    </row>
    <row r="236" spans="1:4" x14ac:dyDescent="0.5">
      <c r="A236" s="1">
        <v>45875</v>
      </c>
      <c r="B236" s="2">
        <v>4</v>
      </c>
      <c r="C236" s="58"/>
      <c r="D236" s="38" t="s">
        <v>176</v>
      </c>
    </row>
    <row r="237" spans="1:4" x14ac:dyDescent="0.5">
      <c r="A237" s="1">
        <v>45876</v>
      </c>
      <c r="B237" s="2">
        <v>5.5</v>
      </c>
      <c r="C237" s="58"/>
      <c r="D237" s="38" t="s">
        <v>176</v>
      </c>
    </row>
    <row r="238" spans="1:4" x14ac:dyDescent="0.5">
      <c r="A238" s="1">
        <v>45877</v>
      </c>
      <c r="B238" s="2">
        <v>6</v>
      </c>
      <c r="C238" s="58"/>
      <c r="D238" s="38" t="s">
        <v>176</v>
      </c>
    </row>
    <row r="239" spans="1:4" x14ac:dyDescent="0.5">
      <c r="A239" s="1">
        <v>45878</v>
      </c>
      <c r="B239" s="2">
        <v>5.8</v>
      </c>
      <c r="C239" s="58"/>
      <c r="D239" s="38" t="s">
        <v>176</v>
      </c>
    </row>
    <row r="240" spans="1:4" x14ac:dyDescent="0.5">
      <c r="A240" s="1">
        <v>45879</v>
      </c>
      <c r="B240" s="2">
        <v>4</v>
      </c>
      <c r="C240" s="58"/>
      <c r="D240" s="38" t="s">
        <v>176</v>
      </c>
    </row>
    <row r="241" spans="1:4" x14ac:dyDescent="0.5">
      <c r="A241" s="1">
        <v>45880</v>
      </c>
      <c r="B241" s="2">
        <v>5</v>
      </c>
      <c r="C241" s="58"/>
      <c r="D241" s="38" t="s">
        <v>176</v>
      </c>
    </row>
    <row r="242" spans="1:4" x14ac:dyDescent="0.5">
      <c r="A242" s="1">
        <v>45881</v>
      </c>
      <c r="B242" s="2">
        <v>5.5</v>
      </c>
      <c r="C242" s="58"/>
      <c r="D242" s="38" t="s">
        <v>176</v>
      </c>
    </row>
    <row r="243" spans="1:4" x14ac:dyDescent="0.5">
      <c r="A243" s="1">
        <v>45882</v>
      </c>
      <c r="B243" s="2">
        <v>7.5</v>
      </c>
      <c r="C243" s="58"/>
      <c r="D243" s="38" t="s">
        <v>176</v>
      </c>
    </row>
    <row r="244" spans="1:4" x14ac:dyDescent="0.5">
      <c r="A244" s="1">
        <v>45883</v>
      </c>
      <c r="B244" s="2">
        <v>5</v>
      </c>
      <c r="C244" s="58"/>
      <c r="D244" s="38" t="s">
        <v>176</v>
      </c>
    </row>
    <row r="245" spans="1:4" x14ac:dyDescent="0.5">
      <c r="A245" s="1">
        <v>45884</v>
      </c>
      <c r="B245" s="2">
        <v>5</v>
      </c>
      <c r="C245" s="58"/>
      <c r="D245" s="38" t="s">
        <v>176</v>
      </c>
    </row>
    <row r="246" spans="1:4" x14ac:dyDescent="0.5">
      <c r="A246" s="1">
        <v>45885</v>
      </c>
      <c r="B246" s="2">
        <v>6</v>
      </c>
      <c r="C246" s="58"/>
      <c r="D246" s="38" t="s">
        <v>176</v>
      </c>
    </row>
    <row r="247" spans="1:4" x14ac:dyDescent="0.5">
      <c r="A247" s="1">
        <v>45886</v>
      </c>
      <c r="B247" s="2">
        <v>7</v>
      </c>
      <c r="C247" s="58"/>
      <c r="D247" s="38" t="s">
        <v>176</v>
      </c>
    </row>
    <row r="248" spans="1:4" x14ac:dyDescent="0.5">
      <c r="A248" s="1">
        <v>45887</v>
      </c>
      <c r="B248" s="2">
        <v>4</v>
      </c>
      <c r="C248" s="58"/>
      <c r="D248" s="38" t="s">
        <v>176</v>
      </c>
    </row>
    <row r="249" spans="1:4" x14ac:dyDescent="0.5">
      <c r="A249" s="1">
        <v>45888</v>
      </c>
      <c r="B249" s="2">
        <v>2</v>
      </c>
      <c r="C249" s="58"/>
      <c r="D249" s="38" t="s">
        <v>176</v>
      </c>
    </row>
    <row r="250" spans="1:4" x14ac:dyDescent="0.5">
      <c r="A250" s="1">
        <v>45889</v>
      </c>
      <c r="B250" s="2">
        <v>4</v>
      </c>
      <c r="C250" s="58"/>
      <c r="D250" s="38" t="s">
        <v>176</v>
      </c>
    </row>
    <row r="251" spans="1:4" x14ac:dyDescent="0.5">
      <c r="A251" s="1">
        <v>45890</v>
      </c>
      <c r="B251" s="2">
        <v>4</v>
      </c>
      <c r="C251" s="58"/>
      <c r="D251" s="38" t="s">
        <v>176</v>
      </c>
    </row>
    <row r="252" spans="1:4" x14ac:dyDescent="0.5">
      <c r="A252" s="1">
        <v>45891</v>
      </c>
      <c r="B252" s="2">
        <v>5</v>
      </c>
      <c r="C252" s="58"/>
      <c r="D252" s="38" t="s">
        <v>176</v>
      </c>
    </row>
    <row r="253" spans="1:4" x14ac:dyDescent="0.5">
      <c r="A253" s="1">
        <v>45892</v>
      </c>
      <c r="B253" s="2">
        <v>7</v>
      </c>
      <c r="C253" s="58"/>
      <c r="D253" s="38" t="s">
        <v>176</v>
      </c>
    </row>
    <row r="254" spans="1:4" x14ac:dyDescent="0.5">
      <c r="A254" s="1">
        <v>45893</v>
      </c>
      <c r="B254" s="2">
        <v>1</v>
      </c>
      <c r="C254" s="58"/>
      <c r="D254" s="38" t="s">
        <v>176</v>
      </c>
    </row>
    <row r="255" spans="1:4" x14ac:dyDescent="0.5">
      <c r="A255" s="1">
        <v>45894</v>
      </c>
      <c r="B255" s="2">
        <v>2</v>
      </c>
      <c r="C255" s="58"/>
      <c r="D255" s="38" t="s">
        <v>176</v>
      </c>
    </row>
    <row r="256" spans="1:4" x14ac:dyDescent="0.5">
      <c r="A256" s="1">
        <v>45895</v>
      </c>
      <c r="B256" s="2">
        <v>2</v>
      </c>
      <c r="C256" s="58"/>
      <c r="D256" s="38" t="s">
        <v>176</v>
      </c>
    </row>
    <row r="257" spans="1:4" x14ac:dyDescent="0.5">
      <c r="A257" s="1">
        <v>45896</v>
      </c>
      <c r="B257" s="2">
        <v>2</v>
      </c>
      <c r="C257" s="58"/>
      <c r="D257" s="38" t="s">
        <v>176</v>
      </c>
    </row>
    <row r="258" spans="1:4" x14ac:dyDescent="0.5">
      <c r="A258" s="1">
        <v>45897</v>
      </c>
      <c r="B258" s="2">
        <v>4</v>
      </c>
      <c r="C258" s="58"/>
      <c r="D258" s="38" t="s">
        <v>176</v>
      </c>
    </row>
    <row r="259" spans="1:4" x14ac:dyDescent="0.5">
      <c r="A259" s="1">
        <v>45898</v>
      </c>
      <c r="B259" s="2">
        <v>6</v>
      </c>
      <c r="C259" s="58"/>
      <c r="D259" s="38" t="s">
        <v>176</v>
      </c>
    </row>
    <row r="260" spans="1:4" x14ac:dyDescent="0.5">
      <c r="A260" s="1">
        <v>45899</v>
      </c>
      <c r="B260" s="2">
        <v>6</v>
      </c>
      <c r="C260" s="58"/>
      <c r="D260" s="38" t="s">
        <v>176</v>
      </c>
    </row>
    <row r="261" spans="1:4" x14ac:dyDescent="0.5">
      <c r="A261" s="1">
        <v>45900</v>
      </c>
      <c r="B261" s="2">
        <v>5</v>
      </c>
      <c r="C261" s="58"/>
      <c r="D261" s="38" t="s">
        <v>176</v>
      </c>
    </row>
    <row r="262" spans="1:4" x14ac:dyDescent="0.5">
      <c r="A262" s="1">
        <v>45901</v>
      </c>
      <c r="B262" s="2">
        <v>5</v>
      </c>
      <c r="C262" s="58"/>
      <c r="D262" s="38" t="s">
        <v>176</v>
      </c>
    </row>
    <row r="263" spans="1:4" x14ac:dyDescent="0.5">
      <c r="A263" s="1">
        <v>45902</v>
      </c>
      <c r="B263" s="2">
        <v>5</v>
      </c>
      <c r="C263" s="58"/>
      <c r="D263" s="38" t="s">
        <v>176</v>
      </c>
    </row>
    <row r="264" spans="1:4" x14ac:dyDescent="0.5">
      <c r="A264" s="1">
        <v>45903</v>
      </c>
      <c r="B264" s="2">
        <v>4.5</v>
      </c>
      <c r="C264" s="58"/>
      <c r="D264" s="38" t="s">
        <v>176</v>
      </c>
    </row>
    <row r="265" spans="1:4" x14ac:dyDescent="0.5">
      <c r="A265" s="1">
        <v>45904</v>
      </c>
      <c r="B265" s="2">
        <v>5</v>
      </c>
      <c r="C265" s="58"/>
      <c r="D265" s="38" t="s">
        <v>176</v>
      </c>
    </row>
    <row r="266" spans="1:4" x14ac:dyDescent="0.5">
      <c r="A266" s="1">
        <v>45905</v>
      </c>
      <c r="B266" s="2">
        <v>6</v>
      </c>
      <c r="C266" s="58"/>
      <c r="D266" s="38" t="s">
        <v>176</v>
      </c>
    </row>
    <row r="267" spans="1:4" x14ac:dyDescent="0.5">
      <c r="A267" s="1">
        <v>45906</v>
      </c>
      <c r="B267" s="2">
        <v>7</v>
      </c>
      <c r="C267" s="58"/>
      <c r="D267" s="38" t="s">
        <v>176</v>
      </c>
    </row>
    <row r="268" spans="1:4" x14ac:dyDescent="0.5">
      <c r="A268" s="1">
        <v>45907</v>
      </c>
      <c r="B268" s="2">
        <v>7</v>
      </c>
      <c r="C268" s="58"/>
      <c r="D268" s="38" t="s">
        <v>176</v>
      </c>
    </row>
    <row r="269" spans="1:4" x14ac:dyDescent="0.5">
      <c r="A269" s="1">
        <v>45908</v>
      </c>
      <c r="B269" s="2">
        <v>6</v>
      </c>
      <c r="C269" s="58"/>
      <c r="D269" s="38" t="s">
        <v>176</v>
      </c>
    </row>
    <row r="270" spans="1:4" x14ac:dyDescent="0.5">
      <c r="A270" s="1">
        <v>45909</v>
      </c>
      <c r="B270" s="2">
        <v>3</v>
      </c>
      <c r="C270" s="58"/>
      <c r="D270" s="38" t="s">
        <v>176</v>
      </c>
    </row>
    <row r="271" spans="1:4" x14ac:dyDescent="0.5">
      <c r="A271" s="1">
        <v>45910</v>
      </c>
      <c r="B271" s="2">
        <v>5</v>
      </c>
      <c r="C271" s="58"/>
      <c r="D271" s="38" t="s">
        <v>176</v>
      </c>
    </row>
    <row r="272" spans="1:4" x14ac:dyDescent="0.5">
      <c r="A272" s="1">
        <v>45911</v>
      </c>
      <c r="B272" s="2">
        <v>4</v>
      </c>
      <c r="C272" s="58"/>
      <c r="D272" s="38" t="s">
        <v>176</v>
      </c>
    </row>
    <row r="273" spans="1:4" x14ac:dyDescent="0.5">
      <c r="A273" s="1">
        <v>45912</v>
      </c>
      <c r="B273" s="2">
        <v>4</v>
      </c>
      <c r="C273" s="58"/>
      <c r="D273" s="38" t="s">
        <v>176</v>
      </c>
    </row>
    <row r="274" spans="1:4" x14ac:dyDescent="0.5">
      <c r="A274" s="1">
        <v>45913</v>
      </c>
      <c r="B274" s="2">
        <v>4</v>
      </c>
      <c r="C274" s="58"/>
      <c r="D274" s="38" t="s">
        <v>176</v>
      </c>
    </row>
    <row r="275" spans="1:4" x14ac:dyDescent="0.5">
      <c r="A275" s="1">
        <v>45914</v>
      </c>
      <c r="B275" s="2">
        <v>3</v>
      </c>
      <c r="C275" s="58"/>
      <c r="D275" s="38" t="s">
        <v>176</v>
      </c>
    </row>
    <row r="276" spans="1:4" x14ac:dyDescent="0.5">
      <c r="A276" s="1">
        <v>45915</v>
      </c>
      <c r="B276" s="2">
        <v>8</v>
      </c>
      <c r="C276" s="58"/>
      <c r="D276" s="38" t="s">
        <v>176</v>
      </c>
    </row>
    <row r="277" spans="1:4" x14ac:dyDescent="0.5">
      <c r="A277" s="1">
        <v>45916</v>
      </c>
      <c r="B277" s="2">
        <v>6</v>
      </c>
      <c r="C277" s="58"/>
      <c r="D277" s="38" t="s">
        <v>176</v>
      </c>
    </row>
    <row r="278" spans="1:4" x14ac:dyDescent="0.5">
      <c r="A278" s="1">
        <v>45917</v>
      </c>
      <c r="B278" s="2">
        <v>10</v>
      </c>
      <c r="C278" s="58"/>
      <c r="D278" s="38" t="s">
        <v>261</v>
      </c>
    </row>
    <row r="279" spans="1:4" x14ac:dyDescent="0.5">
      <c r="A279" s="1">
        <v>45918</v>
      </c>
      <c r="B279" s="2">
        <v>6</v>
      </c>
      <c r="C279" s="58"/>
      <c r="D279" s="38" t="s">
        <v>194</v>
      </c>
    </row>
    <row r="280" spans="1:4" x14ac:dyDescent="0.5">
      <c r="A280" s="1">
        <v>45919</v>
      </c>
      <c r="B280" s="2">
        <v>8.1</v>
      </c>
      <c r="C280" s="58"/>
      <c r="D280" s="38" t="s">
        <v>278</v>
      </c>
    </row>
    <row r="281" spans="1:4" x14ac:dyDescent="0.5">
      <c r="A281" s="1">
        <v>45920</v>
      </c>
      <c r="B281" s="2">
        <v>8</v>
      </c>
      <c r="C281" s="58"/>
      <c r="D281" s="38" t="s">
        <v>358</v>
      </c>
    </row>
    <row r="282" spans="1:4" x14ac:dyDescent="0.5">
      <c r="A282" s="1">
        <v>45921</v>
      </c>
      <c r="B282" s="2">
        <v>7.5</v>
      </c>
      <c r="C282" s="58"/>
      <c r="D282" s="38" t="s">
        <v>194</v>
      </c>
    </row>
    <row r="283" spans="1:4" x14ac:dyDescent="0.5">
      <c r="A283" s="1">
        <v>45922</v>
      </c>
      <c r="B283" s="2">
        <v>6</v>
      </c>
      <c r="C283" s="58"/>
      <c r="D283" s="38" t="s">
        <v>194</v>
      </c>
    </row>
    <row r="284" spans="1:4" x14ac:dyDescent="0.5">
      <c r="A284" s="1">
        <v>45923</v>
      </c>
      <c r="B284" s="2">
        <v>5.5</v>
      </c>
      <c r="C284" s="58"/>
      <c r="D284" s="38" t="s">
        <v>194</v>
      </c>
    </row>
    <row r="285" spans="1:4" x14ac:dyDescent="0.5">
      <c r="A285" s="1">
        <v>45924</v>
      </c>
      <c r="B285" s="2">
        <v>5.3</v>
      </c>
      <c r="C285" s="58"/>
      <c r="D285" s="38" t="s">
        <v>194</v>
      </c>
    </row>
    <row r="286" spans="1:4" x14ac:dyDescent="0.5">
      <c r="A286" s="1">
        <v>45925</v>
      </c>
      <c r="B286" s="2">
        <v>3.5</v>
      </c>
      <c r="C286" s="58"/>
      <c r="D286" s="38" t="s">
        <v>194</v>
      </c>
    </row>
    <row r="287" spans="1:4" x14ac:dyDescent="0.5">
      <c r="A287" s="1">
        <v>45926</v>
      </c>
      <c r="B287" s="2">
        <v>4.5</v>
      </c>
      <c r="C287" s="58"/>
      <c r="D287" s="38" t="s">
        <v>194</v>
      </c>
    </row>
    <row r="288" spans="1:4" x14ac:dyDescent="0.5">
      <c r="A288" s="1">
        <v>45927</v>
      </c>
      <c r="B288" s="2">
        <v>6.8</v>
      </c>
      <c r="C288" s="58"/>
      <c r="D288" s="38" t="s">
        <v>194</v>
      </c>
    </row>
    <row r="289" spans="1:4" x14ac:dyDescent="0.5">
      <c r="A289" s="1">
        <v>45928</v>
      </c>
      <c r="B289" s="2">
        <v>7.8</v>
      </c>
      <c r="C289" s="58"/>
      <c r="D289" s="38" t="s">
        <v>194</v>
      </c>
    </row>
    <row r="290" spans="1:4" x14ac:dyDescent="0.5">
      <c r="A290" s="1">
        <v>45929</v>
      </c>
      <c r="B290" s="2">
        <v>6</v>
      </c>
      <c r="C290" s="58"/>
      <c r="D290" s="38" t="s">
        <v>194</v>
      </c>
    </row>
    <row r="291" spans="1:4" x14ac:dyDescent="0.5">
      <c r="A291" s="1">
        <v>45930</v>
      </c>
      <c r="B291" s="2">
        <v>7</v>
      </c>
      <c r="C291" s="58"/>
      <c r="D291" s="38" t="s">
        <v>194</v>
      </c>
    </row>
    <row r="292" spans="1:4" x14ac:dyDescent="0.5">
      <c r="A292" s="1">
        <v>45931</v>
      </c>
      <c r="B292" s="2">
        <v>5.6</v>
      </c>
      <c r="C292" s="58"/>
      <c r="D292" s="38" t="s">
        <v>194</v>
      </c>
    </row>
    <row r="293" spans="1:4" x14ac:dyDescent="0.5">
      <c r="A293" s="1">
        <v>45932</v>
      </c>
      <c r="B293" s="2">
        <v>6.4</v>
      </c>
      <c r="C293" s="58"/>
      <c r="D293" s="38" t="s">
        <v>194</v>
      </c>
    </row>
    <row r="294" spans="1:4" x14ac:dyDescent="0.5">
      <c r="A294" s="1">
        <v>45933</v>
      </c>
      <c r="B294" s="2">
        <v>5</v>
      </c>
      <c r="C294" s="58"/>
      <c r="D294" s="38" t="s">
        <v>194</v>
      </c>
    </row>
    <row r="295" spans="1:4" x14ac:dyDescent="0.5">
      <c r="A295" s="1">
        <v>45934</v>
      </c>
      <c r="B295" s="2">
        <v>8</v>
      </c>
      <c r="C295" s="58"/>
      <c r="D295" s="38" t="s">
        <v>194</v>
      </c>
    </row>
    <row r="296" spans="1:4" x14ac:dyDescent="0.5">
      <c r="A296" s="1">
        <v>45935</v>
      </c>
      <c r="B296" s="2">
        <v>6.5</v>
      </c>
      <c r="C296" s="58"/>
      <c r="D296" s="38" t="s">
        <v>194</v>
      </c>
    </row>
    <row r="297" spans="1:4" x14ac:dyDescent="0.5">
      <c r="A297" s="1">
        <v>45936</v>
      </c>
      <c r="B297" s="2">
        <v>4.5</v>
      </c>
      <c r="C297" s="58"/>
      <c r="D297" s="38" t="s">
        <v>194</v>
      </c>
    </row>
    <row r="298" spans="1:4" x14ac:dyDescent="0.5">
      <c r="A298" s="1">
        <v>45937</v>
      </c>
      <c r="B298" s="2">
        <v>4</v>
      </c>
      <c r="C298" s="58"/>
      <c r="D298" s="38" t="s">
        <v>194</v>
      </c>
    </row>
    <row r="299" spans="1:4" x14ac:dyDescent="0.5">
      <c r="A299" s="1">
        <v>45938</v>
      </c>
      <c r="B299" s="2">
        <v>4.5</v>
      </c>
      <c r="C299" s="58"/>
      <c r="D299" s="38" t="s">
        <v>194</v>
      </c>
    </row>
    <row r="300" spans="1:4" x14ac:dyDescent="0.5">
      <c r="A300" s="1">
        <v>45939</v>
      </c>
      <c r="B300" s="2">
        <v>4.5</v>
      </c>
      <c r="C300" s="58"/>
      <c r="D300" s="38" t="s">
        <v>194</v>
      </c>
    </row>
    <row r="301" spans="1:4" x14ac:dyDescent="0.5">
      <c r="A301" s="1">
        <v>45940</v>
      </c>
      <c r="B301" s="2">
        <v>4.5</v>
      </c>
      <c r="C301" s="58"/>
      <c r="D301" s="38" t="s">
        <v>194</v>
      </c>
    </row>
    <row r="302" spans="1:4" x14ac:dyDescent="0.5">
      <c r="A302" s="1">
        <v>45941</v>
      </c>
      <c r="B302" s="2">
        <v>6</v>
      </c>
      <c r="C302" s="58"/>
      <c r="D302" s="38" t="s">
        <v>382</v>
      </c>
    </row>
    <row r="303" spans="1:4" x14ac:dyDescent="0.5">
      <c r="A303" s="1">
        <v>45942</v>
      </c>
      <c r="B303" s="2">
        <v>3.5</v>
      </c>
      <c r="C303" s="58"/>
      <c r="D303" s="38" t="s">
        <v>176</v>
      </c>
    </row>
    <row r="304" spans="1:4" x14ac:dyDescent="0.5">
      <c r="A304" s="1">
        <v>45943</v>
      </c>
      <c r="B304" s="2">
        <v>8</v>
      </c>
      <c r="C304" s="58"/>
      <c r="D304" s="38" t="s">
        <v>176</v>
      </c>
    </row>
    <row r="305" spans="1:4" x14ac:dyDescent="0.5">
      <c r="A305" s="1">
        <v>45944</v>
      </c>
      <c r="B305" s="2">
        <v>7</v>
      </c>
      <c r="C305" s="58"/>
      <c r="D305" s="38" t="s">
        <v>176</v>
      </c>
    </row>
    <row r="306" spans="1:4" x14ac:dyDescent="0.5">
      <c r="A306" s="1">
        <v>45945</v>
      </c>
      <c r="B306" s="2">
        <v>6</v>
      </c>
      <c r="C306" s="58"/>
      <c r="D306" s="38" t="s">
        <v>176</v>
      </c>
    </row>
    <row r="307" spans="1:4" x14ac:dyDescent="0.5">
      <c r="A307" s="1">
        <v>45946</v>
      </c>
      <c r="B307" s="2">
        <v>7</v>
      </c>
      <c r="C307" s="58"/>
      <c r="D307" s="38" t="s">
        <v>176</v>
      </c>
    </row>
    <row r="308" spans="1:4" x14ac:dyDescent="0.5">
      <c r="A308" s="1">
        <v>45947</v>
      </c>
      <c r="B308" s="2">
        <v>5.5</v>
      </c>
      <c r="C308" s="58"/>
      <c r="D308" s="38" t="s">
        <v>176</v>
      </c>
    </row>
    <row r="309" spans="1:4" x14ac:dyDescent="0.5">
      <c r="A309" s="1">
        <v>45948</v>
      </c>
      <c r="B309" s="2">
        <v>7</v>
      </c>
      <c r="C309" s="58"/>
      <c r="D309" s="38" t="s">
        <v>176</v>
      </c>
    </row>
    <row r="310" spans="1:4" x14ac:dyDescent="0.5">
      <c r="A310" s="1">
        <v>45949</v>
      </c>
      <c r="B310" s="2">
        <v>7</v>
      </c>
      <c r="C310" s="58"/>
      <c r="D310" s="38" t="s">
        <v>176</v>
      </c>
    </row>
    <row r="311" spans="1:4" x14ac:dyDescent="0.5">
      <c r="A311" s="1">
        <v>45950</v>
      </c>
      <c r="B311" s="2">
        <v>4</v>
      </c>
      <c r="C311" s="58"/>
      <c r="D311" s="38" t="s">
        <v>176</v>
      </c>
    </row>
    <row r="312" spans="1:4" x14ac:dyDescent="0.5">
      <c r="A312" s="1">
        <v>45951</v>
      </c>
      <c r="B312" s="2">
        <v>6</v>
      </c>
      <c r="C312" s="58"/>
      <c r="D312" s="38" t="s">
        <v>176</v>
      </c>
    </row>
    <row r="313" spans="1:4" x14ac:dyDescent="0.5">
      <c r="A313" s="1">
        <v>45952</v>
      </c>
      <c r="B313" s="2">
        <v>6</v>
      </c>
      <c r="C313" s="58"/>
      <c r="D313" s="38" t="s">
        <v>176</v>
      </c>
    </row>
    <row r="314" spans="1:4" x14ac:dyDescent="0.5">
      <c r="A314" s="1">
        <v>45953</v>
      </c>
      <c r="B314" s="2">
        <v>3</v>
      </c>
      <c r="C314" s="58"/>
      <c r="D314" s="38" t="s">
        <v>176</v>
      </c>
    </row>
    <row r="315" spans="1:4" x14ac:dyDescent="0.5">
      <c r="A315" s="1">
        <v>45954</v>
      </c>
      <c r="B315" s="2">
        <v>8.3000000000000007</v>
      </c>
      <c r="C315" s="58"/>
      <c r="D315" s="38" t="s">
        <v>176</v>
      </c>
    </row>
    <row r="316" spans="1:4" x14ac:dyDescent="0.5">
      <c r="A316" s="1">
        <v>45955</v>
      </c>
      <c r="B316" s="2">
        <v>5.7</v>
      </c>
      <c r="C316" s="58"/>
      <c r="D316" s="38" t="s">
        <v>176</v>
      </c>
    </row>
    <row r="317" spans="1:4" x14ac:dyDescent="0.5">
      <c r="A317" s="1">
        <v>45956</v>
      </c>
      <c r="B317" s="2">
        <v>4</v>
      </c>
      <c r="C317" s="58"/>
      <c r="D317" s="38" t="s">
        <v>176</v>
      </c>
    </row>
    <row r="318" spans="1:4" x14ac:dyDescent="0.5">
      <c r="A318" s="1">
        <v>45957</v>
      </c>
      <c r="B318" s="2">
        <v>4.5</v>
      </c>
      <c r="C318" s="58"/>
      <c r="D318" s="38" t="s">
        <v>176</v>
      </c>
    </row>
    <row r="319" spans="1:4" x14ac:dyDescent="0.5">
      <c r="A319" s="1">
        <v>45958</v>
      </c>
      <c r="B319" s="2">
        <v>7</v>
      </c>
      <c r="C319" s="58"/>
      <c r="D319" s="38" t="s">
        <v>176</v>
      </c>
    </row>
    <row r="320" spans="1:4" x14ac:dyDescent="0.5">
      <c r="A320" s="1">
        <v>45959</v>
      </c>
      <c r="B320" s="2">
        <v>4.5</v>
      </c>
      <c r="C320" s="58"/>
      <c r="D320" s="38" t="s">
        <v>176</v>
      </c>
    </row>
    <row r="321" spans="1:4" x14ac:dyDescent="0.5">
      <c r="A321" s="1">
        <v>45960</v>
      </c>
      <c r="B321" s="2">
        <v>5</v>
      </c>
      <c r="C321" s="58"/>
      <c r="D321" s="38" t="s">
        <v>176</v>
      </c>
    </row>
    <row r="322" spans="1:4" x14ac:dyDescent="0.5">
      <c r="A322" s="1">
        <v>45961</v>
      </c>
      <c r="B322" s="2">
        <v>6</v>
      </c>
      <c r="C322" s="58"/>
      <c r="D322" s="38" t="s">
        <v>176</v>
      </c>
    </row>
    <row r="323" spans="1:4" x14ac:dyDescent="0.5">
      <c r="A323" s="1">
        <v>45962</v>
      </c>
      <c r="B323" s="2">
        <v>4.8</v>
      </c>
      <c r="C323" s="58"/>
      <c r="D323" s="38" t="s">
        <v>176</v>
      </c>
    </row>
    <row r="324" spans="1:4" x14ac:dyDescent="0.5">
      <c r="A324" s="1">
        <v>45963</v>
      </c>
      <c r="B324" s="2">
        <v>4.5</v>
      </c>
      <c r="C324" s="58"/>
      <c r="D324" s="38" t="s">
        <v>176</v>
      </c>
    </row>
    <row r="325" spans="1:4" x14ac:dyDescent="0.5">
      <c r="A325" s="1">
        <v>45964</v>
      </c>
      <c r="B325" s="2">
        <v>0.5</v>
      </c>
      <c r="C325" s="58"/>
      <c r="D325" s="38" t="s">
        <v>176</v>
      </c>
    </row>
    <row r="326" spans="1:4" x14ac:dyDescent="0.5">
      <c r="A326" s="1">
        <v>45965</v>
      </c>
      <c r="B326" s="2">
        <v>6</v>
      </c>
      <c r="C326" s="58"/>
      <c r="D326" s="38" t="s">
        <v>176</v>
      </c>
    </row>
    <row r="327" spans="1:4" x14ac:dyDescent="0.5">
      <c r="A327" s="1">
        <v>45966</v>
      </c>
      <c r="B327" s="2">
        <v>5</v>
      </c>
      <c r="C327" s="58"/>
      <c r="D327" s="38" t="s">
        <v>176</v>
      </c>
    </row>
    <row r="328" spans="1:4" x14ac:dyDescent="0.5">
      <c r="A328" s="1">
        <v>45967</v>
      </c>
      <c r="B328" s="2">
        <v>6</v>
      </c>
      <c r="C328" s="58"/>
      <c r="D328" s="38" t="s">
        <v>176</v>
      </c>
    </row>
    <row r="329" spans="1:4" x14ac:dyDescent="0.5">
      <c r="A329" s="1">
        <v>45968</v>
      </c>
      <c r="B329" s="2">
        <v>5.8</v>
      </c>
      <c r="C329" s="58"/>
      <c r="D329" s="38" t="s">
        <v>176</v>
      </c>
    </row>
    <row r="330" spans="1:4" x14ac:dyDescent="0.5">
      <c r="A330" s="1">
        <v>45969</v>
      </c>
      <c r="B330" s="2">
        <v>6</v>
      </c>
      <c r="C330" s="58"/>
      <c r="D330" s="38" t="s">
        <v>176</v>
      </c>
    </row>
    <row r="331" spans="1:4" x14ac:dyDescent="0.5">
      <c r="A331" s="1">
        <v>45970</v>
      </c>
      <c r="B331" s="2">
        <v>5.5</v>
      </c>
      <c r="C331" s="58"/>
      <c r="D331" s="38" t="s">
        <v>176</v>
      </c>
    </row>
    <row r="332" spans="1:4" x14ac:dyDescent="0.5">
      <c r="A332" s="1">
        <v>45971</v>
      </c>
      <c r="B332" s="2">
        <v>5.6</v>
      </c>
      <c r="C332" s="58"/>
      <c r="D332" s="38" t="s">
        <v>176</v>
      </c>
    </row>
    <row r="333" spans="1:4" x14ac:dyDescent="0.5">
      <c r="A333" s="1">
        <v>45972</v>
      </c>
      <c r="B333" s="2">
        <v>5</v>
      </c>
      <c r="C333" s="58"/>
      <c r="D333" s="38" t="s">
        <v>176</v>
      </c>
    </row>
    <row r="334" spans="1:4" x14ac:dyDescent="0.5">
      <c r="A334" s="1">
        <v>45973</v>
      </c>
      <c r="B334" s="2">
        <v>6.5</v>
      </c>
      <c r="C334" s="58"/>
      <c r="D334" s="38" t="s">
        <v>176</v>
      </c>
    </row>
    <row r="335" spans="1:4" x14ac:dyDescent="0.5">
      <c r="A335" s="1">
        <v>45974</v>
      </c>
      <c r="B335" s="2">
        <v>5.5</v>
      </c>
      <c r="C335" s="58"/>
      <c r="D335" s="38" t="s">
        <v>176</v>
      </c>
    </row>
    <row r="336" spans="1:4" x14ac:dyDescent="0.5">
      <c r="A336" s="1">
        <v>45975</v>
      </c>
      <c r="B336" s="2">
        <v>7.5</v>
      </c>
      <c r="C336" s="58"/>
      <c r="D336" s="38" t="s">
        <v>176</v>
      </c>
    </row>
    <row r="337" spans="1:4" x14ac:dyDescent="0.5">
      <c r="A337" s="1">
        <v>45976</v>
      </c>
      <c r="B337" s="2">
        <v>9</v>
      </c>
      <c r="C337" s="58"/>
      <c r="D337" s="38" t="s">
        <v>176</v>
      </c>
    </row>
    <row r="338" spans="1:4" x14ac:dyDescent="0.5">
      <c r="A338" s="1">
        <v>45977</v>
      </c>
      <c r="B338" s="2">
        <v>6.8</v>
      </c>
      <c r="C338" s="58"/>
      <c r="D338" s="38" t="s">
        <v>176</v>
      </c>
    </row>
    <row r="339" spans="1:4" x14ac:dyDescent="0.5">
      <c r="A339" s="1">
        <v>45978</v>
      </c>
      <c r="B339" s="2">
        <v>7</v>
      </c>
      <c r="C339" s="58"/>
      <c r="D339" s="38" t="s">
        <v>176</v>
      </c>
    </row>
    <row r="340" spans="1:4" x14ac:dyDescent="0.5">
      <c r="A340" s="1">
        <v>45979</v>
      </c>
      <c r="B340" s="2">
        <v>6</v>
      </c>
      <c r="C340" s="58"/>
      <c r="D340" s="38" t="s">
        <v>176</v>
      </c>
    </row>
    <row r="341" spans="1:4" x14ac:dyDescent="0.5">
      <c r="A341" s="1">
        <v>45980</v>
      </c>
      <c r="B341" s="2">
        <v>6</v>
      </c>
      <c r="C341" s="58"/>
      <c r="D341" s="38" t="s">
        <v>176</v>
      </c>
    </row>
    <row r="342" spans="1:4" x14ac:dyDescent="0.5">
      <c r="A342" s="1">
        <v>45981</v>
      </c>
      <c r="B342" s="2">
        <v>5.6</v>
      </c>
      <c r="C342" s="58"/>
      <c r="D342" s="38" t="s">
        <v>176</v>
      </c>
    </row>
    <row r="343" spans="1:4" x14ac:dyDescent="0.5">
      <c r="A343" s="1">
        <v>45982</v>
      </c>
      <c r="B343" s="2">
        <v>5.5</v>
      </c>
      <c r="C343" s="58"/>
      <c r="D343" s="38" t="s">
        <v>176</v>
      </c>
    </row>
    <row r="344" spans="1:4" x14ac:dyDescent="0.5">
      <c r="A344" s="1">
        <v>45983</v>
      </c>
      <c r="B344" s="2">
        <v>5</v>
      </c>
      <c r="C344" s="58"/>
      <c r="D344" s="38" t="s">
        <v>176</v>
      </c>
    </row>
    <row r="345" spans="1:4" x14ac:dyDescent="0.5">
      <c r="A345" s="1">
        <v>45984</v>
      </c>
      <c r="B345" s="2">
        <v>8</v>
      </c>
      <c r="C345" s="58"/>
      <c r="D345" s="38" t="s">
        <v>176</v>
      </c>
    </row>
    <row r="346" spans="1:4" x14ac:dyDescent="0.5">
      <c r="A346" s="1">
        <v>45985</v>
      </c>
      <c r="B346" s="2">
        <v>7.5</v>
      </c>
      <c r="C346" s="58"/>
      <c r="D346" s="38" t="s">
        <v>409</v>
      </c>
    </row>
    <row r="347" spans="1:4" x14ac:dyDescent="0.5">
      <c r="A347" s="1">
        <v>45986</v>
      </c>
      <c r="B347" s="2">
        <v>10</v>
      </c>
      <c r="C347" s="58"/>
      <c r="D347" s="38" t="s">
        <v>410</v>
      </c>
    </row>
    <row r="348" spans="1:4" x14ac:dyDescent="0.5">
      <c r="A348" s="1">
        <v>45987</v>
      </c>
      <c r="B348" s="2">
        <v>9.9</v>
      </c>
      <c r="C348" s="58"/>
      <c r="D348" s="38" t="s">
        <v>411</v>
      </c>
    </row>
    <row r="349" spans="1:4" x14ac:dyDescent="0.5">
      <c r="A349" s="1">
        <v>45988</v>
      </c>
      <c r="B349" s="2">
        <v>4.7</v>
      </c>
      <c r="C349" s="58"/>
      <c r="D349" s="38" t="s">
        <v>412</v>
      </c>
    </row>
    <row r="350" spans="1:4" x14ac:dyDescent="0.5">
      <c r="A350" s="1">
        <v>45989</v>
      </c>
      <c r="B350" s="2">
        <v>5.3</v>
      </c>
      <c r="C350" s="58"/>
      <c r="D350" s="38" t="s">
        <v>176</v>
      </c>
    </row>
    <row r="351" spans="1:4" x14ac:dyDescent="0.5">
      <c r="A351" s="1">
        <v>45990</v>
      </c>
      <c r="B351" s="2">
        <v>4.7</v>
      </c>
      <c r="C351" s="58"/>
      <c r="D351" s="38" t="s">
        <v>176</v>
      </c>
    </row>
    <row r="352" spans="1:4" x14ac:dyDescent="0.5">
      <c r="A352" s="1">
        <v>45991</v>
      </c>
      <c r="B352" s="2">
        <v>7</v>
      </c>
      <c r="C352" s="58"/>
      <c r="D352" s="38" t="s">
        <v>176</v>
      </c>
    </row>
    <row r="353" spans="1:4" x14ac:dyDescent="0.5">
      <c r="A353" s="1">
        <v>45992</v>
      </c>
      <c r="B353" s="2">
        <v>7</v>
      </c>
      <c r="C353" s="58"/>
      <c r="D353" s="38" t="s">
        <v>261</v>
      </c>
    </row>
    <row r="354" spans="1:4" x14ac:dyDescent="0.5">
      <c r="A354" s="1">
        <v>45993</v>
      </c>
      <c r="B354" s="2">
        <v>7</v>
      </c>
      <c r="C354" s="58"/>
      <c r="D354" s="38" t="s">
        <v>194</v>
      </c>
    </row>
    <row r="355" spans="1:4" x14ac:dyDescent="0.5">
      <c r="A355" s="1">
        <v>45994</v>
      </c>
      <c r="B355" s="2">
        <v>5</v>
      </c>
      <c r="C355" s="58"/>
      <c r="D355" s="38" t="s">
        <v>194</v>
      </c>
    </row>
    <row r="356" spans="1:4" x14ac:dyDescent="0.5">
      <c r="A356" s="1">
        <v>45995</v>
      </c>
      <c r="B356" s="2">
        <v>5.8</v>
      </c>
      <c r="C356" s="58"/>
      <c r="D356" s="38" t="s">
        <v>194</v>
      </c>
    </row>
    <row r="357" spans="1:4" x14ac:dyDescent="0.5">
      <c r="A357" s="1">
        <v>45996</v>
      </c>
      <c r="B357" s="2">
        <v>5.5</v>
      </c>
      <c r="C357" s="58"/>
      <c r="D357" s="38" t="s">
        <v>414</v>
      </c>
    </row>
    <row r="358" spans="1:4" x14ac:dyDescent="0.5">
      <c r="A358" s="1">
        <v>45997</v>
      </c>
      <c r="B358" s="2">
        <v>5.4</v>
      </c>
      <c r="C358" s="58"/>
      <c r="D358" s="38" t="s">
        <v>415</v>
      </c>
    </row>
    <row r="359" spans="1:4" x14ac:dyDescent="0.5">
      <c r="A359" s="1">
        <v>45998</v>
      </c>
      <c r="B359" s="2">
        <v>5.3</v>
      </c>
      <c r="C359" s="58"/>
      <c r="D359" s="38" t="s">
        <v>416</v>
      </c>
    </row>
    <row r="360" spans="1:4" x14ac:dyDescent="0.5">
      <c r="A360" s="1">
        <v>45999</v>
      </c>
      <c r="B360" s="2">
        <v>4.5</v>
      </c>
      <c r="C360" s="58"/>
      <c r="D360" s="38" t="s">
        <v>194</v>
      </c>
    </row>
    <row r="361" spans="1:4" x14ac:dyDescent="0.5">
      <c r="A361" s="1">
        <v>46000</v>
      </c>
      <c r="B361" s="2">
        <v>4.7</v>
      </c>
      <c r="C361" s="58"/>
      <c r="D361" s="38" t="s">
        <v>194</v>
      </c>
    </row>
    <row r="362" spans="1:4" x14ac:dyDescent="0.5">
      <c r="A362" s="1">
        <v>46001</v>
      </c>
      <c r="B362" s="2">
        <v>5</v>
      </c>
      <c r="C362" s="58"/>
      <c r="D362" s="38" t="s">
        <v>194</v>
      </c>
    </row>
    <row r="363" spans="1:4" x14ac:dyDescent="0.5">
      <c r="A363" s="1">
        <v>46002</v>
      </c>
      <c r="B363" s="2">
        <v>5.5</v>
      </c>
      <c r="C363" s="58"/>
      <c r="D363" s="38" t="s">
        <v>194</v>
      </c>
    </row>
    <row r="364" spans="1:4" x14ac:dyDescent="0.5">
      <c r="A364" s="1">
        <v>46003</v>
      </c>
      <c r="B364" s="2">
        <v>6</v>
      </c>
      <c r="C364" s="58"/>
      <c r="D364" s="38" t="s">
        <v>194</v>
      </c>
    </row>
    <row r="365" spans="1:4" x14ac:dyDescent="0.5">
      <c r="A365" s="1">
        <v>46004</v>
      </c>
      <c r="B365" s="2">
        <v>8</v>
      </c>
      <c r="C365" s="58"/>
      <c r="D365" s="38" t="s">
        <v>194</v>
      </c>
    </row>
    <row r="366" spans="1:4" x14ac:dyDescent="0.5">
      <c r="A366" s="1">
        <v>46005</v>
      </c>
      <c r="B366" s="2">
        <v>6</v>
      </c>
      <c r="C366" s="58"/>
      <c r="D366" s="38" t="s">
        <v>194</v>
      </c>
    </row>
    <row r="367" spans="1:4" x14ac:dyDescent="0.5">
      <c r="A367" s="1">
        <v>46006</v>
      </c>
      <c r="B367" s="2">
        <v>8</v>
      </c>
      <c r="C367" s="58"/>
      <c r="D367" s="38" t="s">
        <v>194</v>
      </c>
    </row>
    <row r="368" spans="1:4" x14ac:dyDescent="0.5">
      <c r="A368" s="1">
        <v>46007</v>
      </c>
      <c r="B368" s="2">
        <v>4.0999999999999996</v>
      </c>
      <c r="C368" s="58"/>
      <c r="D368" s="38" t="s">
        <v>194</v>
      </c>
    </row>
    <row r="369" spans="1:4" x14ac:dyDescent="0.5">
      <c r="A369" s="1">
        <v>46008</v>
      </c>
      <c r="B369" s="2">
        <v>4.5</v>
      </c>
      <c r="C369" s="58"/>
      <c r="D369" s="38" t="s">
        <v>194</v>
      </c>
    </row>
    <row r="370" spans="1:4" x14ac:dyDescent="0.5">
      <c r="A370" s="1">
        <v>46009</v>
      </c>
      <c r="B370" s="2">
        <v>3</v>
      </c>
      <c r="C370" s="58"/>
      <c r="D370" s="38" t="s">
        <v>194</v>
      </c>
    </row>
    <row r="371" spans="1:4" x14ac:dyDescent="0.5">
      <c r="A371" s="1">
        <v>46010</v>
      </c>
      <c r="B371" s="2">
        <v>8</v>
      </c>
      <c r="C371" s="58"/>
      <c r="D371" s="38" t="s">
        <v>194</v>
      </c>
    </row>
    <row r="372" spans="1:4" x14ac:dyDescent="0.5">
      <c r="A372" s="1">
        <v>46011</v>
      </c>
      <c r="B372" s="2">
        <v>5.5</v>
      </c>
      <c r="C372" s="58"/>
      <c r="D372" s="38" t="s">
        <v>194</v>
      </c>
    </row>
    <row r="373" spans="1:4" x14ac:dyDescent="0.5">
      <c r="A373" s="1">
        <v>46012</v>
      </c>
      <c r="B373" s="2">
        <v>6</v>
      </c>
      <c r="C373" s="58"/>
      <c r="D373" s="38" t="s">
        <v>194</v>
      </c>
    </row>
    <row r="374" spans="1:4" x14ac:dyDescent="0.5">
      <c r="A374" s="1">
        <v>46013</v>
      </c>
      <c r="B374" s="2">
        <v>4.9000000000000004</v>
      </c>
      <c r="C374" s="58"/>
      <c r="D374" s="38" t="s">
        <v>194</v>
      </c>
    </row>
    <row r="375" spans="1:4" x14ac:dyDescent="0.5">
      <c r="A375" s="1">
        <v>46014</v>
      </c>
      <c r="B375" s="2">
        <v>5.3</v>
      </c>
      <c r="C375" s="58"/>
      <c r="D375" s="38" t="s">
        <v>194</v>
      </c>
    </row>
    <row r="376" spans="1:4" x14ac:dyDescent="0.5">
      <c r="A376" s="1">
        <v>46015</v>
      </c>
      <c r="B376" s="2">
        <v>5</v>
      </c>
      <c r="C376" s="58"/>
      <c r="D376" s="38" t="s">
        <v>194</v>
      </c>
    </row>
    <row r="377" spans="1:4" x14ac:dyDescent="0.5">
      <c r="A377" s="1">
        <v>46016</v>
      </c>
      <c r="B377" s="2">
        <v>6</v>
      </c>
      <c r="C377" s="58"/>
      <c r="D377" s="38" t="s">
        <v>194</v>
      </c>
    </row>
    <row r="378" spans="1:4" x14ac:dyDescent="0.5">
      <c r="A378" s="1">
        <v>46017</v>
      </c>
      <c r="B378" s="2">
        <v>8</v>
      </c>
      <c r="C378" s="58"/>
      <c r="D378" s="38" t="s">
        <v>195</v>
      </c>
    </row>
    <row r="379" spans="1:4" x14ac:dyDescent="0.5">
      <c r="A379" s="1">
        <v>46018</v>
      </c>
      <c r="B379" s="2">
        <v>5</v>
      </c>
      <c r="C379" s="58"/>
      <c r="D379" s="38" t="s">
        <v>194</v>
      </c>
    </row>
    <row r="380" spans="1:4" x14ac:dyDescent="0.5">
      <c r="A380" s="1">
        <v>46019</v>
      </c>
      <c r="B380" s="2">
        <v>6</v>
      </c>
      <c r="C380" s="58"/>
      <c r="D380" s="38" t="s">
        <v>194</v>
      </c>
    </row>
    <row r="381" spans="1:4" x14ac:dyDescent="0.5">
      <c r="A381" s="1">
        <v>46020</v>
      </c>
      <c r="B381" s="2">
        <v>5</v>
      </c>
      <c r="C381" s="58"/>
      <c r="D381" s="38" t="s">
        <v>194</v>
      </c>
    </row>
    <row r="382" spans="1:4" x14ac:dyDescent="0.5">
      <c r="A382" s="1">
        <v>46021</v>
      </c>
      <c r="B382" s="2">
        <v>6</v>
      </c>
      <c r="C382" s="58"/>
      <c r="D382" s="38" t="s">
        <v>194</v>
      </c>
    </row>
    <row r="383" spans="1:4" x14ac:dyDescent="0.5">
      <c r="A383" s="1">
        <v>46022</v>
      </c>
      <c r="B383" s="2">
        <v>5</v>
      </c>
      <c r="C383" s="58"/>
      <c r="D383" s="38" t="s">
        <v>194</v>
      </c>
    </row>
  </sheetData>
  <mergeCells count="5">
    <mergeCell ref="A1:A3"/>
    <mergeCell ref="A4:A6"/>
    <mergeCell ref="A7:A9"/>
    <mergeCell ref="A10:A11"/>
    <mergeCell ref="A12:A13"/>
  </mergeCells>
  <conditionalFormatting sqref="B19:B2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3:B3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2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3:C38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F857-BCDF-4232-9F73-57DA6BE62066}">
  <dimension ref="A1:B943"/>
  <sheetViews>
    <sheetView topLeftCell="A23" zoomScale="70" workbookViewId="0">
      <selection activeCell="K865" sqref="K865"/>
    </sheetView>
  </sheetViews>
  <sheetFormatPr defaultRowHeight="14.35" x14ac:dyDescent="0.5"/>
  <cols>
    <col min="1" max="1" width="9.9375" bestFit="1" customWidth="1"/>
  </cols>
  <sheetData>
    <row r="1" spans="1:2" x14ac:dyDescent="0.5">
      <c r="A1" t="s">
        <v>108</v>
      </c>
      <c r="B1" t="s">
        <v>24</v>
      </c>
    </row>
    <row r="2" spans="1:2" x14ac:dyDescent="0.5">
      <c r="A2" s="1">
        <v>45292</v>
      </c>
      <c r="B2" s="2">
        <v>6</v>
      </c>
    </row>
    <row r="3" spans="1:2" x14ac:dyDescent="0.5">
      <c r="A3" s="1">
        <v>45293</v>
      </c>
      <c r="B3" s="2">
        <v>4</v>
      </c>
    </row>
    <row r="4" spans="1:2" x14ac:dyDescent="0.5">
      <c r="A4" s="1">
        <v>45294</v>
      </c>
      <c r="B4" s="2">
        <v>6</v>
      </c>
    </row>
    <row r="5" spans="1:2" x14ac:dyDescent="0.5">
      <c r="A5" s="1">
        <v>45295</v>
      </c>
      <c r="B5" s="2">
        <v>8</v>
      </c>
    </row>
    <row r="6" spans="1:2" x14ac:dyDescent="0.5">
      <c r="A6" s="1">
        <v>45296</v>
      </c>
      <c r="B6" s="2">
        <v>6</v>
      </c>
    </row>
    <row r="7" spans="1:2" x14ac:dyDescent="0.5">
      <c r="A7" s="1">
        <v>45297</v>
      </c>
      <c r="B7" s="2">
        <v>8</v>
      </c>
    </row>
    <row r="8" spans="1:2" x14ac:dyDescent="0.5">
      <c r="A8" s="1">
        <v>45298</v>
      </c>
      <c r="B8" s="2">
        <v>0</v>
      </c>
    </row>
    <row r="9" spans="1:2" x14ac:dyDescent="0.5">
      <c r="A9" s="1">
        <v>45299</v>
      </c>
      <c r="B9" s="2">
        <v>4</v>
      </c>
    </row>
    <row r="10" spans="1:2" x14ac:dyDescent="0.5">
      <c r="A10" s="1">
        <v>45300</v>
      </c>
      <c r="B10" s="2">
        <v>6</v>
      </c>
    </row>
    <row r="11" spans="1:2" x14ac:dyDescent="0.5">
      <c r="A11" s="1">
        <v>45301</v>
      </c>
      <c r="B11" s="2">
        <v>4</v>
      </c>
    </row>
    <row r="12" spans="1:2" x14ac:dyDescent="0.5">
      <c r="A12" s="1">
        <v>45302</v>
      </c>
      <c r="B12" s="2">
        <v>6</v>
      </c>
    </row>
    <row r="13" spans="1:2" x14ac:dyDescent="0.5">
      <c r="A13" s="1">
        <v>45303</v>
      </c>
      <c r="B13" s="2">
        <v>6</v>
      </c>
    </row>
    <row r="14" spans="1:2" x14ac:dyDescent="0.5">
      <c r="A14" s="1">
        <v>45304</v>
      </c>
      <c r="B14" s="2">
        <v>2</v>
      </c>
    </row>
    <row r="15" spans="1:2" x14ac:dyDescent="0.5">
      <c r="A15" s="1">
        <v>45305</v>
      </c>
      <c r="B15" s="2">
        <v>4</v>
      </c>
    </row>
    <row r="16" spans="1:2" x14ac:dyDescent="0.5">
      <c r="A16" s="1">
        <v>45306</v>
      </c>
      <c r="B16" s="2">
        <v>6</v>
      </c>
    </row>
    <row r="17" spans="1:2" x14ac:dyDescent="0.5">
      <c r="A17" s="1">
        <v>45307</v>
      </c>
      <c r="B17" s="2">
        <v>0</v>
      </c>
    </row>
    <row r="18" spans="1:2" x14ac:dyDescent="0.5">
      <c r="A18" s="1">
        <v>45308</v>
      </c>
      <c r="B18" s="2">
        <v>6</v>
      </c>
    </row>
    <row r="19" spans="1:2" x14ac:dyDescent="0.5">
      <c r="A19" s="1">
        <v>45309</v>
      </c>
      <c r="B19" s="2">
        <v>6</v>
      </c>
    </row>
    <row r="20" spans="1:2" x14ac:dyDescent="0.5">
      <c r="A20" s="1">
        <v>45310</v>
      </c>
      <c r="B20" s="2">
        <v>6</v>
      </c>
    </row>
    <row r="21" spans="1:2" x14ac:dyDescent="0.5">
      <c r="A21" s="1">
        <v>45311</v>
      </c>
      <c r="B21" s="2">
        <v>6</v>
      </c>
    </row>
    <row r="22" spans="1:2" x14ac:dyDescent="0.5">
      <c r="A22" s="1">
        <v>45312</v>
      </c>
      <c r="B22" s="2">
        <v>6</v>
      </c>
    </row>
    <row r="23" spans="1:2" x14ac:dyDescent="0.5">
      <c r="A23" s="1">
        <v>45313</v>
      </c>
      <c r="B23" s="2">
        <v>4</v>
      </c>
    </row>
    <row r="24" spans="1:2" x14ac:dyDescent="0.5">
      <c r="A24" s="1">
        <v>45314</v>
      </c>
      <c r="B24" s="2">
        <v>4</v>
      </c>
    </row>
    <row r="25" spans="1:2" x14ac:dyDescent="0.5">
      <c r="A25" s="1">
        <v>45315</v>
      </c>
      <c r="B25" s="2">
        <v>2</v>
      </c>
    </row>
    <row r="26" spans="1:2" x14ac:dyDescent="0.5">
      <c r="A26" s="1">
        <v>45316</v>
      </c>
      <c r="B26" s="2">
        <v>6</v>
      </c>
    </row>
    <row r="27" spans="1:2" x14ac:dyDescent="0.5">
      <c r="A27" s="1">
        <v>45317</v>
      </c>
      <c r="B27" s="2">
        <v>10</v>
      </c>
    </row>
    <row r="28" spans="1:2" x14ac:dyDescent="0.5">
      <c r="A28" s="1">
        <v>45318</v>
      </c>
      <c r="B28" s="2">
        <v>10</v>
      </c>
    </row>
    <row r="29" spans="1:2" x14ac:dyDescent="0.5">
      <c r="A29" s="1">
        <v>45319</v>
      </c>
      <c r="B29" s="2">
        <v>10</v>
      </c>
    </row>
    <row r="30" spans="1:2" x14ac:dyDescent="0.5">
      <c r="A30" s="1">
        <v>45320</v>
      </c>
      <c r="B30" s="2">
        <v>4</v>
      </c>
    </row>
    <row r="31" spans="1:2" x14ac:dyDescent="0.5">
      <c r="A31" s="1">
        <v>45321</v>
      </c>
      <c r="B31" s="2">
        <v>4</v>
      </c>
    </row>
    <row r="32" spans="1:2" x14ac:dyDescent="0.5">
      <c r="A32" s="1">
        <v>45322</v>
      </c>
      <c r="B32" s="2">
        <v>4</v>
      </c>
    </row>
    <row r="33" spans="1:2" x14ac:dyDescent="0.5">
      <c r="A33" s="1">
        <v>45323</v>
      </c>
      <c r="B33" s="2">
        <v>6</v>
      </c>
    </row>
    <row r="34" spans="1:2" x14ac:dyDescent="0.5">
      <c r="A34" s="1">
        <v>45324</v>
      </c>
      <c r="B34" s="2">
        <v>6</v>
      </c>
    </row>
    <row r="35" spans="1:2" x14ac:dyDescent="0.5">
      <c r="A35" s="1">
        <v>45325</v>
      </c>
      <c r="B35" s="2">
        <v>6</v>
      </c>
    </row>
    <row r="36" spans="1:2" x14ac:dyDescent="0.5">
      <c r="A36" s="1">
        <v>45326</v>
      </c>
      <c r="B36" s="2">
        <v>4</v>
      </c>
    </row>
    <row r="37" spans="1:2" x14ac:dyDescent="0.5">
      <c r="A37" s="1">
        <v>45327</v>
      </c>
      <c r="B37" s="2">
        <v>2</v>
      </c>
    </row>
    <row r="38" spans="1:2" x14ac:dyDescent="0.5">
      <c r="A38" s="1">
        <v>45328</v>
      </c>
      <c r="B38" s="2">
        <v>6</v>
      </c>
    </row>
    <row r="39" spans="1:2" x14ac:dyDescent="0.5">
      <c r="A39" s="1">
        <v>45329</v>
      </c>
      <c r="B39" s="2">
        <v>4</v>
      </c>
    </row>
    <row r="40" spans="1:2" x14ac:dyDescent="0.5">
      <c r="A40" s="1">
        <v>45330</v>
      </c>
      <c r="B40" s="2">
        <v>6</v>
      </c>
    </row>
    <row r="41" spans="1:2" x14ac:dyDescent="0.5">
      <c r="A41" s="1">
        <v>45331</v>
      </c>
      <c r="B41" s="2">
        <v>6</v>
      </c>
    </row>
    <row r="42" spans="1:2" x14ac:dyDescent="0.5">
      <c r="A42" s="1">
        <v>45332</v>
      </c>
      <c r="B42" s="2">
        <v>4</v>
      </c>
    </row>
    <row r="43" spans="1:2" x14ac:dyDescent="0.5">
      <c r="A43" s="1">
        <v>45333</v>
      </c>
      <c r="B43" s="2">
        <v>4</v>
      </c>
    </row>
    <row r="44" spans="1:2" x14ac:dyDescent="0.5">
      <c r="A44" s="1">
        <v>45334</v>
      </c>
      <c r="B44" s="2">
        <v>4</v>
      </c>
    </row>
    <row r="45" spans="1:2" x14ac:dyDescent="0.5">
      <c r="A45" s="1">
        <v>45335</v>
      </c>
      <c r="B45" s="2">
        <v>6</v>
      </c>
    </row>
    <row r="46" spans="1:2" x14ac:dyDescent="0.5">
      <c r="A46" s="1">
        <v>45336</v>
      </c>
      <c r="B46" s="2">
        <v>10</v>
      </c>
    </row>
    <row r="47" spans="1:2" x14ac:dyDescent="0.5">
      <c r="A47" s="1">
        <v>45337</v>
      </c>
      <c r="B47" s="2">
        <v>6</v>
      </c>
    </row>
    <row r="48" spans="1:2" x14ac:dyDescent="0.5">
      <c r="A48" s="1">
        <v>45338</v>
      </c>
      <c r="B48" s="2">
        <v>2</v>
      </c>
    </row>
    <row r="49" spans="1:2" x14ac:dyDescent="0.5">
      <c r="A49" s="1">
        <v>45339</v>
      </c>
      <c r="B49" s="2">
        <v>4</v>
      </c>
    </row>
    <row r="50" spans="1:2" x14ac:dyDescent="0.5">
      <c r="A50" s="1">
        <v>45340</v>
      </c>
      <c r="B50" s="2">
        <v>4</v>
      </c>
    </row>
    <row r="51" spans="1:2" x14ac:dyDescent="0.5">
      <c r="A51" s="1">
        <v>45341</v>
      </c>
      <c r="B51" s="2">
        <v>4</v>
      </c>
    </row>
    <row r="52" spans="1:2" x14ac:dyDescent="0.5">
      <c r="A52" s="1">
        <v>45342</v>
      </c>
      <c r="B52" s="2">
        <v>0</v>
      </c>
    </row>
    <row r="53" spans="1:2" x14ac:dyDescent="0.5">
      <c r="A53" s="1">
        <v>45343</v>
      </c>
      <c r="B53" s="2">
        <v>0</v>
      </c>
    </row>
    <row r="54" spans="1:2" x14ac:dyDescent="0.5">
      <c r="A54" s="1">
        <v>45344</v>
      </c>
      <c r="B54" s="2">
        <v>2</v>
      </c>
    </row>
    <row r="55" spans="1:2" x14ac:dyDescent="0.5">
      <c r="A55" s="1">
        <v>45345</v>
      </c>
      <c r="B55" s="2">
        <v>4</v>
      </c>
    </row>
    <row r="56" spans="1:2" x14ac:dyDescent="0.5">
      <c r="A56" s="1">
        <v>45346</v>
      </c>
      <c r="B56" s="2">
        <v>4</v>
      </c>
    </row>
    <row r="57" spans="1:2" x14ac:dyDescent="0.5">
      <c r="A57" s="1">
        <v>45347</v>
      </c>
      <c r="B57" s="2">
        <v>6</v>
      </c>
    </row>
    <row r="58" spans="1:2" x14ac:dyDescent="0.5">
      <c r="A58" s="1">
        <v>45348</v>
      </c>
      <c r="B58" s="2">
        <v>4</v>
      </c>
    </row>
    <row r="59" spans="1:2" x14ac:dyDescent="0.5">
      <c r="A59" s="1">
        <v>45349</v>
      </c>
      <c r="B59" s="2">
        <v>4</v>
      </c>
    </row>
    <row r="60" spans="1:2" x14ac:dyDescent="0.5">
      <c r="A60" s="1">
        <v>45350</v>
      </c>
      <c r="B60" s="2">
        <v>4</v>
      </c>
    </row>
    <row r="61" spans="1:2" x14ac:dyDescent="0.5">
      <c r="A61" s="1">
        <v>45351</v>
      </c>
      <c r="B61" s="2">
        <v>6</v>
      </c>
    </row>
    <row r="62" spans="1:2" x14ac:dyDescent="0.5">
      <c r="A62" s="1">
        <v>45352</v>
      </c>
      <c r="B62" s="2">
        <v>6</v>
      </c>
    </row>
    <row r="63" spans="1:2" x14ac:dyDescent="0.5">
      <c r="A63" s="1">
        <v>45353</v>
      </c>
      <c r="B63" s="2">
        <v>6</v>
      </c>
    </row>
    <row r="64" spans="1:2" x14ac:dyDescent="0.5">
      <c r="A64" s="1">
        <v>45354</v>
      </c>
      <c r="B64" s="2">
        <v>8</v>
      </c>
    </row>
    <row r="65" spans="1:2" x14ac:dyDescent="0.5">
      <c r="A65" s="1">
        <v>45355</v>
      </c>
      <c r="B65" s="2">
        <v>6</v>
      </c>
    </row>
    <row r="66" spans="1:2" x14ac:dyDescent="0.5">
      <c r="A66" s="1">
        <v>45356</v>
      </c>
      <c r="B66" s="2">
        <v>4</v>
      </c>
    </row>
    <row r="67" spans="1:2" x14ac:dyDescent="0.5">
      <c r="A67" s="1">
        <v>45357</v>
      </c>
      <c r="B67" s="2">
        <v>4</v>
      </c>
    </row>
    <row r="68" spans="1:2" x14ac:dyDescent="0.5">
      <c r="A68" s="1">
        <v>45358</v>
      </c>
      <c r="B68" s="2">
        <v>6</v>
      </c>
    </row>
    <row r="69" spans="1:2" x14ac:dyDescent="0.5">
      <c r="A69" s="1">
        <v>45359</v>
      </c>
      <c r="B69" s="2">
        <v>6</v>
      </c>
    </row>
    <row r="70" spans="1:2" x14ac:dyDescent="0.5">
      <c r="A70" s="1">
        <v>45360</v>
      </c>
      <c r="B70" s="2">
        <v>6</v>
      </c>
    </row>
    <row r="71" spans="1:2" x14ac:dyDescent="0.5">
      <c r="A71" s="1">
        <v>45361</v>
      </c>
      <c r="B71" s="2">
        <v>6</v>
      </c>
    </row>
    <row r="72" spans="1:2" x14ac:dyDescent="0.5">
      <c r="A72" s="1">
        <v>45362</v>
      </c>
      <c r="B72" s="2">
        <v>4</v>
      </c>
    </row>
    <row r="73" spans="1:2" x14ac:dyDescent="0.5">
      <c r="A73" s="1">
        <v>45363</v>
      </c>
      <c r="B73" s="2">
        <v>6</v>
      </c>
    </row>
    <row r="74" spans="1:2" x14ac:dyDescent="0.5">
      <c r="A74" s="1">
        <v>45364</v>
      </c>
      <c r="B74" s="2">
        <v>6</v>
      </c>
    </row>
    <row r="75" spans="1:2" x14ac:dyDescent="0.5">
      <c r="A75" s="1">
        <v>45365</v>
      </c>
      <c r="B75" s="2">
        <v>4</v>
      </c>
    </row>
    <row r="76" spans="1:2" x14ac:dyDescent="0.5">
      <c r="A76" s="1">
        <v>45366</v>
      </c>
      <c r="B76" s="2">
        <v>6</v>
      </c>
    </row>
    <row r="77" spans="1:2" x14ac:dyDescent="0.5">
      <c r="A77" s="1">
        <v>45367</v>
      </c>
      <c r="B77" s="2">
        <v>6</v>
      </c>
    </row>
    <row r="78" spans="1:2" x14ac:dyDescent="0.5">
      <c r="A78" s="1">
        <v>45368</v>
      </c>
      <c r="B78" s="2">
        <v>4</v>
      </c>
    </row>
    <row r="79" spans="1:2" x14ac:dyDescent="0.5">
      <c r="A79" s="1">
        <v>45369</v>
      </c>
      <c r="B79" s="2">
        <v>6</v>
      </c>
    </row>
    <row r="80" spans="1:2" x14ac:dyDescent="0.5">
      <c r="A80" s="1">
        <v>45370</v>
      </c>
      <c r="B80" s="2">
        <v>2</v>
      </c>
    </row>
    <row r="81" spans="1:2" x14ac:dyDescent="0.5">
      <c r="A81" s="1">
        <v>45371</v>
      </c>
      <c r="B81" s="2">
        <v>8</v>
      </c>
    </row>
    <row r="82" spans="1:2" x14ac:dyDescent="0.5">
      <c r="A82" s="1">
        <v>45372</v>
      </c>
      <c r="B82" s="2">
        <v>6</v>
      </c>
    </row>
    <row r="83" spans="1:2" x14ac:dyDescent="0.5">
      <c r="A83" s="1">
        <v>45373</v>
      </c>
      <c r="B83" s="2">
        <v>8</v>
      </c>
    </row>
    <row r="84" spans="1:2" x14ac:dyDescent="0.5">
      <c r="A84" s="1">
        <v>45374</v>
      </c>
      <c r="B84" s="2">
        <v>6</v>
      </c>
    </row>
    <row r="85" spans="1:2" x14ac:dyDescent="0.5">
      <c r="A85" s="1">
        <v>45375</v>
      </c>
      <c r="B85" s="2">
        <v>2</v>
      </c>
    </row>
    <row r="86" spans="1:2" x14ac:dyDescent="0.5">
      <c r="A86" s="1">
        <v>45376</v>
      </c>
      <c r="B86" s="2">
        <v>8</v>
      </c>
    </row>
    <row r="87" spans="1:2" x14ac:dyDescent="0.5">
      <c r="A87" s="1">
        <v>45377</v>
      </c>
      <c r="B87" s="2">
        <v>6</v>
      </c>
    </row>
    <row r="88" spans="1:2" x14ac:dyDescent="0.5">
      <c r="A88" s="1">
        <v>45378</v>
      </c>
      <c r="B88" s="2">
        <v>4</v>
      </c>
    </row>
    <row r="89" spans="1:2" x14ac:dyDescent="0.5">
      <c r="A89" s="1">
        <v>45379</v>
      </c>
      <c r="B89" s="2">
        <v>6</v>
      </c>
    </row>
    <row r="90" spans="1:2" x14ac:dyDescent="0.5">
      <c r="A90" s="1">
        <v>45380</v>
      </c>
      <c r="B90" s="2">
        <v>4</v>
      </c>
    </row>
    <row r="91" spans="1:2" x14ac:dyDescent="0.5">
      <c r="A91" s="1">
        <v>45381</v>
      </c>
      <c r="B91" s="2">
        <v>6</v>
      </c>
    </row>
    <row r="92" spans="1:2" x14ac:dyDescent="0.5">
      <c r="A92" s="1">
        <v>45382</v>
      </c>
      <c r="B92" s="2">
        <v>6</v>
      </c>
    </row>
    <row r="93" spans="1:2" x14ac:dyDescent="0.5">
      <c r="A93" s="1">
        <v>45383</v>
      </c>
      <c r="B93" s="2">
        <v>4</v>
      </c>
    </row>
    <row r="94" spans="1:2" x14ac:dyDescent="0.5">
      <c r="A94" s="1">
        <v>45384</v>
      </c>
      <c r="B94" s="2">
        <v>4</v>
      </c>
    </row>
    <row r="95" spans="1:2" x14ac:dyDescent="0.5">
      <c r="A95" s="1">
        <v>45385</v>
      </c>
      <c r="B95" s="2">
        <v>4</v>
      </c>
    </row>
    <row r="96" spans="1:2" x14ac:dyDescent="0.5">
      <c r="A96" s="1">
        <v>45386</v>
      </c>
      <c r="B96" s="2">
        <v>4</v>
      </c>
    </row>
    <row r="97" spans="1:2" x14ac:dyDescent="0.5">
      <c r="A97" s="1">
        <v>45387</v>
      </c>
      <c r="B97" s="2">
        <v>0</v>
      </c>
    </row>
    <row r="98" spans="1:2" x14ac:dyDescent="0.5">
      <c r="A98" s="1">
        <v>45388</v>
      </c>
      <c r="B98" s="2">
        <v>2</v>
      </c>
    </row>
    <row r="99" spans="1:2" x14ac:dyDescent="0.5">
      <c r="A99" s="1">
        <v>45389</v>
      </c>
      <c r="B99" s="2">
        <v>4</v>
      </c>
    </row>
    <row r="100" spans="1:2" x14ac:dyDescent="0.5">
      <c r="A100" s="1">
        <v>45390</v>
      </c>
      <c r="B100" s="2">
        <v>4</v>
      </c>
    </row>
    <row r="101" spans="1:2" x14ac:dyDescent="0.5">
      <c r="A101" s="1">
        <v>45391</v>
      </c>
      <c r="B101" s="2">
        <v>6</v>
      </c>
    </row>
    <row r="102" spans="1:2" x14ac:dyDescent="0.5">
      <c r="A102" s="1">
        <v>45392</v>
      </c>
      <c r="B102" s="2">
        <v>2</v>
      </c>
    </row>
    <row r="103" spans="1:2" x14ac:dyDescent="0.5">
      <c r="A103" s="1">
        <v>45393</v>
      </c>
      <c r="B103" s="2">
        <v>0</v>
      </c>
    </row>
    <row r="104" spans="1:2" x14ac:dyDescent="0.5">
      <c r="A104" s="1">
        <v>45394</v>
      </c>
      <c r="B104" s="2">
        <v>6</v>
      </c>
    </row>
    <row r="105" spans="1:2" x14ac:dyDescent="0.5">
      <c r="A105" s="1">
        <v>45395</v>
      </c>
      <c r="B105" s="2">
        <v>6</v>
      </c>
    </row>
    <row r="106" spans="1:2" x14ac:dyDescent="0.5">
      <c r="A106" s="1">
        <v>45396</v>
      </c>
      <c r="B106" s="2">
        <v>4</v>
      </c>
    </row>
    <row r="107" spans="1:2" x14ac:dyDescent="0.5">
      <c r="A107" s="1">
        <v>45397</v>
      </c>
      <c r="B107" s="2">
        <v>6</v>
      </c>
    </row>
    <row r="108" spans="1:2" x14ac:dyDescent="0.5">
      <c r="A108" s="1">
        <v>45398</v>
      </c>
      <c r="B108" s="2">
        <v>4</v>
      </c>
    </row>
    <row r="109" spans="1:2" x14ac:dyDescent="0.5">
      <c r="A109" s="1">
        <v>45399</v>
      </c>
      <c r="B109" s="2">
        <v>8</v>
      </c>
    </row>
    <row r="110" spans="1:2" x14ac:dyDescent="0.5">
      <c r="A110" s="1">
        <v>45400</v>
      </c>
      <c r="B110" s="2">
        <v>6</v>
      </c>
    </row>
    <row r="111" spans="1:2" x14ac:dyDescent="0.5">
      <c r="A111" s="1">
        <v>45401</v>
      </c>
      <c r="B111" s="2">
        <v>6</v>
      </c>
    </row>
    <row r="112" spans="1:2" x14ac:dyDescent="0.5">
      <c r="A112" s="1">
        <v>45402</v>
      </c>
      <c r="B112" s="2">
        <v>4</v>
      </c>
    </row>
    <row r="113" spans="1:2" x14ac:dyDescent="0.5">
      <c r="A113" s="1">
        <v>45403</v>
      </c>
      <c r="B113" s="2">
        <v>6</v>
      </c>
    </row>
    <row r="114" spans="1:2" x14ac:dyDescent="0.5">
      <c r="A114" s="1">
        <v>45404</v>
      </c>
      <c r="B114" s="2">
        <v>6</v>
      </c>
    </row>
    <row r="115" spans="1:2" x14ac:dyDescent="0.5">
      <c r="A115" s="1">
        <v>45405</v>
      </c>
      <c r="B115" s="2">
        <v>4</v>
      </c>
    </row>
    <row r="116" spans="1:2" x14ac:dyDescent="0.5">
      <c r="A116" s="1">
        <v>45406</v>
      </c>
      <c r="B116" s="2">
        <v>6</v>
      </c>
    </row>
    <row r="117" spans="1:2" x14ac:dyDescent="0.5">
      <c r="A117" s="1">
        <v>45407</v>
      </c>
      <c r="B117" s="2">
        <v>4</v>
      </c>
    </row>
    <row r="118" spans="1:2" x14ac:dyDescent="0.5">
      <c r="A118" s="1">
        <v>45408</v>
      </c>
      <c r="B118" s="2">
        <v>4</v>
      </c>
    </row>
    <row r="119" spans="1:2" x14ac:dyDescent="0.5">
      <c r="A119" s="1">
        <v>45409</v>
      </c>
      <c r="B119" s="2">
        <v>4</v>
      </c>
    </row>
    <row r="120" spans="1:2" x14ac:dyDescent="0.5">
      <c r="A120" s="1">
        <v>45410</v>
      </c>
      <c r="B120" s="2">
        <v>4</v>
      </c>
    </row>
    <row r="121" spans="1:2" x14ac:dyDescent="0.5">
      <c r="A121" s="1">
        <v>45411</v>
      </c>
      <c r="B121" s="2">
        <v>6</v>
      </c>
    </row>
    <row r="122" spans="1:2" x14ac:dyDescent="0.5">
      <c r="A122" s="1">
        <v>45412</v>
      </c>
      <c r="B122" s="2">
        <v>6</v>
      </c>
    </row>
    <row r="123" spans="1:2" x14ac:dyDescent="0.5">
      <c r="A123" s="1">
        <v>45413</v>
      </c>
      <c r="B123" s="2">
        <v>8</v>
      </c>
    </row>
    <row r="124" spans="1:2" x14ac:dyDescent="0.5">
      <c r="A124" s="1">
        <v>45414</v>
      </c>
      <c r="B124" s="2">
        <v>6</v>
      </c>
    </row>
    <row r="125" spans="1:2" x14ac:dyDescent="0.5">
      <c r="A125" s="1">
        <v>45415</v>
      </c>
      <c r="B125" s="2">
        <v>6</v>
      </c>
    </row>
    <row r="126" spans="1:2" x14ac:dyDescent="0.5">
      <c r="A126" s="1">
        <v>45416</v>
      </c>
      <c r="B126" s="2">
        <v>10</v>
      </c>
    </row>
    <row r="127" spans="1:2" x14ac:dyDescent="0.5">
      <c r="A127" s="1">
        <v>45417</v>
      </c>
      <c r="B127" s="2">
        <v>6</v>
      </c>
    </row>
    <row r="128" spans="1:2" x14ac:dyDescent="0.5">
      <c r="A128" s="1">
        <v>45418</v>
      </c>
      <c r="B128" s="2">
        <v>4</v>
      </c>
    </row>
    <row r="129" spans="1:2" x14ac:dyDescent="0.5">
      <c r="A129" s="1">
        <v>45419</v>
      </c>
      <c r="B129" s="2">
        <v>6</v>
      </c>
    </row>
    <row r="130" spans="1:2" x14ac:dyDescent="0.5">
      <c r="A130" s="1">
        <v>45420</v>
      </c>
      <c r="B130" s="2">
        <v>6</v>
      </c>
    </row>
    <row r="131" spans="1:2" x14ac:dyDescent="0.5">
      <c r="A131" s="1">
        <v>45421</v>
      </c>
      <c r="B131" s="2">
        <v>6</v>
      </c>
    </row>
    <row r="132" spans="1:2" x14ac:dyDescent="0.5">
      <c r="A132" s="1">
        <v>45422</v>
      </c>
      <c r="B132" s="2">
        <v>8</v>
      </c>
    </row>
    <row r="133" spans="1:2" x14ac:dyDescent="0.5">
      <c r="A133" s="1">
        <v>45423</v>
      </c>
      <c r="B133" s="2">
        <v>8</v>
      </c>
    </row>
    <row r="134" spans="1:2" x14ac:dyDescent="0.5">
      <c r="A134" s="1">
        <v>45424</v>
      </c>
      <c r="B134" s="2">
        <v>6</v>
      </c>
    </row>
    <row r="135" spans="1:2" x14ac:dyDescent="0.5">
      <c r="A135" s="1">
        <v>45425</v>
      </c>
      <c r="B135" s="2">
        <v>6</v>
      </c>
    </row>
    <row r="136" spans="1:2" x14ac:dyDescent="0.5">
      <c r="A136" s="1">
        <v>45426</v>
      </c>
      <c r="B136" s="2">
        <v>6</v>
      </c>
    </row>
    <row r="137" spans="1:2" x14ac:dyDescent="0.5">
      <c r="A137" s="1">
        <v>45427</v>
      </c>
      <c r="B137" s="2">
        <v>6</v>
      </c>
    </row>
    <row r="138" spans="1:2" x14ac:dyDescent="0.5">
      <c r="A138" s="1">
        <v>45428</v>
      </c>
      <c r="B138" s="2">
        <v>4</v>
      </c>
    </row>
    <row r="139" spans="1:2" x14ac:dyDescent="0.5">
      <c r="A139" s="1">
        <v>45429</v>
      </c>
      <c r="B139" s="2">
        <v>4</v>
      </c>
    </row>
    <row r="140" spans="1:2" x14ac:dyDescent="0.5">
      <c r="A140" s="1">
        <v>45430</v>
      </c>
      <c r="B140" s="2">
        <v>6</v>
      </c>
    </row>
    <row r="141" spans="1:2" x14ac:dyDescent="0.5">
      <c r="A141" s="1">
        <v>45431</v>
      </c>
      <c r="B141" s="2">
        <v>4</v>
      </c>
    </row>
    <row r="142" spans="1:2" x14ac:dyDescent="0.5">
      <c r="A142" s="1">
        <v>45432</v>
      </c>
      <c r="B142" s="2">
        <v>4</v>
      </c>
    </row>
    <row r="143" spans="1:2" x14ac:dyDescent="0.5">
      <c r="A143" s="1">
        <v>45433</v>
      </c>
      <c r="B143" s="2">
        <v>6</v>
      </c>
    </row>
    <row r="144" spans="1:2" x14ac:dyDescent="0.5">
      <c r="A144" s="1">
        <v>45434</v>
      </c>
      <c r="B144" s="2">
        <v>6</v>
      </c>
    </row>
    <row r="145" spans="1:2" x14ac:dyDescent="0.5">
      <c r="A145" s="1">
        <v>45435</v>
      </c>
      <c r="B145" s="2">
        <v>8</v>
      </c>
    </row>
    <row r="146" spans="1:2" x14ac:dyDescent="0.5">
      <c r="A146" s="1">
        <v>45436</v>
      </c>
      <c r="B146" s="2">
        <v>8</v>
      </c>
    </row>
    <row r="147" spans="1:2" x14ac:dyDescent="0.5">
      <c r="A147" s="1">
        <v>45437</v>
      </c>
      <c r="B147" s="2">
        <v>8</v>
      </c>
    </row>
    <row r="148" spans="1:2" x14ac:dyDescent="0.5">
      <c r="A148" s="1">
        <v>45438</v>
      </c>
      <c r="B148" s="2">
        <v>6</v>
      </c>
    </row>
    <row r="149" spans="1:2" x14ac:dyDescent="0.5">
      <c r="A149" s="1">
        <v>45439</v>
      </c>
      <c r="B149" s="2">
        <v>4</v>
      </c>
    </row>
    <row r="150" spans="1:2" x14ac:dyDescent="0.5">
      <c r="A150" s="1">
        <v>45440</v>
      </c>
      <c r="B150" s="2">
        <v>6</v>
      </c>
    </row>
    <row r="151" spans="1:2" x14ac:dyDescent="0.5">
      <c r="A151" s="1">
        <v>45441</v>
      </c>
      <c r="B151" s="2">
        <v>6</v>
      </c>
    </row>
    <row r="152" spans="1:2" x14ac:dyDescent="0.5">
      <c r="A152" s="1">
        <v>45442</v>
      </c>
      <c r="B152" s="2">
        <v>6</v>
      </c>
    </row>
    <row r="153" spans="1:2" x14ac:dyDescent="0.5">
      <c r="A153" s="1">
        <v>45443</v>
      </c>
      <c r="B153" s="2">
        <v>6</v>
      </c>
    </row>
    <row r="154" spans="1:2" x14ac:dyDescent="0.5">
      <c r="A154" s="1">
        <v>45444</v>
      </c>
      <c r="B154" s="2">
        <v>6</v>
      </c>
    </row>
    <row r="155" spans="1:2" x14ac:dyDescent="0.5">
      <c r="A155" s="1">
        <v>45445</v>
      </c>
      <c r="B155" s="2">
        <v>6</v>
      </c>
    </row>
    <row r="156" spans="1:2" x14ac:dyDescent="0.5">
      <c r="A156" s="1">
        <v>45446</v>
      </c>
      <c r="B156" s="2">
        <v>4</v>
      </c>
    </row>
    <row r="157" spans="1:2" x14ac:dyDescent="0.5">
      <c r="A157" s="1">
        <v>45447</v>
      </c>
      <c r="B157" s="2">
        <v>8</v>
      </c>
    </row>
    <row r="158" spans="1:2" x14ac:dyDescent="0.5">
      <c r="A158" s="1">
        <v>45448</v>
      </c>
      <c r="B158" s="2">
        <v>10</v>
      </c>
    </row>
    <row r="159" spans="1:2" x14ac:dyDescent="0.5">
      <c r="A159" s="1">
        <v>45449</v>
      </c>
      <c r="B159" s="2">
        <v>6</v>
      </c>
    </row>
    <row r="160" spans="1:2" x14ac:dyDescent="0.5">
      <c r="A160" s="1">
        <v>45450</v>
      </c>
      <c r="B160" s="2">
        <v>4</v>
      </c>
    </row>
    <row r="161" spans="1:2" x14ac:dyDescent="0.5">
      <c r="A161" s="1">
        <v>45451</v>
      </c>
      <c r="B161" s="2">
        <v>6</v>
      </c>
    </row>
    <row r="162" spans="1:2" x14ac:dyDescent="0.5">
      <c r="A162" s="1">
        <v>45452</v>
      </c>
      <c r="B162" s="2">
        <v>6</v>
      </c>
    </row>
    <row r="163" spans="1:2" x14ac:dyDescent="0.5">
      <c r="A163" s="1">
        <v>45453</v>
      </c>
      <c r="B163" s="2">
        <v>6</v>
      </c>
    </row>
    <row r="164" spans="1:2" x14ac:dyDescent="0.5">
      <c r="A164" s="1">
        <v>45454</v>
      </c>
      <c r="B164" s="2">
        <v>0</v>
      </c>
    </row>
    <row r="165" spans="1:2" x14ac:dyDescent="0.5">
      <c r="A165" s="1">
        <v>45455</v>
      </c>
      <c r="B165" s="2">
        <v>4</v>
      </c>
    </row>
    <row r="166" spans="1:2" x14ac:dyDescent="0.5">
      <c r="A166" s="1">
        <v>45456</v>
      </c>
      <c r="B166" s="2">
        <v>4</v>
      </c>
    </row>
    <row r="167" spans="1:2" x14ac:dyDescent="0.5">
      <c r="A167" s="1">
        <v>45457</v>
      </c>
      <c r="B167" s="2">
        <v>4</v>
      </c>
    </row>
    <row r="168" spans="1:2" x14ac:dyDescent="0.5">
      <c r="A168" s="1">
        <v>45458</v>
      </c>
      <c r="B168" s="2">
        <v>6</v>
      </c>
    </row>
    <row r="169" spans="1:2" x14ac:dyDescent="0.5">
      <c r="A169" s="1">
        <v>45459</v>
      </c>
      <c r="B169" s="2">
        <v>6</v>
      </c>
    </row>
    <row r="170" spans="1:2" x14ac:dyDescent="0.5">
      <c r="A170" s="1">
        <v>45460</v>
      </c>
      <c r="B170" s="2">
        <v>4</v>
      </c>
    </row>
    <row r="171" spans="1:2" x14ac:dyDescent="0.5">
      <c r="A171" s="1">
        <v>45461</v>
      </c>
      <c r="B171" s="2">
        <v>4</v>
      </c>
    </row>
    <row r="172" spans="1:2" x14ac:dyDescent="0.5">
      <c r="A172" s="1">
        <v>45462</v>
      </c>
      <c r="B172" s="2">
        <v>10</v>
      </c>
    </row>
    <row r="173" spans="1:2" x14ac:dyDescent="0.5">
      <c r="A173" s="1">
        <v>45463</v>
      </c>
      <c r="B173" s="2">
        <v>2</v>
      </c>
    </row>
    <row r="174" spans="1:2" x14ac:dyDescent="0.5">
      <c r="A174" s="1">
        <v>45464</v>
      </c>
      <c r="B174" s="2">
        <v>2</v>
      </c>
    </row>
    <row r="175" spans="1:2" x14ac:dyDescent="0.5">
      <c r="A175" s="1">
        <v>45465</v>
      </c>
      <c r="B175" s="2">
        <v>4</v>
      </c>
    </row>
    <row r="176" spans="1:2" x14ac:dyDescent="0.5">
      <c r="A176" s="1">
        <v>45466</v>
      </c>
      <c r="B176" s="2">
        <v>4</v>
      </c>
    </row>
    <row r="177" spans="1:2" x14ac:dyDescent="0.5">
      <c r="A177" s="1">
        <v>45467</v>
      </c>
      <c r="B177" s="2">
        <v>6</v>
      </c>
    </row>
    <row r="178" spans="1:2" x14ac:dyDescent="0.5">
      <c r="A178" s="1">
        <v>45468</v>
      </c>
      <c r="B178" s="2">
        <v>4</v>
      </c>
    </row>
    <row r="179" spans="1:2" x14ac:dyDescent="0.5">
      <c r="A179" s="1">
        <v>45469</v>
      </c>
      <c r="B179" s="2">
        <v>4</v>
      </c>
    </row>
    <row r="180" spans="1:2" x14ac:dyDescent="0.5">
      <c r="A180" s="1">
        <v>45470</v>
      </c>
      <c r="B180" s="2">
        <v>6</v>
      </c>
    </row>
    <row r="181" spans="1:2" x14ac:dyDescent="0.5">
      <c r="A181" s="1">
        <v>45471</v>
      </c>
      <c r="B181" s="2">
        <v>10</v>
      </c>
    </row>
    <row r="182" spans="1:2" x14ac:dyDescent="0.5">
      <c r="A182" s="1">
        <v>45472</v>
      </c>
      <c r="B182" s="2">
        <v>8</v>
      </c>
    </row>
    <row r="183" spans="1:2" x14ac:dyDescent="0.5">
      <c r="A183" s="1">
        <v>45473</v>
      </c>
      <c r="B183" s="2">
        <v>6</v>
      </c>
    </row>
    <row r="184" spans="1:2" x14ac:dyDescent="0.5">
      <c r="A184" s="1">
        <v>45474</v>
      </c>
      <c r="B184" s="2">
        <v>6</v>
      </c>
    </row>
    <row r="185" spans="1:2" x14ac:dyDescent="0.5">
      <c r="A185" s="1">
        <v>45475</v>
      </c>
      <c r="B185" s="2">
        <v>4</v>
      </c>
    </row>
    <row r="186" spans="1:2" x14ac:dyDescent="0.5">
      <c r="A186" s="1">
        <v>45476</v>
      </c>
      <c r="B186" s="2">
        <v>2</v>
      </c>
    </row>
    <row r="187" spans="1:2" x14ac:dyDescent="0.5">
      <c r="A187" s="1">
        <v>45477</v>
      </c>
      <c r="B187" s="2">
        <v>4</v>
      </c>
    </row>
    <row r="188" spans="1:2" x14ac:dyDescent="0.5">
      <c r="A188" s="1">
        <v>45478</v>
      </c>
      <c r="B188" s="2">
        <v>4</v>
      </c>
    </row>
    <row r="189" spans="1:2" x14ac:dyDescent="0.5">
      <c r="A189" s="1">
        <v>45479</v>
      </c>
      <c r="B189" s="2">
        <v>10</v>
      </c>
    </row>
    <row r="190" spans="1:2" x14ac:dyDescent="0.5">
      <c r="A190" s="1">
        <v>45480</v>
      </c>
      <c r="B190" s="2">
        <v>6</v>
      </c>
    </row>
    <row r="191" spans="1:2" x14ac:dyDescent="0.5">
      <c r="A191" s="1">
        <v>45481</v>
      </c>
      <c r="B191" s="2">
        <v>4</v>
      </c>
    </row>
    <row r="192" spans="1:2" x14ac:dyDescent="0.5">
      <c r="A192" s="1">
        <v>45482</v>
      </c>
      <c r="B192" s="2">
        <v>4</v>
      </c>
    </row>
    <row r="193" spans="1:2" x14ac:dyDescent="0.5">
      <c r="A193" s="1">
        <v>45483</v>
      </c>
      <c r="B193" s="2">
        <v>4</v>
      </c>
    </row>
    <row r="194" spans="1:2" x14ac:dyDescent="0.5">
      <c r="A194" s="1">
        <v>45484</v>
      </c>
      <c r="B194" s="2">
        <v>6</v>
      </c>
    </row>
    <row r="195" spans="1:2" x14ac:dyDescent="0.5">
      <c r="A195" s="1">
        <v>45485</v>
      </c>
      <c r="B195" s="2">
        <v>4</v>
      </c>
    </row>
    <row r="196" spans="1:2" x14ac:dyDescent="0.5">
      <c r="A196" s="1">
        <v>45486</v>
      </c>
      <c r="B196" s="2">
        <v>10</v>
      </c>
    </row>
    <row r="197" spans="1:2" x14ac:dyDescent="0.5">
      <c r="A197" s="1">
        <v>45487</v>
      </c>
      <c r="B197" s="2">
        <v>6</v>
      </c>
    </row>
    <row r="198" spans="1:2" x14ac:dyDescent="0.5">
      <c r="A198" s="1">
        <v>45488</v>
      </c>
      <c r="B198" s="2">
        <v>4</v>
      </c>
    </row>
    <row r="199" spans="1:2" x14ac:dyDescent="0.5">
      <c r="A199" s="1">
        <v>45489</v>
      </c>
      <c r="B199" s="2">
        <v>4</v>
      </c>
    </row>
    <row r="200" spans="1:2" x14ac:dyDescent="0.5">
      <c r="A200" s="1">
        <v>45490</v>
      </c>
      <c r="B200" s="2">
        <v>6</v>
      </c>
    </row>
    <row r="201" spans="1:2" x14ac:dyDescent="0.5">
      <c r="A201" s="1">
        <v>45491</v>
      </c>
      <c r="B201" s="2">
        <v>4</v>
      </c>
    </row>
    <row r="202" spans="1:2" x14ac:dyDescent="0.5">
      <c r="A202" s="1">
        <v>45492</v>
      </c>
      <c r="B202" s="2">
        <v>2</v>
      </c>
    </row>
    <row r="203" spans="1:2" x14ac:dyDescent="0.5">
      <c r="A203" s="1">
        <v>45493</v>
      </c>
      <c r="B203" s="2">
        <v>8</v>
      </c>
    </row>
    <row r="204" spans="1:2" x14ac:dyDescent="0.5">
      <c r="A204" s="1">
        <v>45494</v>
      </c>
      <c r="B204" s="2">
        <v>6</v>
      </c>
    </row>
    <row r="205" spans="1:2" x14ac:dyDescent="0.5">
      <c r="A205" s="1">
        <v>45495</v>
      </c>
      <c r="B205" s="2">
        <v>4</v>
      </c>
    </row>
    <row r="206" spans="1:2" x14ac:dyDescent="0.5">
      <c r="A206" s="1">
        <v>45496</v>
      </c>
      <c r="B206" s="2">
        <v>4</v>
      </c>
    </row>
    <row r="207" spans="1:2" x14ac:dyDescent="0.5">
      <c r="A207" s="1">
        <v>45497</v>
      </c>
      <c r="B207" s="2">
        <v>2</v>
      </c>
    </row>
    <row r="208" spans="1:2" x14ac:dyDescent="0.5">
      <c r="A208" s="1">
        <v>45498</v>
      </c>
      <c r="B208" s="2">
        <v>4</v>
      </c>
    </row>
    <row r="209" spans="1:2" x14ac:dyDescent="0.5">
      <c r="A209" s="1">
        <v>45499</v>
      </c>
      <c r="B209" s="2">
        <v>4</v>
      </c>
    </row>
    <row r="210" spans="1:2" x14ac:dyDescent="0.5">
      <c r="A210" s="1">
        <v>45500</v>
      </c>
      <c r="B210" s="2">
        <v>6</v>
      </c>
    </row>
    <row r="211" spans="1:2" x14ac:dyDescent="0.5">
      <c r="A211" s="1">
        <v>45501</v>
      </c>
      <c r="B211" s="2">
        <v>6</v>
      </c>
    </row>
    <row r="212" spans="1:2" x14ac:dyDescent="0.5">
      <c r="A212" s="1">
        <v>45502</v>
      </c>
      <c r="B212" s="2">
        <v>6</v>
      </c>
    </row>
    <row r="213" spans="1:2" x14ac:dyDescent="0.5">
      <c r="A213" s="1">
        <v>45503</v>
      </c>
      <c r="B213" s="2">
        <v>6</v>
      </c>
    </row>
    <row r="214" spans="1:2" x14ac:dyDescent="0.5">
      <c r="A214" s="1">
        <v>45504</v>
      </c>
      <c r="B214" s="2">
        <v>6</v>
      </c>
    </row>
    <row r="215" spans="1:2" x14ac:dyDescent="0.5">
      <c r="A215" s="1">
        <v>45505</v>
      </c>
      <c r="B215" s="2">
        <v>6</v>
      </c>
    </row>
    <row r="216" spans="1:2" x14ac:dyDescent="0.5">
      <c r="A216" s="1">
        <v>45506</v>
      </c>
      <c r="B216" s="2">
        <v>6</v>
      </c>
    </row>
    <row r="217" spans="1:2" x14ac:dyDescent="0.5">
      <c r="A217" s="1">
        <v>45507</v>
      </c>
      <c r="B217" s="2">
        <v>6</v>
      </c>
    </row>
    <row r="218" spans="1:2" x14ac:dyDescent="0.5">
      <c r="A218" s="1">
        <v>45508</v>
      </c>
      <c r="B218" s="2">
        <v>8</v>
      </c>
    </row>
    <row r="219" spans="1:2" x14ac:dyDescent="0.5">
      <c r="A219" s="1">
        <v>45509</v>
      </c>
      <c r="B219" s="2">
        <v>4</v>
      </c>
    </row>
    <row r="220" spans="1:2" x14ac:dyDescent="0.5">
      <c r="A220" s="1">
        <v>45510</v>
      </c>
      <c r="B220" s="2">
        <v>4</v>
      </c>
    </row>
    <row r="221" spans="1:2" x14ac:dyDescent="0.5">
      <c r="A221" s="1">
        <v>45511</v>
      </c>
      <c r="B221" s="2">
        <v>6</v>
      </c>
    </row>
    <row r="222" spans="1:2" x14ac:dyDescent="0.5">
      <c r="A222" s="1">
        <v>45512</v>
      </c>
      <c r="B222" s="2">
        <v>4</v>
      </c>
    </row>
    <row r="223" spans="1:2" x14ac:dyDescent="0.5">
      <c r="A223" s="1">
        <v>45513</v>
      </c>
      <c r="B223" s="2">
        <v>6</v>
      </c>
    </row>
    <row r="224" spans="1:2" x14ac:dyDescent="0.5">
      <c r="A224" s="1">
        <v>45514</v>
      </c>
      <c r="B224" s="2">
        <v>6</v>
      </c>
    </row>
    <row r="225" spans="1:2" x14ac:dyDescent="0.5">
      <c r="A225" s="1">
        <v>45515</v>
      </c>
      <c r="B225" s="2">
        <v>6</v>
      </c>
    </row>
    <row r="226" spans="1:2" x14ac:dyDescent="0.5">
      <c r="A226" s="1">
        <v>45516</v>
      </c>
      <c r="B226" s="2">
        <v>6</v>
      </c>
    </row>
    <row r="227" spans="1:2" x14ac:dyDescent="0.5">
      <c r="A227" s="1">
        <v>45517</v>
      </c>
      <c r="B227" s="2">
        <v>4</v>
      </c>
    </row>
    <row r="228" spans="1:2" x14ac:dyDescent="0.5">
      <c r="A228" s="1">
        <v>45518</v>
      </c>
      <c r="B228" s="2">
        <v>2</v>
      </c>
    </row>
    <row r="229" spans="1:2" x14ac:dyDescent="0.5">
      <c r="A229" s="1">
        <v>45519</v>
      </c>
      <c r="B229" s="2">
        <v>2</v>
      </c>
    </row>
    <row r="230" spans="1:2" x14ac:dyDescent="0.5">
      <c r="A230" s="1">
        <v>45520</v>
      </c>
      <c r="B230" s="2">
        <v>4</v>
      </c>
    </row>
    <row r="231" spans="1:2" x14ac:dyDescent="0.5">
      <c r="A231" s="1">
        <v>45521</v>
      </c>
      <c r="B231" s="2">
        <v>6</v>
      </c>
    </row>
    <row r="232" spans="1:2" x14ac:dyDescent="0.5">
      <c r="A232" s="1">
        <v>45522</v>
      </c>
      <c r="B232" s="2">
        <v>8</v>
      </c>
    </row>
    <row r="233" spans="1:2" x14ac:dyDescent="0.5">
      <c r="A233" s="1">
        <v>45523</v>
      </c>
      <c r="B233" s="2">
        <v>4</v>
      </c>
    </row>
    <row r="234" spans="1:2" x14ac:dyDescent="0.5">
      <c r="A234" s="1">
        <v>45524</v>
      </c>
      <c r="B234" s="2">
        <v>4</v>
      </c>
    </row>
    <row r="235" spans="1:2" x14ac:dyDescent="0.5">
      <c r="A235" s="1">
        <v>45525</v>
      </c>
      <c r="B235" s="2">
        <v>4</v>
      </c>
    </row>
    <row r="236" spans="1:2" x14ac:dyDescent="0.5">
      <c r="A236" s="1">
        <v>45526</v>
      </c>
      <c r="B236" s="2">
        <v>4</v>
      </c>
    </row>
    <row r="237" spans="1:2" x14ac:dyDescent="0.5">
      <c r="A237" s="1">
        <v>45527</v>
      </c>
      <c r="B237" s="2">
        <v>6</v>
      </c>
    </row>
    <row r="238" spans="1:2" x14ac:dyDescent="0.5">
      <c r="A238" s="1">
        <v>45528</v>
      </c>
      <c r="B238" s="2">
        <v>4</v>
      </c>
    </row>
    <row r="239" spans="1:2" x14ac:dyDescent="0.5">
      <c r="A239" s="1">
        <v>45529</v>
      </c>
      <c r="B239" s="2">
        <v>4</v>
      </c>
    </row>
    <row r="240" spans="1:2" x14ac:dyDescent="0.5">
      <c r="A240" s="1">
        <v>45530</v>
      </c>
      <c r="B240" s="2">
        <v>6</v>
      </c>
    </row>
    <row r="241" spans="1:2" x14ac:dyDescent="0.5">
      <c r="A241" s="1">
        <v>45531</v>
      </c>
      <c r="B241" s="2">
        <v>2</v>
      </c>
    </row>
    <row r="242" spans="1:2" x14ac:dyDescent="0.5">
      <c r="A242" s="1">
        <v>45532</v>
      </c>
      <c r="B242" s="2">
        <v>6</v>
      </c>
    </row>
    <row r="243" spans="1:2" x14ac:dyDescent="0.5">
      <c r="A243" s="1">
        <v>45533</v>
      </c>
      <c r="B243" s="2">
        <v>6</v>
      </c>
    </row>
    <row r="244" spans="1:2" x14ac:dyDescent="0.5">
      <c r="A244" s="1">
        <v>45534</v>
      </c>
      <c r="B244" s="2">
        <v>4</v>
      </c>
    </row>
    <row r="245" spans="1:2" x14ac:dyDescent="0.5">
      <c r="A245" s="1">
        <v>45535</v>
      </c>
      <c r="B245" s="2">
        <v>6</v>
      </c>
    </row>
    <row r="246" spans="1:2" x14ac:dyDescent="0.5">
      <c r="A246" s="1">
        <v>45536</v>
      </c>
      <c r="B246" s="2">
        <v>4</v>
      </c>
    </row>
    <row r="247" spans="1:2" x14ac:dyDescent="0.5">
      <c r="A247" s="1">
        <v>45537</v>
      </c>
      <c r="B247" s="2">
        <v>4</v>
      </c>
    </row>
    <row r="248" spans="1:2" x14ac:dyDescent="0.5">
      <c r="A248" s="1">
        <v>45538</v>
      </c>
      <c r="B248" s="2">
        <v>6</v>
      </c>
    </row>
    <row r="249" spans="1:2" x14ac:dyDescent="0.5">
      <c r="A249" s="1">
        <v>45539</v>
      </c>
      <c r="B249" s="2">
        <v>4</v>
      </c>
    </row>
    <row r="250" spans="1:2" x14ac:dyDescent="0.5">
      <c r="A250" s="1">
        <v>45540</v>
      </c>
      <c r="B250" s="2">
        <v>6</v>
      </c>
    </row>
    <row r="251" spans="1:2" x14ac:dyDescent="0.5">
      <c r="A251" s="1">
        <v>45541</v>
      </c>
      <c r="B251" s="2">
        <v>4</v>
      </c>
    </row>
    <row r="252" spans="1:2" x14ac:dyDescent="0.5">
      <c r="A252" s="1">
        <v>45542</v>
      </c>
      <c r="B252" s="2">
        <v>4</v>
      </c>
    </row>
    <row r="253" spans="1:2" x14ac:dyDescent="0.5">
      <c r="A253" s="1">
        <v>45543</v>
      </c>
      <c r="B253" s="2">
        <v>6</v>
      </c>
    </row>
    <row r="254" spans="1:2" x14ac:dyDescent="0.5">
      <c r="A254" s="1">
        <v>45544</v>
      </c>
      <c r="B254" s="2">
        <v>4</v>
      </c>
    </row>
    <row r="255" spans="1:2" x14ac:dyDescent="0.5">
      <c r="A255" s="1">
        <v>45545</v>
      </c>
      <c r="B255" s="2">
        <v>4</v>
      </c>
    </row>
    <row r="256" spans="1:2" x14ac:dyDescent="0.5">
      <c r="A256" s="1">
        <v>45546</v>
      </c>
      <c r="B256" s="2">
        <v>6</v>
      </c>
    </row>
    <row r="257" spans="1:2" x14ac:dyDescent="0.5">
      <c r="A257" s="1">
        <v>45547</v>
      </c>
      <c r="B257" s="2">
        <v>6</v>
      </c>
    </row>
    <row r="258" spans="1:2" x14ac:dyDescent="0.5">
      <c r="A258" s="1">
        <v>45548</v>
      </c>
      <c r="B258" s="2">
        <v>10</v>
      </c>
    </row>
    <row r="259" spans="1:2" x14ac:dyDescent="0.5">
      <c r="A259" s="1">
        <v>45549</v>
      </c>
      <c r="B259" s="2">
        <v>8</v>
      </c>
    </row>
    <row r="260" spans="1:2" x14ac:dyDescent="0.5">
      <c r="A260" s="1">
        <v>45550</v>
      </c>
      <c r="B260" s="2">
        <v>6</v>
      </c>
    </row>
    <row r="261" spans="1:2" x14ac:dyDescent="0.5">
      <c r="A261" s="1">
        <v>45551</v>
      </c>
      <c r="B261" s="2">
        <v>6</v>
      </c>
    </row>
    <row r="262" spans="1:2" x14ac:dyDescent="0.5">
      <c r="A262" s="1">
        <v>45552</v>
      </c>
      <c r="B262" s="2">
        <v>4</v>
      </c>
    </row>
    <row r="263" spans="1:2" x14ac:dyDescent="0.5">
      <c r="A263" s="1">
        <v>45553</v>
      </c>
      <c r="B263" s="2">
        <v>2</v>
      </c>
    </row>
    <row r="264" spans="1:2" x14ac:dyDescent="0.5">
      <c r="A264" s="1">
        <v>45554</v>
      </c>
      <c r="B264" s="2">
        <v>4</v>
      </c>
    </row>
    <row r="265" spans="1:2" x14ac:dyDescent="0.5">
      <c r="A265" s="1">
        <v>45555</v>
      </c>
      <c r="B265" s="2">
        <v>4</v>
      </c>
    </row>
    <row r="266" spans="1:2" x14ac:dyDescent="0.5">
      <c r="A266" s="1">
        <v>45556</v>
      </c>
      <c r="B266" s="2">
        <v>6</v>
      </c>
    </row>
    <row r="267" spans="1:2" x14ac:dyDescent="0.5">
      <c r="A267" s="1">
        <v>45557</v>
      </c>
      <c r="B267" s="2">
        <v>6</v>
      </c>
    </row>
    <row r="268" spans="1:2" x14ac:dyDescent="0.5">
      <c r="A268" s="1">
        <v>45558</v>
      </c>
      <c r="B268" s="2">
        <v>4</v>
      </c>
    </row>
    <row r="269" spans="1:2" x14ac:dyDescent="0.5">
      <c r="A269" s="1">
        <v>45559</v>
      </c>
      <c r="B269" s="2">
        <v>2</v>
      </c>
    </row>
    <row r="270" spans="1:2" x14ac:dyDescent="0.5">
      <c r="A270" s="1">
        <v>45560</v>
      </c>
      <c r="B270" s="2">
        <v>6</v>
      </c>
    </row>
    <row r="271" spans="1:2" x14ac:dyDescent="0.5">
      <c r="A271" s="1">
        <v>45561</v>
      </c>
      <c r="B271" s="2">
        <v>8</v>
      </c>
    </row>
    <row r="272" spans="1:2" x14ac:dyDescent="0.5">
      <c r="A272" s="1">
        <v>45562</v>
      </c>
      <c r="B272" s="2">
        <v>4</v>
      </c>
    </row>
    <row r="273" spans="1:2" x14ac:dyDescent="0.5">
      <c r="A273" s="1">
        <v>45563</v>
      </c>
      <c r="B273" s="2">
        <v>6</v>
      </c>
    </row>
    <row r="274" spans="1:2" x14ac:dyDescent="0.5">
      <c r="A274" s="1">
        <v>45564</v>
      </c>
      <c r="B274" s="2">
        <v>8</v>
      </c>
    </row>
    <row r="275" spans="1:2" x14ac:dyDescent="0.5">
      <c r="A275" s="1">
        <v>45565</v>
      </c>
      <c r="B275" s="2">
        <v>6</v>
      </c>
    </row>
    <row r="276" spans="1:2" x14ac:dyDescent="0.5">
      <c r="A276" s="1">
        <v>45566</v>
      </c>
      <c r="B276" s="2">
        <v>4</v>
      </c>
    </row>
    <row r="277" spans="1:2" x14ac:dyDescent="0.5">
      <c r="A277" s="1">
        <v>45567</v>
      </c>
      <c r="B277" s="2">
        <v>6</v>
      </c>
    </row>
    <row r="278" spans="1:2" x14ac:dyDescent="0.5">
      <c r="A278" s="1">
        <v>45568</v>
      </c>
      <c r="B278" s="2">
        <v>6</v>
      </c>
    </row>
    <row r="279" spans="1:2" x14ac:dyDescent="0.5">
      <c r="A279" s="1">
        <v>45569</v>
      </c>
      <c r="B279" s="2">
        <v>6</v>
      </c>
    </row>
    <row r="280" spans="1:2" x14ac:dyDescent="0.5">
      <c r="A280" s="1">
        <v>45570</v>
      </c>
      <c r="B280" s="2">
        <v>2</v>
      </c>
    </row>
    <row r="281" spans="1:2" x14ac:dyDescent="0.5">
      <c r="A281" s="1">
        <v>45571</v>
      </c>
      <c r="B281" s="2">
        <v>4</v>
      </c>
    </row>
    <row r="282" spans="1:2" x14ac:dyDescent="0.5">
      <c r="A282" s="1">
        <v>45572</v>
      </c>
      <c r="B282" s="2">
        <v>0</v>
      </c>
    </row>
    <row r="283" spans="1:2" x14ac:dyDescent="0.5">
      <c r="A283" s="1">
        <v>45573</v>
      </c>
      <c r="B283" s="2">
        <v>2</v>
      </c>
    </row>
    <row r="284" spans="1:2" x14ac:dyDescent="0.5">
      <c r="A284" s="1">
        <v>45574</v>
      </c>
      <c r="B284" s="2">
        <v>6</v>
      </c>
    </row>
    <row r="285" spans="1:2" x14ac:dyDescent="0.5">
      <c r="A285" s="1">
        <v>45575</v>
      </c>
      <c r="B285" s="2">
        <v>6</v>
      </c>
    </row>
    <row r="286" spans="1:2" x14ac:dyDescent="0.5">
      <c r="A286" s="1">
        <v>45576</v>
      </c>
      <c r="B286" s="2">
        <v>8</v>
      </c>
    </row>
    <row r="287" spans="1:2" x14ac:dyDescent="0.5">
      <c r="A287" s="1">
        <v>45577</v>
      </c>
      <c r="B287" s="2">
        <v>8</v>
      </c>
    </row>
    <row r="288" spans="1:2" x14ac:dyDescent="0.5">
      <c r="A288" s="1">
        <v>45578</v>
      </c>
      <c r="B288" s="2">
        <v>6</v>
      </c>
    </row>
    <row r="289" spans="1:2" x14ac:dyDescent="0.5">
      <c r="A289" s="1">
        <v>45579</v>
      </c>
      <c r="B289" s="2">
        <v>6</v>
      </c>
    </row>
    <row r="290" spans="1:2" x14ac:dyDescent="0.5">
      <c r="A290" s="1">
        <v>45580</v>
      </c>
      <c r="B290" s="2">
        <v>6</v>
      </c>
    </row>
    <row r="291" spans="1:2" x14ac:dyDescent="0.5">
      <c r="A291" s="1">
        <v>45581</v>
      </c>
      <c r="B291" s="2">
        <v>4</v>
      </c>
    </row>
    <row r="292" spans="1:2" x14ac:dyDescent="0.5">
      <c r="A292" s="1">
        <v>45582</v>
      </c>
      <c r="B292" s="2">
        <v>6</v>
      </c>
    </row>
    <row r="293" spans="1:2" x14ac:dyDescent="0.5">
      <c r="A293" s="1">
        <v>45583</v>
      </c>
      <c r="B293" s="2">
        <v>8</v>
      </c>
    </row>
    <row r="294" spans="1:2" x14ac:dyDescent="0.5">
      <c r="A294" s="1">
        <v>45584</v>
      </c>
      <c r="B294" s="2">
        <v>6</v>
      </c>
    </row>
    <row r="295" spans="1:2" x14ac:dyDescent="0.5">
      <c r="A295" s="1">
        <v>45585</v>
      </c>
      <c r="B295" s="2">
        <v>6</v>
      </c>
    </row>
    <row r="296" spans="1:2" x14ac:dyDescent="0.5">
      <c r="A296" s="1">
        <v>45586</v>
      </c>
      <c r="B296" s="2">
        <v>6</v>
      </c>
    </row>
    <row r="297" spans="1:2" x14ac:dyDescent="0.5">
      <c r="A297" s="1">
        <v>45587</v>
      </c>
      <c r="B297" s="2">
        <v>6</v>
      </c>
    </row>
    <row r="298" spans="1:2" x14ac:dyDescent="0.5">
      <c r="A298" s="1">
        <v>45588</v>
      </c>
      <c r="B298" s="2">
        <v>4</v>
      </c>
    </row>
    <row r="299" spans="1:2" x14ac:dyDescent="0.5">
      <c r="A299" s="1">
        <v>45589</v>
      </c>
      <c r="B299" s="2">
        <v>4</v>
      </c>
    </row>
    <row r="300" spans="1:2" x14ac:dyDescent="0.5">
      <c r="A300" s="1">
        <v>45590</v>
      </c>
      <c r="B300" s="2">
        <v>6</v>
      </c>
    </row>
    <row r="301" spans="1:2" x14ac:dyDescent="0.5">
      <c r="A301" s="1">
        <v>45591</v>
      </c>
      <c r="B301" s="2">
        <v>6</v>
      </c>
    </row>
    <row r="302" spans="1:2" x14ac:dyDescent="0.5">
      <c r="A302" s="1">
        <v>45592</v>
      </c>
      <c r="B302" s="2">
        <v>4</v>
      </c>
    </row>
    <row r="303" spans="1:2" x14ac:dyDescent="0.5">
      <c r="A303" s="1">
        <v>45593</v>
      </c>
      <c r="B303" s="2">
        <v>6</v>
      </c>
    </row>
    <row r="304" spans="1:2" x14ac:dyDescent="0.5">
      <c r="A304" s="1">
        <v>45594</v>
      </c>
      <c r="B304" s="2">
        <v>8</v>
      </c>
    </row>
    <row r="305" spans="1:2" x14ac:dyDescent="0.5">
      <c r="A305" s="1">
        <v>45595</v>
      </c>
      <c r="B305" s="2">
        <v>8</v>
      </c>
    </row>
    <row r="306" spans="1:2" x14ac:dyDescent="0.5">
      <c r="A306" s="1">
        <v>45596</v>
      </c>
      <c r="B306" s="2">
        <v>10</v>
      </c>
    </row>
    <row r="307" spans="1:2" x14ac:dyDescent="0.5">
      <c r="A307" s="1">
        <v>45597</v>
      </c>
      <c r="B307" s="2">
        <v>6</v>
      </c>
    </row>
    <row r="308" spans="1:2" x14ac:dyDescent="0.5">
      <c r="A308" s="1">
        <v>45598</v>
      </c>
      <c r="B308" s="2">
        <v>2</v>
      </c>
    </row>
    <row r="309" spans="1:2" x14ac:dyDescent="0.5">
      <c r="A309" s="1">
        <v>45599</v>
      </c>
      <c r="B309" s="2">
        <v>0</v>
      </c>
    </row>
    <row r="310" spans="1:2" x14ac:dyDescent="0.5">
      <c r="A310" s="1">
        <v>45600</v>
      </c>
      <c r="B310" s="2">
        <v>4</v>
      </c>
    </row>
    <row r="311" spans="1:2" x14ac:dyDescent="0.5">
      <c r="A311" s="1">
        <v>45601</v>
      </c>
      <c r="B311" s="2">
        <v>6</v>
      </c>
    </row>
    <row r="312" spans="1:2" x14ac:dyDescent="0.5">
      <c r="A312" s="1">
        <v>45602</v>
      </c>
      <c r="B312" s="2">
        <v>6</v>
      </c>
    </row>
    <row r="313" spans="1:2" x14ac:dyDescent="0.5">
      <c r="A313" s="1">
        <v>45603</v>
      </c>
      <c r="B313" s="2">
        <v>6</v>
      </c>
    </row>
    <row r="314" spans="1:2" x14ac:dyDescent="0.5">
      <c r="A314" s="1">
        <v>45604</v>
      </c>
      <c r="B314" s="2">
        <v>8</v>
      </c>
    </row>
    <row r="315" spans="1:2" x14ac:dyDescent="0.5">
      <c r="A315" s="1">
        <v>45605</v>
      </c>
      <c r="B315" s="2">
        <v>6</v>
      </c>
    </row>
    <row r="316" spans="1:2" x14ac:dyDescent="0.5">
      <c r="A316" s="1">
        <v>45606</v>
      </c>
      <c r="B316" s="2">
        <v>8</v>
      </c>
    </row>
    <row r="317" spans="1:2" x14ac:dyDescent="0.5">
      <c r="A317" s="1">
        <v>45607</v>
      </c>
      <c r="B317" s="2">
        <v>8</v>
      </c>
    </row>
    <row r="318" spans="1:2" x14ac:dyDescent="0.5">
      <c r="A318" s="1">
        <v>45608</v>
      </c>
      <c r="B318" s="2">
        <v>2</v>
      </c>
    </row>
    <row r="319" spans="1:2" x14ac:dyDescent="0.5">
      <c r="A319" s="1">
        <v>45609</v>
      </c>
      <c r="B319" s="2">
        <v>6</v>
      </c>
    </row>
    <row r="320" spans="1:2" x14ac:dyDescent="0.5">
      <c r="A320" s="1">
        <v>45610</v>
      </c>
      <c r="B320" s="2">
        <v>8</v>
      </c>
    </row>
    <row r="321" spans="1:2" x14ac:dyDescent="0.5">
      <c r="A321" s="1">
        <v>45611</v>
      </c>
      <c r="B321" s="2">
        <v>8</v>
      </c>
    </row>
    <row r="322" spans="1:2" x14ac:dyDescent="0.5">
      <c r="A322" s="1">
        <v>45612</v>
      </c>
      <c r="B322" s="2">
        <v>6</v>
      </c>
    </row>
    <row r="323" spans="1:2" x14ac:dyDescent="0.5">
      <c r="A323" s="1">
        <v>45613</v>
      </c>
      <c r="B323" s="2">
        <v>6</v>
      </c>
    </row>
    <row r="324" spans="1:2" x14ac:dyDescent="0.5">
      <c r="A324" s="1">
        <v>45614</v>
      </c>
      <c r="B324" s="2">
        <v>4</v>
      </c>
    </row>
    <row r="325" spans="1:2" x14ac:dyDescent="0.5">
      <c r="A325" s="1">
        <v>45615</v>
      </c>
      <c r="B325" s="2">
        <v>8</v>
      </c>
    </row>
    <row r="326" spans="1:2" x14ac:dyDescent="0.5">
      <c r="A326" s="1">
        <v>45616</v>
      </c>
      <c r="B326" s="2">
        <v>6</v>
      </c>
    </row>
    <row r="327" spans="1:2" x14ac:dyDescent="0.5">
      <c r="A327" s="1">
        <v>45617</v>
      </c>
      <c r="B327" s="2">
        <v>4</v>
      </c>
    </row>
    <row r="328" spans="1:2" x14ac:dyDescent="0.5">
      <c r="A328" s="1">
        <v>45618</v>
      </c>
      <c r="B328" s="2">
        <v>4</v>
      </c>
    </row>
    <row r="329" spans="1:2" x14ac:dyDescent="0.5">
      <c r="A329" s="1">
        <v>45619</v>
      </c>
      <c r="B329" s="2">
        <v>6</v>
      </c>
    </row>
    <row r="330" spans="1:2" x14ac:dyDescent="0.5">
      <c r="A330" s="1">
        <v>45620</v>
      </c>
      <c r="B330" s="2">
        <v>8</v>
      </c>
    </row>
    <row r="331" spans="1:2" x14ac:dyDescent="0.5">
      <c r="A331" s="1">
        <v>45621</v>
      </c>
      <c r="B331" s="2">
        <v>4</v>
      </c>
    </row>
    <row r="332" spans="1:2" x14ac:dyDescent="0.5">
      <c r="A332" s="1">
        <v>45622</v>
      </c>
      <c r="B332" s="2">
        <v>6</v>
      </c>
    </row>
    <row r="333" spans="1:2" x14ac:dyDescent="0.5">
      <c r="A333" s="1">
        <v>45623</v>
      </c>
      <c r="B333" s="2">
        <v>6</v>
      </c>
    </row>
    <row r="334" spans="1:2" x14ac:dyDescent="0.5">
      <c r="A334" s="1">
        <v>45624</v>
      </c>
      <c r="B334" s="2">
        <v>2</v>
      </c>
    </row>
    <row r="335" spans="1:2" x14ac:dyDescent="0.5">
      <c r="A335" s="1">
        <v>45625</v>
      </c>
      <c r="B335" s="2">
        <v>6</v>
      </c>
    </row>
    <row r="336" spans="1:2" x14ac:dyDescent="0.5">
      <c r="A336" s="1">
        <v>45626</v>
      </c>
      <c r="B336" s="2">
        <v>6</v>
      </c>
    </row>
    <row r="337" spans="1:2" x14ac:dyDescent="0.5">
      <c r="A337" s="1">
        <v>45627</v>
      </c>
      <c r="B337" s="2">
        <v>6</v>
      </c>
    </row>
    <row r="338" spans="1:2" x14ac:dyDescent="0.5">
      <c r="A338" s="1">
        <v>45628</v>
      </c>
      <c r="B338" s="2">
        <v>4</v>
      </c>
    </row>
    <row r="339" spans="1:2" x14ac:dyDescent="0.5">
      <c r="A339" s="1">
        <v>45629</v>
      </c>
      <c r="B339" s="2">
        <v>4</v>
      </c>
    </row>
    <row r="340" spans="1:2" x14ac:dyDescent="0.5">
      <c r="A340" s="1">
        <v>45630</v>
      </c>
      <c r="B340" s="2">
        <v>6</v>
      </c>
    </row>
    <row r="341" spans="1:2" x14ac:dyDescent="0.5">
      <c r="A341" s="1">
        <v>45631</v>
      </c>
      <c r="B341" s="2">
        <v>6</v>
      </c>
    </row>
    <row r="342" spans="1:2" x14ac:dyDescent="0.5">
      <c r="A342" s="1">
        <v>45632</v>
      </c>
      <c r="B342" s="2">
        <v>6</v>
      </c>
    </row>
    <row r="343" spans="1:2" x14ac:dyDescent="0.5">
      <c r="A343" s="1">
        <v>45633</v>
      </c>
      <c r="B343" s="2">
        <v>6</v>
      </c>
    </row>
    <row r="344" spans="1:2" x14ac:dyDescent="0.5">
      <c r="A344" s="1">
        <v>45634</v>
      </c>
      <c r="B344" s="2">
        <v>4</v>
      </c>
    </row>
    <row r="345" spans="1:2" x14ac:dyDescent="0.5">
      <c r="A345" s="1">
        <v>45635</v>
      </c>
      <c r="B345" s="2">
        <v>4</v>
      </c>
    </row>
    <row r="346" spans="1:2" x14ac:dyDescent="0.5">
      <c r="A346" s="1">
        <v>45636</v>
      </c>
      <c r="B346" s="2">
        <v>4</v>
      </c>
    </row>
    <row r="347" spans="1:2" x14ac:dyDescent="0.5">
      <c r="A347" s="1">
        <v>45637</v>
      </c>
      <c r="B347" s="2">
        <v>4</v>
      </c>
    </row>
    <row r="348" spans="1:2" x14ac:dyDescent="0.5">
      <c r="A348" s="1">
        <v>45638</v>
      </c>
      <c r="B348" s="2">
        <v>6</v>
      </c>
    </row>
    <row r="349" spans="1:2" x14ac:dyDescent="0.5">
      <c r="A349" s="1">
        <v>45639</v>
      </c>
      <c r="B349" s="2">
        <v>4</v>
      </c>
    </row>
    <row r="350" spans="1:2" x14ac:dyDescent="0.5">
      <c r="A350" s="1">
        <v>45640</v>
      </c>
      <c r="B350" s="2">
        <v>6</v>
      </c>
    </row>
    <row r="351" spans="1:2" x14ac:dyDescent="0.5">
      <c r="A351" s="1">
        <v>45641</v>
      </c>
      <c r="B351" s="2">
        <v>4</v>
      </c>
    </row>
    <row r="352" spans="1:2" x14ac:dyDescent="0.5">
      <c r="A352" s="1">
        <v>45642</v>
      </c>
      <c r="B352" s="2">
        <v>4</v>
      </c>
    </row>
    <row r="353" spans="1:2" x14ac:dyDescent="0.5">
      <c r="A353" s="1">
        <v>45643</v>
      </c>
      <c r="B353" s="2">
        <v>2</v>
      </c>
    </row>
    <row r="354" spans="1:2" x14ac:dyDescent="0.5">
      <c r="A354" s="1">
        <v>45644</v>
      </c>
      <c r="B354" s="2">
        <v>4</v>
      </c>
    </row>
    <row r="355" spans="1:2" x14ac:dyDescent="0.5">
      <c r="A355" s="1">
        <v>45645</v>
      </c>
      <c r="B355" s="2">
        <v>2</v>
      </c>
    </row>
    <row r="356" spans="1:2" x14ac:dyDescent="0.5">
      <c r="A356" s="1">
        <v>45646</v>
      </c>
      <c r="B356" s="2">
        <v>4</v>
      </c>
    </row>
    <row r="357" spans="1:2" x14ac:dyDescent="0.5">
      <c r="A357" s="1">
        <v>45647</v>
      </c>
      <c r="B357" s="2">
        <v>4</v>
      </c>
    </row>
    <row r="358" spans="1:2" x14ac:dyDescent="0.5">
      <c r="A358" s="1">
        <v>45648</v>
      </c>
      <c r="B358" s="2">
        <v>4</v>
      </c>
    </row>
    <row r="359" spans="1:2" x14ac:dyDescent="0.5">
      <c r="A359" s="1">
        <v>45649</v>
      </c>
      <c r="B359" s="2">
        <v>4</v>
      </c>
    </row>
    <row r="360" spans="1:2" x14ac:dyDescent="0.5">
      <c r="A360" s="1">
        <v>45650</v>
      </c>
      <c r="B360" s="2">
        <v>10</v>
      </c>
    </row>
    <row r="361" spans="1:2" x14ac:dyDescent="0.5">
      <c r="A361" s="1">
        <v>45651</v>
      </c>
      <c r="B361" s="2">
        <v>6</v>
      </c>
    </row>
    <row r="362" spans="1:2" x14ac:dyDescent="0.5">
      <c r="A362" s="1">
        <v>45652</v>
      </c>
      <c r="B362" s="2">
        <v>4</v>
      </c>
    </row>
    <row r="363" spans="1:2" x14ac:dyDescent="0.5">
      <c r="A363" s="1">
        <v>45653</v>
      </c>
      <c r="B363" s="2">
        <v>4</v>
      </c>
    </row>
    <row r="364" spans="1:2" x14ac:dyDescent="0.5">
      <c r="A364" s="1">
        <v>45654</v>
      </c>
      <c r="B364" s="2">
        <v>4</v>
      </c>
    </row>
    <row r="365" spans="1:2" x14ac:dyDescent="0.5">
      <c r="A365" s="1">
        <v>45655</v>
      </c>
      <c r="B365" s="2">
        <v>6</v>
      </c>
    </row>
    <row r="366" spans="1:2" x14ac:dyDescent="0.5">
      <c r="A366" s="1">
        <v>45656</v>
      </c>
      <c r="B366" s="2">
        <v>4</v>
      </c>
    </row>
    <row r="367" spans="1:2" ht="14.7" thickBot="1" x14ac:dyDescent="0.55000000000000004">
      <c r="A367" s="1">
        <v>45657</v>
      </c>
      <c r="B367" s="2">
        <v>6</v>
      </c>
    </row>
    <row r="368" spans="1:2" x14ac:dyDescent="0.5">
      <c r="A368" s="71">
        <v>45658</v>
      </c>
      <c r="B368" s="72">
        <v>2.5</v>
      </c>
    </row>
    <row r="369" spans="1:2" x14ac:dyDescent="0.5">
      <c r="A369" s="53">
        <v>45659</v>
      </c>
      <c r="B369" s="2">
        <v>2.8</v>
      </c>
    </row>
    <row r="370" spans="1:2" x14ac:dyDescent="0.5">
      <c r="A370" s="53">
        <v>45660</v>
      </c>
      <c r="B370" s="2">
        <v>4.8</v>
      </c>
    </row>
    <row r="371" spans="1:2" x14ac:dyDescent="0.5">
      <c r="A371" s="53">
        <v>45661</v>
      </c>
      <c r="B371" s="2">
        <v>8.1999999999999993</v>
      </c>
    </row>
    <row r="372" spans="1:2" x14ac:dyDescent="0.5">
      <c r="A372" s="53">
        <v>45662</v>
      </c>
      <c r="B372" s="2">
        <v>6.2</v>
      </c>
    </row>
    <row r="373" spans="1:2" x14ac:dyDescent="0.5">
      <c r="A373" s="53">
        <v>45663</v>
      </c>
      <c r="B373" s="2">
        <v>6.1</v>
      </c>
    </row>
    <row r="374" spans="1:2" x14ac:dyDescent="0.5">
      <c r="A374" s="53">
        <v>45664</v>
      </c>
      <c r="B374" s="2">
        <v>3.5</v>
      </c>
    </row>
    <row r="375" spans="1:2" x14ac:dyDescent="0.5">
      <c r="A375" s="53">
        <v>45665</v>
      </c>
      <c r="B375" s="2">
        <v>1.2</v>
      </c>
    </row>
    <row r="376" spans="1:2" x14ac:dyDescent="0.5">
      <c r="A376" s="53">
        <v>45666</v>
      </c>
      <c r="B376" s="2">
        <v>5.6</v>
      </c>
    </row>
    <row r="377" spans="1:2" x14ac:dyDescent="0.5">
      <c r="A377" s="53">
        <v>45667</v>
      </c>
      <c r="B377" s="2">
        <v>4.3</v>
      </c>
    </row>
    <row r="378" spans="1:2" x14ac:dyDescent="0.5">
      <c r="A378" s="53">
        <v>45668</v>
      </c>
      <c r="B378" s="2">
        <v>5.4</v>
      </c>
    </row>
    <row r="379" spans="1:2" x14ac:dyDescent="0.5">
      <c r="A379" s="53">
        <v>45669</v>
      </c>
      <c r="B379" s="2">
        <v>7.2</v>
      </c>
    </row>
    <row r="380" spans="1:2" x14ac:dyDescent="0.5">
      <c r="A380" s="53">
        <v>45670</v>
      </c>
      <c r="B380" s="2">
        <v>3.9</v>
      </c>
    </row>
    <row r="381" spans="1:2" x14ac:dyDescent="0.5">
      <c r="A381" s="53">
        <v>45671</v>
      </c>
      <c r="B381" s="2">
        <v>1.5</v>
      </c>
    </row>
    <row r="382" spans="1:2" x14ac:dyDescent="0.5">
      <c r="A382" s="53">
        <v>45672</v>
      </c>
      <c r="B382" s="2">
        <v>5.2</v>
      </c>
    </row>
    <row r="383" spans="1:2" x14ac:dyDescent="0.5">
      <c r="A383" s="53">
        <v>45673</v>
      </c>
      <c r="B383" s="2">
        <v>6.5</v>
      </c>
    </row>
    <row r="384" spans="1:2" x14ac:dyDescent="0.5">
      <c r="A384" s="53">
        <v>45674</v>
      </c>
      <c r="B384" s="2">
        <v>2.9</v>
      </c>
    </row>
    <row r="385" spans="1:2" x14ac:dyDescent="0.5">
      <c r="A385" s="53">
        <v>45675</v>
      </c>
      <c r="B385" s="2">
        <v>3.3</v>
      </c>
    </row>
    <row r="386" spans="1:2" x14ac:dyDescent="0.5">
      <c r="A386" s="53">
        <v>45676</v>
      </c>
      <c r="B386" s="2">
        <v>6.2</v>
      </c>
    </row>
    <row r="387" spans="1:2" x14ac:dyDescent="0.5">
      <c r="A387" s="53">
        <v>45677</v>
      </c>
      <c r="B387" s="2">
        <v>5</v>
      </c>
    </row>
    <row r="388" spans="1:2" x14ac:dyDescent="0.5">
      <c r="A388" s="53">
        <v>45678</v>
      </c>
      <c r="B388" s="2">
        <v>4.3</v>
      </c>
    </row>
    <row r="389" spans="1:2" x14ac:dyDescent="0.5">
      <c r="A389" s="53">
        <v>45679</v>
      </c>
      <c r="B389" s="2">
        <v>4.0999999999999996</v>
      </c>
    </row>
    <row r="390" spans="1:2" x14ac:dyDescent="0.5">
      <c r="A390" s="53">
        <v>45680</v>
      </c>
      <c r="B390" s="2">
        <v>1.2</v>
      </c>
    </row>
    <row r="391" spans="1:2" x14ac:dyDescent="0.5">
      <c r="A391" s="53">
        <v>45681</v>
      </c>
      <c r="B391" s="2">
        <v>6.2</v>
      </c>
    </row>
    <row r="392" spans="1:2" x14ac:dyDescent="0.5">
      <c r="A392" s="53">
        <v>45682</v>
      </c>
      <c r="B392" s="2">
        <v>8.1</v>
      </c>
    </row>
    <row r="393" spans="1:2" x14ac:dyDescent="0.5">
      <c r="A393" s="53">
        <v>45683</v>
      </c>
      <c r="B393" s="2">
        <v>6.8</v>
      </c>
    </row>
    <row r="394" spans="1:2" x14ac:dyDescent="0.5">
      <c r="A394" s="53">
        <v>45684</v>
      </c>
      <c r="B394" s="2">
        <v>5</v>
      </c>
    </row>
    <row r="395" spans="1:2" x14ac:dyDescent="0.5">
      <c r="A395" s="53">
        <v>45685</v>
      </c>
      <c r="B395" s="2">
        <v>5.8</v>
      </c>
    </row>
    <row r="396" spans="1:2" x14ac:dyDescent="0.5">
      <c r="A396" s="53">
        <v>45686</v>
      </c>
      <c r="B396" s="2">
        <v>5.3</v>
      </c>
    </row>
    <row r="397" spans="1:2" x14ac:dyDescent="0.5">
      <c r="A397" s="53">
        <v>45687</v>
      </c>
      <c r="B397" s="2">
        <v>7.4</v>
      </c>
    </row>
    <row r="398" spans="1:2" ht="14.7" thickBot="1" x14ac:dyDescent="0.55000000000000004">
      <c r="A398" s="54">
        <v>45688</v>
      </c>
      <c r="B398" s="55">
        <v>8.5</v>
      </c>
    </row>
    <row r="399" spans="1:2" x14ac:dyDescent="0.5">
      <c r="A399" s="52">
        <v>45689</v>
      </c>
      <c r="B399" s="48">
        <v>4.8</v>
      </c>
    </row>
    <row r="400" spans="1:2" x14ac:dyDescent="0.5">
      <c r="A400" s="1">
        <v>45690</v>
      </c>
      <c r="B400" s="2">
        <v>4.5</v>
      </c>
    </row>
    <row r="401" spans="1:2" x14ac:dyDescent="0.5">
      <c r="A401" s="1">
        <v>45691</v>
      </c>
      <c r="B401" s="2">
        <v>5</v>
      </c>
    </row>
    <row r="402" spans="1:2" x14ac:dyDescent="0.5">
      <c r="A402" s="1">
        <v>45692</v>
      </c>
      <c r="B402" s="2">
        <v>2.2999999999999998</v>
      </c>
    </row>
    <row r="403" spans="1:2" x14ac:dyDescent="0.5">
      <c r="A403" s="1">
        <v>45693</v>
      </c>
      <c r="B403" s="2">
        <v>3.3</v>
      </c>
    </row>
    <row r="404" spans="1:2" x14ac:dyDescent="0.5">
      <c r="A404" s="1">
        <v>45694</v>
      </c>
      <c r="B404" s="2">
        <v>2</v>
      </c>
    </row>
    <row r="405" spans="1:2" x14ac:dyDescent="0.5">
      <c r="A405" s="1">
        <v>45695</v>
      </c>
      <c r="B405" s="2">
        <v>1.3</v>
      </c>
    </row>
    <row r="406" spans="1:2" x14ac:dyDescent="0.5">
      <c r="A406" s="1">
        <v>45696</v>
      </c>
      <c r="B406" s="2">
        <v>8.5</v>
      </c>
    </row>
    <row r="407" spans="1:2" x14ac:dyDescent="0.5">
      <c r="A407" s="1">
        <v>45697</v>
      </c>
      <c r="B407" s="2">
        <v>4.5</v>
      </c>
    </row>
    <row r="408" spans="1:2" x14ac:dyDescent="0.5">
      <c r="A408" s="1">
        <v>45698</v>
      </c>
      <c r="B408" s="2">
        <v>3.8</v>
      </c>
    </row>
    <row r="409" spans="1:2" x14ac:dyDescent="0.5">
      <c r="A409" s="1">
        <v>45699</v>
      </c>
      <c r="B409" s="2">
        <v>5.5</v>
      </c>
    </row>
    <row r="410" spans="1:2" x14ac:dyDescent="0.5">
      <c r="A410" s="1">
        <v>45700</v>
      </c>
      <c r="B410" s="2">
        <v>5.8</v>
      </c>
    </row>
    <row r="411" spans="1:2" x14ac:dyDescent="0.5">
      <c r="A411" s="1">
        <v>45701</v>
      </c>
      <c r="B411" s="2">
        <v>5.5</v>
      </c>
    </row>
    <row r="412" spans="1:2" x14ac:dyDescent="0.5">
      <c r="A412" s="1">
        <v>45702</v>
      </c>
      <c r="B412" s="2">
        <v>0</v>
      </c>
    </row>
    <row r="413" spans="1:2" x14ac:dyDescent="0.5">
      <c r="A413" s="1">
        <v>45703</v>
      </c>
      <c r="B413" s="2">
        <v>4.5</v>
      </c>
    </row>
    <row r="414" spans="1:2" x14ac:dyDescent="0.5">
      <c r="A414" s="1">
        <v>45704</v>
      </c>
      <c r="B414" s="2">
        <v>6.6</v>
      </c>
    </row>
    <row r="415" spans="1:2" x14ac:dyDescent="0.5">
      <c r="A415" s="1">
        <v>45705</v>
      </c>
      <c r="B415" s="2">
        <v>7.5</v>
      </c>
    </row>
    <row r="416" spans="1:2" x14ac:dyDescent="0.5">
      <c r="A416" s="1">
        <v>45706</v>
      </c>
      <c r="B416" s="2">
        <v>5</v>
      </c>
    </row>
    <row r="417" spans="1:2" x14ac:dyDescent="0.5">
      <c r="A417" s="1">
        <v>45707</v>
      </c>
      <c r="B417" s="2">
        <v>4.8</v>
      </c>
    </row>
    <row r="418" spans="1:2" x14ac:dyDescent="0.5">
      <c r="A418" s="1">
        <v>45708</v>
      </c>
      <c r="B418" s="2">
        <v>6.8</v>
      </c>
    </row>
    <row r="419" spans="1:2" x14ac:dyDescent="0.5">
      <c r="A419" s="1">
        <v>45709</v>
      </c>
      <c r="B419" s="2">
        <v>2.2000000000000002</v>
      </c>
    </row>
    <row r="420" spans="1:2" x14ac:dyDescent="0.5">
      <c r="A420" s="1">
        <v>45710</v>
      </c>
      <c r="B420" s="2">
        <v>5.5</v>
      </c>
    </row>
    <row r="421" spans="1:2" x14ac:dyDescent="0.5">
      <c r="A421" s="1">
        <v>45711</v>
      </c>
      <c r="B421" s="2">
        <v>4.5</v>
      </c>
    </row>
    <row r="422" spans="1:2" x14ac:dyDescent="0.5">
      <c r="A422" s="1">
        <v>45712</v>
      </c>
      <c r="B422" s="2">
        <v>6.5</v>
      </c>
    </row>
    <row r="423" spans="1:2" x14ac:dyDescent="0.5">
      <c r="A423" s="1">
        <v>45713</v>
      </c>
      <c r="B423" s="2">
        <v>4.5</v>
      </c>
    </row>
    <row r="424" spans="1:2" x14ac:dyDescent="0.5">
      <c r="A424" s="1">
        <v>45714</v>
      </c>
      <c r="B424" s="2">
        <v>7.5</v>
      </c>
    </row>
    <row r="425" spans="1:2" x14ac:dyDescent="0.5">
      <c r="A425" s="1">
        <v>45715</v>
      </c>
      <c r="B425" s="2">
        <v>5</v>
      </c>
    </row>
    <row r="426" spans="1:2" x14ac:dyDescent="0.5">
      <c r="A426" s="1">
        <v>45716</v>
      </c>
      <c r="B426" s="2">
        <v>5.5</v>
      </c>
    </row>
    <row r="427" spans="1:2" x14ac:dyDescent="0.5">
      <c r="A427" s="1">
        <v>45717</v>
      </c>
      <c r="B427" s="2">
        <v>5</v>
      </c>
    </row>
    <row r="428" spans="1:2" x14ac:dyDescent="0.5">
      <c r="A428" s="1">
        <v>45718</v>
      </c>
      <c r="B428" s="2">
        <v>4.8</v>
      </c>
    </row>
    <row r="429" spans="1:2" x14ac:dyDescent="0.5">
      <c r="A429" s="1">
        <v>45719</v>
      </c>
      <c r="B429" s="2">
        <v>3</v>
      </c>
    </row>
    <row r="430" spans="1:2" x14ac:dyDescent="0.5">
      <c r="A430" s="1">
        <v>45720</v>
      </c>
      <c r="B430" s="2">
        <v>4</v>
      </c>
    </row>
    <row r="431" spans="1:2" x14ac:dyDescent="0.5">
      <c r="A431" s="1">
        <v>45721</v>
      </c>
      <c r="B431" s="2">
        <v>5</v>
      </c>
    </row>
    <row r="432" spans="1:2" x14ac:dyDescent="0.5">
      <c r="A432" s="1">
        <v>45722</v>
      </c>
      <c r="B432" s="2">
        <v>6.5</v>
      </c>
    </row>
    <row r="433" spans="1:2" x14ac:dyDescent="0.5">
      <c r="A433" s="1">
        <v>45723</v>
      </c>
      <c r="B433" s="2">
        <v>6</v>
      </c>
    </row>
    <row r="434" spans="1:2" x14ac:dyDescent="0.5">
      <c r="A434" s="1">
        <v>45724</v>
      </c>
      <c r="B434" s="2">
        <v>6.1</v>
      </c>
    </row>
    <row r="435" spans="1:2" x14ac:dyDescent="0.5">
      <c r="A435" s="1">
        <v>45725</v>
      </c>
      <c r="B435" s="2">
        <v>8</v>
      </c>
    </row>
    <row r="436" spans="1:2" x14ac:dyDescent="0.5">
      <c r="A436" s="1">
        <v>45726</v>
      </c>
      <c r="B436" s="2">
        <v>4.5</v>
      </c>
    </row>
    <row r="437" spans="1:2" x14ac:dyDescent="0.5">
      <c r="A437" s="1">
        <v>45727</v>
      </c>
      <c r="B437" s="2">
        <v>7</v>
      </c>
    </row>
    <row r="438" spans="1:2" x14ac:dyDescent="0.5">
      <c r="A438" s="1">
        <v>45728</v>
      </c>
      <c r="B438" s="2">
        <v>4.8</v>
      </c>
    </row>
    <row r="439" spans="1:2" x14ac:dyDescent="0.5">
      <c r="A439" s="1">
        <v>45729</v>
      </c>
      <c r="B439" s="2">
        <v>5</v>
      </c>
    </row>
    <row r="440" spans="1:2" x14ac:dyDescent="0.5">
      <c r="A440" s="1">
        <v>45730</v>
      </c>
      <c r="B440" s="2">
        <v>4</v>
      </c>
    </row>
    <row r="441" spans="1:2" x14ac:dyDescent="0.5">
      <c r="A441" s="1">
        <v>45731</v>
      </c>
      <c r="B441" s="2">
        <v>4</v>
      </c>
    </row>
    <row r="442" spans="1:2" x14ac:dyDescent="0.5">
      <c r="A442" s="1">
        <v>45732</v>
      </c>
      <c r="B442" s="2">
        <v>5</v>
      </c>
    </row>
    <row r="443" spans="1:2" x14ac:dyDescent="0.5">
      <c r="A443" s="1">
        <v>45733</v>
      </c>
      <c r="B443" s="2">
        <v>4.2</v>
      </c>
    </row>
    <row r="444" spans="1:2" x14ac:dyDescent="0.5">
      <c r="A444" s="1">
        <v>45734</v>
      </c>
      <c r="B444" s="2">
        <v>5.5</v>
      </c>
    </row>
    <row r="445" spans="1:2" x14ac:dyDescent="0.5">
      <c r="A445" s="1">
        <v>45735</v>
      </c>
      <c r="B445" s="2">
        <v>3</v>
      </c>
    </row>
    <row r="446" spans="1:2" x14ac:dyDescent="0.5">
      <c r="A446" s="1">
        <v>45736</v>
      </c>
      <c r="B446" s="2">
        <v>5</v>
      </c>
    </row>
    <row r="447" spans="1:2" x14ac:dyDescent="0.5">
      <c r="A447" s="1">
        <v>45737</v>
      </c>
      <c r="B447" s="2">
        <v>5</v>
      </c>
    </row>
    <row r="448" spans="1:2" x14ac:dyDescent="0.5">
      <c r="A448" s="1">
        <v>45738</v>
      </c>
      <c r="B448" s="2">
        <v>7.5</v>
      </c>
    </row>
    <row r="449" spans="1:2" x14ac:dyDescent="0.5">
      <c r="A449" s="1">
        <v>45739</v>
      </c>
      <c r="B449" s="2">
        <v>7</v>
      </c>
    </row>
    <row r="450" spans="1:2" x14ac:dyDescent="0.5">
      <c r="A450" s="1">
        <v>45740</v>
      </c>
      <c r="B450" s="2">
        <v>4</v>
      </c>
    </row>
    <row r="451" spans="1:2" x14ac:dyDescent="0.5">
      <c r="A451" s="1">
        <v>45741</v>
      </c>
      <c r="B451" s="2">
        <v>5.5</v>
      </c>
    </row>
    <row r="452" spans="1:2" x14ac:dyDescent="0.5">
      <c r="A452" s="1">
        <v>45742</v>
      </c>
      <c r="B452" s="2">
        <v>6</v>
      </c>
    </row>
    <row r="453" spans="1:2" x14ac:dyDescent="0.5">
      <c r="A453" s="1">
        <v>45743</v>
      </c>
      <c r="B453" s="2">
        <v>5.2</v>
      </c>
    </row>
    <row r="454" spans="1:2" x14ac:dyDescent="0.5">
      <c r="A454" s="1">
        <v>45744</v>
      </c>
      <c r="B454" s="2">
        <v>4.5</v>
      </c>
    </row>
    <row r="455" spans="1:2" x14ac:dyDescent="0.5">
      <c r="A455" s="1">
        <v>45745</v>
      </c>
      <c r="B455" s="2">
        <v>4</v>
      </c>
    </row>
    <row r="456" spans="1:2" x14ac:dyDescent="0.5">
      <c r="A456" s="1">
        <v>45746</v>
      </c>
      <c r="B456" s="2">
        <v>6.5</v>
      </c>
    </row>
    <row r="457" spans="1:2" x14ac:dyDescent="0.5">
      <c r="A457" s="1">
        <v>45747</v>
      </c>
      <c r="B457" s="2">
        <v>5.5</v>
      </c>
    </row>
    <row r="458" spans="1:2" x14ac:dyDescent="0.5">
      <c r="A458" s="1">
        <v>45748</v>
      </c>
      <c r="B458" s="2">
        <v>4.8</v>
      </c>
    </row>
    <row r="459" spans="1:2" x14ac:dyDescent="0.5">
      <c r="A459" s="1">
        <v>45749</v>
      </c>
      <c r="B459" s="2">
        <v>4.2</v>
      </c>
    </row>
    <row r="460" spans="1:2" x14ac:dyDescent="0.5">
      <c r="A460" s="1">
        <v>45750</v>
      </c>
      <c r="B460" s="2">
        <v>4</v>
      </c>
    </row>
    <row r="461" spans="1:2" x14ac:dyDescent="0.5">
      <c r="A461" s="1">
        <v>45751</v>
      </c>
      <c r="B461" s="2">
        <v>0</v>
      </c>
    </row>
    <row r="462" spans="1:2" x14ac:dyDescent="0.5">
      <c r="A462" s="1">
        <v>45752</v>
      </c>
      <c r="B462" s="2">
        <v>0.5</v>
      </c>
    </row>
    <row r="463" spans="1:2" x14ac:dyDescent="0.5">
      <c r="A463" s="1">
        <v>45753</v>
      </c>
      <c r="B463" s="2">
        <v>5.2</v>
      </c>
    </row>
    <row r="464" spans="1:2" x14ac:dyDescent="0.5">
      <c r="A464" s="1">
        <v>45754</v>
      </c>
      <c r="B464" s="2">
        <v>6</v>
      </c>
    </row>
    <row r="465" spans="1:2" x14ac:dyDescent="0.5">
      <c r="A465" s="1">
        <v>45755</v>
      </c>
      <c r="B465" s="2">
        <v>4.8</v>
      </c>
    </row>
    <row r="466" spans="1:2" x14ac:dyDescent="0.5">
      <c r="A466" s="1">
        <v>45756</v>
      </c>
      <c r="B466" s="2">
        <v>1</v>
      </c>
    </row>
    <row r="467" spans="1:2" x14ac:dyDescent="0.5">
      <c r="A467" s="1">
        <v>45757</v>
      </c>
      <c r="B467" s="2">
        <v>4</v>
      </c>
    </row>
    <row r="468" spans="1:2" x14ac:dyDescent="0.5">
      <c r="A468" s="1">
        <v>45758</v>
      </c>
      <c r="B468" s="2">
        <v>5</v>
      </c>
    </row>
    <row r="469" spans="1:2" x14ac:dyDescent="0.5">
      <c r="A469" s="1">
        <v>45759</v>
      </c>
      <c r="B469" s="2">
        <v>6</v>
      </c>
    </row>
    <row r="470" spans="1:2" x14ac:dyDescent="0.5">
      <c r="A470" s="1">
        <v>45760</v>
      </c>
      <c r="B470" s="2">
        <v>6.5</v>
      </c>
    </row>
    <row r="471" spans="1:2" x14ac:dyDescent="0.5">
      <c r="A471" s="1">
        <v>45761</v>
      </c>
      <c r="B471" s="2">
        <v>7</v>
      </c>
    </row>
    <row r="472" spans="1:2" x14ac:dyDescent="0.5">
      <c r="A472" s="1">
        <v>45762</v>
      </c>
      <c r="B472" s="2">
        <v>6</v>
      </c>
    </row>
    <row r="473" spans="1:2" x14ac:dyDescent="0.5">
      <c r="A473" s="1">
        <v>45763</v>
      </c>
      <c r="B473" s="2">
        <v>5</v>
      </c>
    </row>
    <row r="474" spans="1:2" x14ac:dyDescent="0.5">
      <c r="A474" s="1">
        <v>45764</v>
      </c>
      <c r="B474" s="2">
        <v>7</v>
      </c>
    </row>
    <row r="475" spans="1:2" x14ac:dyDescent="0.5">
      <c r="A475" s="1">
        <v>45765</v>
      </c>
      <c r="B475" s="2">
        <v>5</v>
      </c>
    </row>
    <row r="476" spans="1:2" x14ac:dyDescent="0.5">
      <c r="A476" s="1">
        <v>45766</v>
      </c>
      <c r="B476" s="2">
        <v>5</v>
      </c>
    </row>
    <row r="477" spans="1:2" x14ac:dyDescent="0.5">
      <c r="A477" s="1">
        <v>45767</v>
      </c>
      <c r="B477" s="2">
        <v>3</v>
      </c>
    </row>
    <row r="478" spans="1:2" x14ac:dyDescent="0.5">
      <c r="A478" s="1">
        <v>45768</v>
      </c>
      <c r="B478" s="2">
        <v>5</v>
      </c>
    </row>
    <row r="479" spans="1:2" x14ac:dyDescent="0.5">
      <c r="A479" s="1">
        <v>45769</v>
      </c>
      <c r="B479" s="2">
        <v>3.5</v>
      </c>
    </row>
    <row r="480" spans="1:2" x14ac:dyDescent="0.5">
      <c r="A480" s="1">
        <v>45770</v>
      </c>
      <c r="B480" s="2">
        <v>2</v>
      </c>
    </row>
    <row r="481" spans="1:2" x14ac:dyDescent="0.5">
      <c r="A481" s="1">
        <v>45771</v>
      </c>
      <c r="B481" s="2">
        <v>5</v>
      </c>
    </row>
    <row r="482" spans="1:2" x14ac:dyDescent="0.5">
      <c r="A482" s="1">
        <v>45772</v>
      </c>
      <c r="B482" s="2">
        <v>7</v>
      </c>
    </row>
    <row r="483" spans="1:2" x14ac:dyDescent="0.5">
      <c r="A483" s="1">
        <v>45773</v>
      </c>
      <c r="B483" s="2">
        <v>4.8</v>
      </c>
    </row>
    <row r="484" spans="1:2" x14ac:dyDescent="0.5">
      <c r="A484" s="1">
        <v>45774</v>
      </c>
      <c r="B484" s="2">
        <v>5</v>
      </c>
    </row>
    <row r="485" spans="1:2" x14ac:dyDescent="0.5">
      <c r="A485" s="1">
        <v>45775</v>
      </c>
      <c r="B485" s="2">
        <v>7</v>
      </c>
    </row>
    <row r="486" spans="1:2" x14ac:dyDescent="0.5">
      <c r="A486" s="1">
        <v>45776</v>
      </c>
      <c r="B486" s="2">
        <v>9</v>
      </c>
    </row>
    <row r="487" spans="1:2" x14ac:dyDescent="0.5">
      <c r="A487" s="1">
        <v>45777</v>
      </c>
      <c r="B487" s="2">
        <v>8.3000000000000007</v>
      </c>
    </row>
    <row r="488" spans="1:2" x14ac:dyDescent="0.5">
      <c r="A488" s="1">
        <v>45778</v>
      </c>
      <c r="B488" s="2">
        <v>6.2</v>
      </c>
    </row>
    <row r="489" spans="1:2" x14ac:dyDescent="0.5">
      <c r="A489" s="1">
        <v>45779</v>
      </c>
      <c r="B489" s="2">
        <v>7.3</v>
      </c>
    </row>
    <row r="490" spans="1:2" x14ac:dyDescent="0.5">
      <c r="A490" s="1">
        <v>45780</v>
      </c>
      <c r="B490" s="2">
        <v>8</v>
      </c>
    </row>
    <row r="491" spans="1:2" x14ac:dyDescent="0.5">
      <c r="A491" s="1">
        <v>45781</v>
      </c>
      <c r="B491" s="2">
        <v>5.5</v>
      </c>
    </row>
    <row r="492" spans="1:2" x14ac:dyDescent="0.5">
      <c r="A492" s="1">
        <v>45782</v>
      </c>
      <c r="B492" s="2">
        <v>5.8</v>
      </c>
    </row>
    <row r="493" spans="1:2" x14ac:dyDescent="0.5">
      <c r="A493" s="1">
        <v>45783</v>
      </c>
      <c r="B493" s="2">
        <v>5.4</v>
      </c>
    </row>
    <row r="494" spans="1:2" x14ac:dyDescent="0.5">
      <c r="A494" s="1">
        <v>45784</v>
      </c>
      <c r="B494" s="2">
        <v>5.2</v>
      </c>
    </row>
    <row r="495" spans="1:2" x14ac:dyDescent="0.5">
      <c r="A495" s="1">
        <v>45785</v>
      </c>
      <c r="B495" s="2">
        <v>5.2</v>
      </c>
    </row>
    <row r="496" spans="1:2" x14ac:dyDescent="0.5">
      <c r="A496" s="1">
        <v>45786</v>
      </c>
      <c r="B496" s="2">
        <v>6</v>
      </c>
    </row>
    <row r="497" spans="1:2" x14ac:dyDescent="0.5">
      <c r="A497" s="1">
        <v>45787</v>
      </c>
      <c r="B497" s="2">
        <v>7</v>
      </c>
    </row>
    <row r="498" spans="1:2" x14ac:dyDescent="0.5">
      <c r="A498" s="1">
        <v>45788</v>
      </c>
      <c r="B498" s="2">
        <v>6.8</v>
      </c>
    </row>
    <row r="499" spans="1:2" x14ac:dyDescent="0.5">
      <c r="A499" s="1">
        <v>45789</v>
      </c>
      <c r="B499" s="2">
        <v>9</v>
      </c>
    </row>
    <row r="500" spans="1:2" x14ac:dyDescent="0.5">
      <c r="A500" s="1">
        <v>45790</v>
      </c>
      <c r="B500" s="2">
        <v>5.5</v>
      </c>
    </row>
    <row r="501" spans="1:2" x14ac:dyDescent="0.5">
      <c r="A501" s="1">
        <v>45791</v>
      </c>
      <c r="B501" s="2">
        <v>5.4</v>
      </c>
    </row>
    <row r="502" spans="1:2" x14ac:dyDescent="0.5">
      <c r="A502" s="1">
        <v>45792</v>
      </c>
      <c r="B502" s="2">
        <v>5.3</v>
      </c>
    </row>
    <row r="503" spans="1:2" x14ac:dyDescent="0.5">
      <c r="A503" s="1">
        <v>45793</v>
      </c>
      <c r="B503" s="2">
        <v>5.2</v>
      </c>
    </row>
    <row r="504" spans="1:2" x14ac:dyDescent="0.5">
      <c r="A504" s="1">
        <v>45794</v>
      </c>
      <c r="B504" s="2">
        <v>6.5</v>
      </c>
    </row>
    <row r="505" spans="1:2" x14ac:dyDescent="0.5">
      <c r="A505" s="1">
        <v>45795</v>
      </c>
      <c r="B505" s="2">
        <v>7</v>
      </c>
    </row>
    <row r="506" spans="1:2" x14ac:dyDescent="0.5">
      <c r="A506" s="1">
        <v>45796</v>
      </c>
      <c r="B506" s="2">
        <v>4.5</v>
      </c>
    </row>
    <row r="507" spans="1:2" x14ac:dyDescent="0.5">
      <c r="A507" s="1">
        <v>45797</v>
      </c>
      <c r="B507" s="2">
        <v>4.5</v>
      </c>
    </row>
    <row r="508" spans="1:2" x14ac:dyDescent="0.5">
      <c r="A508" s="1">
        <v>45798</v>
      </c>
      <c r="B508" s="2">
        <v>6</v>
      </c>
    </row>
    <row r="509" spans="1:2" x14ac:dyDescent="0.5">
      <c r="A509" s="1">
        <v>45799</v>
      </c>
      <c r="B509" s="2">
        <v>7</v>
      </c>
    </row>
    <row r="510" spans="1:2" x14ac:dyDescent="0.5">
      <c r="A510" s="1">
        <v>45800</v>
      </c>
      <c r="B510" s="2">
        <v>5</v>
      </c>
    </row>
    <row r="511" spans="1:2" x14ac:dyDescent="0.5">
      <c r="A511" s="1">
        <v>45801</v>
      </c>
      <c r="B511" s="2">
        <v>7</v>
      </c>
    </row>
    <row r="512" spans="1:2" x14ac:dyDescent="0.5">
      <c r="A512" s="1">
        <v>45802</v>
      </c>
      <c r="B512" s="2">
        <v>7</v>
      </c>
    </row>
    <row r="513" spans="1:2" x14ac:dyDescent="0.5">
      <c r="A513" s="1">
        <v>45803</v>
      </c>
      <c r="B513" s="2">
        <v>6.5</v>
      </c>
    </row>
    <row r="514" spans="1:2" x14ac:dyDescent="0.5">
      <c r="A514" s="1">
        <v>45804</v>
      </c>
      <c r="B514" s="2">
        <v>5.5</v>
      </c>
    </row>
    <row r="515" spans="1:2" x14ac:dyDescent="0.5">
      <c r="A515" s="1">
        <v>45805</v>
      </c>
      <c r="B515" s="2">
        <v>5</v>
      </c>
    </row>
    <row r="516" spans="1:2" x14ac:dyDescent="0.5">
      <c r="A516" s="1">
        <v>45806</v>
      </c>
      <c r="B516" s="2">
        <v>5</v>
      </c>
    </row>
    <row r="517" spans="1:2" x14ac:dyDescent="0.5">
      <c r="A517" s="1">
        <v>45807</v>
      </c>
      <c r="B517" s="2">
        <v>3.5</v>
      </c>
    </row>
    <row r="518" spans="1:2" x14ac:dyDescent="0.5">
      <c r="A518" s="1">
        <v>45808</v>
      </c>
      <c r="B518" s="2">
        <v>4</v>
      </c>
    </row>
    <row r="519" spans="1:2" x14ac:dyDescent="0.5">
      <c r="A519" s="1">
        <v>45809</v>
      </c>
      <c r="B519" s="2">
        <v>5</v>
      </c>
    </row>
    <row r="520" spans="1:2" x14ac:dyDescent="0.5">
      <c r="A520" s="1">
        <v>45810</v>
      </c>
      <c r="B520" s="2">
        <v>0</v>
      </c>
    </row>
    <row r="521" spans="1:2" x14ac:dyDescent="0.5">
      <c r="A521" s="1">
        <v>45811</v>
      </c>
      <c r="B521" s="2">
        <v>4</v>
      </c>
    </row>
    <row r="522" spans="1:2" x14ac:dyDescent="0.5">
      <c r="A522" s="1">
        <v>45812</v>
      </c>
      <c r="B522" s="2">
        <v>4</v>
      </c>
    </row>
    <row r="523" spans="1:2" x14ac:dyDescent="0.5">
      <c r="A523" s="1">
        <v>45813</v>
      </c>
      <c r="B523" s="2">
        <v>6</v>
      </c>
    </row>
    <row r="524" spans="1:2" x14ac:dyDescent="0.5">
      <c r="A524" s="1">
        <v>45814</v>
      </c>
      <c r="B524" s="2">
        <v>5</v>
      </c>
    </row>
    <row r="525" spans="1:2" x14ac:dyDescent="0.5">
      <c r="A525" s="1">
        <v>45815</v>
      </c>
      <c r="B525" s="2">
        <v>5.5</v>
      </c>
    </row>
    <row r="526" spans="1:2" x14ac:dyDescent="0.5">
      <c r="A526" s="1">
        <v>45816</v>
      </c>
      <c r="B526" s="2">
        <v>6</v>
      </c>
    </row>
    <row r="527" spans="1:2" x14ac:dyDescent="0.5">
      <c r="A527" s="1">
        <v>45817</v>
      </c>
      <c r="B527" s="2">
        <v>4</v>
      </c>
    </row>
    <row r="528" spans="1:2" x14ac:dyDescent="0.5">
      <c r="A528" s="1">
        <v>45818</v>
      </c>
      <c r="B528" s="2">
        <v>5</v>
      </c>
    </row>
    <row r="529" spans="1:2" x14ac:dyDescent="0.5">
      <c r="A529" s="1">
        <v>45819</v>
      </c>
      <c r="B529" s="2">
        <v>2</v>
      </c>
    </row>
    <row r="530" spans="1:2" x14ac:dyDescent="0.5">
      <c r="A530" s="1">
        <v>45820</v>
      </c>
      <c r="B530" s="2">
        <v>4</v>
      </c>
    </row>
    <row r="531" spans="1:2" x14ac:dyDescent="0.5">
      <c r="A531" s="1">
        <v>45821</v>
      </c>
      <c r="B531" s="2">
        <v>5</v>
      </c>
    </row>
    <row r="532" spans="1:2" x14ac:dyDescent="0.5">
      <c r="A532" s="1">
        <v>45822</v>
      </c>
      <c r="B532" s="2">
        <v>5</v>
      </c>
    </row>
    <row r="533" spans="1:2" x14ac:dyDescent="0.5">
      <c r="A533" s="1">
        <v>45823</v>
      </c>
      <c r="B533" s="2">
        <v>4.8</v>
      </c>
    </row>
    <row r="534" spans="1:2" x14ac:dyDescent="0.5">
      <c r="A534" s="1">
        <v>45824</v>
      </c>
      <c r="B534" s="2">
        <v>4</v>
      </c>
    </row>
    <row r="535" spans="1:2" x14ac:dyDescent="0.5">
      <c r="A535" s="1">
        <v>45825</v>
      </c>
      <c r="B535" s="2">
        <v>4</v>
      </c>
    </row>
    <row r="536" spans="1:2" x14ac:dyDescent="0.5">
      <c r="A536" s="1">
        <v>45826</v>
      </c>
      <c r="B536" s="2">
        <v>4.5</v>
      </c>
    </row>
    <row r="537" spans="1:2" x14ac:dyDescent="0.5">
      <c r="A537" s="1">
        <v>45827</v>
      </c>
      <c r="B537" s="2">
        <v>4.5</v>
      </c>
    </row>
    <row r="538" spans="1:2" x14ac:dyDescent="0.5">
      <c r="A538" s="1">
        <v>45828</v>
      </c>
      <c r="B538" s="2">
        <v>5</v>
      </c>
    </row>
    <row r="539" spans="1:2" x14ac:dyDescent="0.5">
      <c r="A539" s="1">
        <v>45829</v>
      </c>
      <c r="B539" s="2">
        <v>8.5</v>
      </c>
    </row>
    <row r="540" spans="1:2" x14ac:dyDescent="0.5">
      <c r="A540" s="1">
        <v>45830</v>
      </c>
      <c r="B540" s="2">
        <v>9</v>
      </c>
    </row>
    <row r="541" spans="1:2" x14ac:dyDescent="0.5">
      <c r="A541" s="1">
        <v>45831</v>
      </c>
      <c r="B541" s="2">
        <v>3.5</v>
      </c>
    </row>
    <row r="542" spans="1:2" x14ac:dyDescent="0.5">
      <c r="A542" s="1">
        <v>45832</v>
      </c>
      <c r="B542" s="2">
        <v>6</v>
      </c>
    </row>
    <row r="543" spans="1:2" x14ac:dyDescent="0.5">
      <c r="A543" s="1">
        <v>45833</v>
      </c>
      <c r="B543" s="2">
        <v>6</v>
      </c>
    </row>
    <row r="544" spans="1:2" x14ac:dyDescent="0.5">
      <c r="A544" s="1">
        <v>45834</v>
      </c>
      <c r="B544" s="2">
        <v>4.5</v>
      </c>
    </row>
    <row r="545" spans="1:2" x14ac:dyDescent="0.5">
      <c r="A545" s="1">
        <v>45835</v>
      </c>
      <c r="B545" s="2">
        <v>5</v>
      </c>
    </row>
    <row r="546" spans="1:2" x14ac:dyDescent="0.5">
      <c r="A546" s="1">
        <v>45836</v>
      </c>
      <c r="B546" s="2">
        <v>5</v>
      </c>
    </row>
    <row r="547" spans="1:2" x14ac:dyDescent="0.5">
      <c r="A547" s="1">
        <v>45837</v>
      </c>
      <c r="B547" s="2">
        <v>6</v>
      </c>
    </row>
    <row r="548" spans="1:2" x14ac:dyDescent="0.5">
      <c r="A548" s="1">
        <v>45838</v>
      </c>
      <c r="B548" s="2">
        <v>5</v>
      </c>
    </row>
    <row r="549" spans="1:2" x14ac:dyDescent="0.5">
      <c r="A549" s="1">
        <v>45839</v>
      </c>
      <c r="B549" s="2">
        <v>4</v>
      </c>
    </row>
    <row r="550" spans="1:2" x14ac:dyDescent="0.5">
      <c r="A550" s="1">
        <v>45840</v>
      </c>
      <c r="B550" s="2">
        <v>4.0999999999999996</v>
      </c>
    </row>
    <row r="551" spans="1:2" x14ac:dyDescent="0.5">
      <c r="A551" s="1">
        <v>45841</v>
      </c>
      <c r="B551" s="2">
        <v>4.2</v>
      </c>
    </row>
    <row r="552" spans="1:2" x14ac:dyDescent="0.5">
      <c r="A552" s="1">
        <v>45842</v>
      </c>
      <c r="B552" s="2">
        <v>8.8000000000000007</v>
      </c>
    </row>
    <row r="553" spans="1:2" x14ac:dyDescent="0.5">
      <c r="A553" s="1">
        <v>45843</v>
      </c>
      <c r="B553" s="2">
        <v>9</v>
      </c>
    </row>
    <row r="554" spans="1:2" x14ac:dyDescent="0.5">
      <c r="A554" s="1">
        <v>45844</v>
      </c>
      <c r="B554" s="2">
        <v>4.3</v>
      </c>
    </row>
    <row r="555" spans="1:2" x14ac:dyDescent="0.5">
      <c r="A555" s="1">
        <v>45845</v>
      </c>
      <c r="B555" s="2">
        <v>4.4000000000000004</v>
      </c>
    </row>
    <row r="556" spans="1:2" x14ac:dyDescent="0.5">
      <c r="A556" s="1">
        <v>45846</v>
      </c>
      <c r="B556" s="2">
        <v>5</v>
      </c>
    </row>
    <row r="557" spans="1:2" x14ac:dyDescent="0.5">
      <c r="A557" s="1">
        <v>45847</v>
      </c>
      <c r="B557" s="2">
        <v>1</v>
      </c>
    </row>
    <row r="558" spans="1:2" x14ac:dyDescent="0.5">
      <c r="A558" s="1">
        <v>45848</v>
      </c>
      <c r="B558" s="2">
        <v>6.5</v>
      </c>
    </row>
    <row r="559" spans="1:2" x14ac:dyDescent="0.5">
      <c r="A559" s="1">
        <v>45849</v>
      </c>
      <c r="B559" s="2">
        <v>9.1999999999999993</v>
      </c>
    </row>
    <row r="560" spans="1:2" x14ac:dyDescent="0.5">
      <c r="A560" s="1">
        <v>45850</v>
      </c>
      <c r="B560" s="2">
        <v>4.5</v>
      </c>
    </row>
    <row r="561" spans="1:2" x14ac:dyDescent="0.5">
      <c r="A561" s="1">
        <v>45851</v>
      </c>
      <c r="B561" s="2">
        <v>3</v>
      </c>
    </row>
    <row r="562" spans="1:2" x14ac:dyDescent="0.5">
      <c r="A562" s="1">
        <v>45852</v>
      </c>
      <c r="B562" s="2">
        <v>7.5</v>
      </c>
    </row>
    <row r="563" spans="1:2" x14ac:dyDescent="0.5">
      <c r="A563" s="1">
        <v>45853</v>
      </c>
      <c r="B563" s="2">
        <v>7</v>
      </c>
    </row>
    <row r="564" spans="1:2" x14ac:dyDescent="0.5">
      <c r="A564" s="1">
        <v>45854</v>
      </c>
      <c r="B564" s="2">
        <v>4.5</v>
      </c>
    </row>
    <row r="565" spans="1:2" x14ac:dyDescent="0.5">
      <c r="A565" s="1">
        <v>45855</v>
      </c>
      <c r="B565" s="2">
        <v>4.5</v>
      </c>
    </row>
    <row r="566" spans="1:2" x14ac:dyDescent="0.5">
      <c r="A566" s="1">
        <v>45856</v>
      </c>
      <c r="B566" s="2">
        <v>4.5</v>
      </c>
    </row>
    <row r="567" spans="1:2" x14ac:dyDescent="0.5">
      <c r="A567" s="1">
        <v>45857</v>
      </c>
      <c r="B567" s="2">
        <v>6</v>
      </c>
    </row>
    <row r="568" spans="1:2" x14ac:dyDescent="0.5">
      <c r="A568" s="1">
        <v>45858</v>
      </c>
      <c r="B568" s="2">
        <v>6</v>
      </c>
    </row>
    <row r="569" spans="1:2" x14ac:dyDescent="0.5">
      <c r="A569" s="1">
        <v>45859</v>
      </c>
      <c r="B569" s="2">
        <v>4</v>
      </c>
    </row>
    <row r="570" spans="1:2" x14ac:dyDescent="0.5">
      <c r="A570" s="1">
        <v>45860</v>
      </c>
      <c r="B570" s="2">
        <v>3.5</v>
      </c>
    </row>
    <row r="571" spans="1:2" x14ac:dyDescent="0.5">
      <c r="A571" s="1">
        <v>45861</v>
      </c>
      <c r="B571" s="2">
        <v>4</v>
      </c>
    </row>
    <row r="572" spans="1:2" x14ac:dyDescent="0.5">
      <c r="A572" s="1">
        <v>45862</v>
      </c>
      <c r="B572" s="2">
        <v>4.5</v>
      </c>
    </row>
    <row r="573" spans="1:2" x14ac:dyDescent="0.5">
      <c r="A573" s="1">
        <v>45863</v>
      </c>
      <c r="B573" s="2">
        <v>4.5999999999999996</v>
      </c>
    </row>
    <row r="574" spans="1:2" x14ac:dyDescent="0.5">
      <c r="A574" s="1">
        <v>45864</v>
      </c>
      <c r="B574" s="2">
        <v>8</v>
      </c>
    </row>
    <row r="575" spans="1:2" x14ac:dyDescent="0.5">
      <c r="A575" s="1">
        <v>45865</v>
      </c>
      <c r="B575" s="2">
        <v>7.5</v>
      </c>
    </row>
    <row r="576" spans="1:2" x14ac:dyDescent="0.5">
      <c r="A576" s="1">
        <v>45866</v>
      </c>
      <c r="B576" s="2">
        <v>4.5</v>
      </c>
    </row>
    <row r="577" spans="1:2" x14ac:dyDescent="0.5">
      <c r="A577" s="1">
        <v>45867</v>
      </c>
      <c r="B577" s="2">
        <v>5</v>
      </c>
    </row>
    <row r="578" spans="1:2" x14ac:dyDescent="0.5">
      <c r="A578" s="1">
        <v>45868</v>
      </c>
      <c r="B578" s="2">
        <v>3.5</v>
      </c>
    </row>
    <row r="579" spans="1:2" x14ac:dyDescent="0.5">
      <c r="A579" s="1">
        <v>45869</v>
      </c>
      <c r="B579" s="2">
        <v>10</v>
      </c>
    </row>
    <row r="580" spans="1:2" x14ac:dyDescent="0.5">
      <c r="A580" s="1">
        <v>45870</v>
      </c>
      <c r="B580" s="2">
        <v>7</v>
      </c>
    </row>
    <row r="581" spans="1:2" x14ac:dyDescent="0.5">
      <c r="A581" s="1">
        <v>45871</v>
      </c>
      <c r="B581" s="2">
        <v>4</v>
      </c>
    </row>
    <row r="582" spans="1:2" x14ac:dyDescent="0.5">
      <c r="A582" s="1">
        <v>45872</v>
      </c>
      <c r="B582" s="2">
        <v>2</v>
      </c>
    </row>
    <row r="583" spans="1:2" x14ac:dyDescent="0.5">
      <c r="A583" s="1">
        <v>45873</v>
      </c>
      <c r="B583" s="2">
        <v>4</v>
      </c>
    </row>
    <row r="584" spans="1:2" x14ac:dyDescent="0.5">
      <c r="A584" s="1">
        <v>45874</v>
      </c>
      <c r="B584" s="2">
        <v>3.9</v>
      </c>
    </row>
    <row r="585" spans="1:2" x14ac:dyDescent="0.5">
      <c r="A585" s="1">
        <v>45875</v>
      </c>
      <c r="B585" s="2">
        <v>4</v>
      </c>
    </row>
    <row r="586" spans="1:2" x14ac:dyDescent="0.5">
      <c r="A586" s="1">
        <v>45876</v>
      </c>
      <c r="B586" s="2">
        <v>5.5</v>
      </c>
    </row>
    <row r="587" spans="1:2" x14ac:dyDescent="0.5">
      <c r="A587" s="1">
        <v>45877</v>
      </c>
      <c r="B587" s="2">
        <v>6</v>
      </c>
    </row>
    <row r="588" spans="1:2" x14ac:dyDescent="0.5">
      <c r="A588" s="1">
        <v>45878</v>
      </c>
      <c r="B588" s="2">
        <v>5.8</v>
      </c>
    </row>
    <row r="589" spans="1:2" x14ac:dyDescent="0.5">
      <c r="A589" s="1">
        <v>45879</v>
      </c>
      <c r="B589" s="2">
        <v>4</v>
      </c>
    </row>
    <row r="590" spans="1:2" x14ac:dyDescent="0.5">
      <c r="A590" s="1">
        <v>45880</v>
      </c>
      <c r="B590" s="2">
        <v>5</v>
      </c>
    </row>
    <row r="591" spans="1:2" x14ac:dyDescent="0.5">
      <c r="A591" s="1">
        <v>45881</v>
      </c>
      <c r="B591" s="2">
        <v>5.5</v>
      </c>
    </row>
    <row r="592" spans="1:2" x14ac:dyDescent="0.5">
      <c r="A592" s="1">
        <v>45882</v>
      </c>
      <c r="B592" s="2">
        <v>7.5</v>
      </c>
    </row>
    <row r="593" spans="1:2" x14ac:dyDescent="0.5">
      <c r="A593" s="1">
        <v>45883</v>
      </c>
      <c r="B593" s="2">
        <v>5</v>
      </c>
    </row>
    <row r="594" spans="1:2" x14ac:dyDescent="0.5">
      <c r="A594" s="1">
        <v>45884</v>
      </c>
      <c r="B594" s="2">
        <v>5</v>
      </c>
    </row>
    <row r="595" spans="1:2" x14ac:dyDescent="0.5">
      <c r="A595" s="1">
        <v>45885</v>
      </c>
      <c r="B595" s="2">
        <v>6</v>
      </c>
    </row>
    <row r="596" spans="1:2" x14ac:dyDescent="0.5">
      <c r="A596" s="1">
        <v>45886</v>
      </c>
      <c r="B596" s="2">
        <v>7</v>
      </c>
    </row>
    <row r="597" spans="1:2" x14ac:dyDescent="0.5">
      <c r="A597" s="1">
        <v>45887</v>
      </c>
      <c r="B597" s="2">
        <v>4</v>
      </c>
    </row>
    <row r="598" spans="1:2" x14ac:dyDescent="0.5">
      <c r="A598" s="1">
        <v>45888</v>
      </c>
      <c r="B598" s="2">
        <v>2</v>
      </c>
    </row>
    <row r="599" spans="1:2" x14ac:dyDescent="0.5">
      <c r="A599" s="1">
        <v>45889</v>
      </c>
      <c r="B599" s="2">
        <v>4</v>
      </c>
    </row>
    <row r="600" spans="1:2" x14ac:dyDescent="0.5">
      <c r="A600" s="1">
        <v>45890</v>
      </c>
      <c r="B600" s="2">
        <v>4</v>
      </c>
    </row>
    <row r="601" spans="1:2" x14ac:dyDescent="0.5">
      <c r="A601" s="1">
        <v>45891</v>
      </c>
      <c r="B601" s="2">
        <v>5</v>
      </c>
    </row>
    <row r="602" spans="1:2" x14ac:dyDescent="0.5">
      <c r="A602" s="1">
        <v>45892</v>
      </c>
      <c r="B602" s="2">
        <v>7</v>
      </c>
    </row>
    <row r="603" spans="1:2" x14ac:dyDescent="0.5">
      <c r="A603" s="1">
        <v>45893</v>
      </c>
      <c r="B603" s="2">
        <v>1</v>
      </c>
    </row>
    <row r="604" spans="1:2" x14ac:dyDescent="0.5">
      <c r="A604" s="1">
        <v>45894</v>
      </c>
      <c r="B604" s="2">
        <v>2</v>
      </c>
    </row>
    <row r="605" spans="1:2" x14ac:dyDescent="0.5">
      <c r="A605" s="1">
        <v>45895</v>
      </c>
      <c r="B605" s="2">
        <v>2</v>
      </c>
    </row>
    <row r="606" spans="1:2" x14ac:dyDescent="0.5">
      <c r="A606" s="1">
        <v>45896</v>
      </c>
      <c r="B606" s="2">
        <v>2</v>
      </c>
    </row>
    <row r="607" spans="1:2" x14ac:dyDescent="0.5">
      <c r="A607" s="1">
        <v>45897</v>
      </c>
      <c r="B607" s="2">
        <v>4</v>
      </c>
    </row>
    <row r="608" spans="1:2" x14ac:dyDescent="0.5">
      <c r="A608" s="1">
        <v>45898</v>
      </c>
      <c r="B608" s="2">
        <v>6</v>
      </c>
    </row>
    <row r="609" spans="1:2" x14ac:dyDescent="0.5">
      <c r="A609" s="1">
        <v>45899</v>
      </c>
      <c r="B609" s="2">
        <v>6</v>
      </c>
    </row>
    <row r="610" spans="1:2" x14ac:dyDescent="0.5">
      <c r="A610" s="1">
        <v>45900</v>
      </c>
      <c r="B610" s="2">
        <v>5</v>
      </c>
    </row>
    <row r="611" spans="1:2" x14ac:dyDescent="0.5">
      <c r="A611" s="1">
        <v>45901</v>
      </c>
      <c r="B611" s="2">
        <v>5</v>
      </c>
    </row>
    <row r="612" spans="1:2" x14ac:dyDescent="0.5">
      <c r="A612" s="1">
        <v>45902</v>
      </c>
      <c r="B612" s="2">
        <v>5</v>
      </c>
    </row>
    <row r="613" spans="1:2" x14ac:dyDescent="0.5">
      <c r="A613" s="1">
        <v>45903</v>
      </c>
      <c r="B613" s="2">
        <v>4.5</v>
      </c>
    </row>
    <row r="614" spans="1:2" x14ac:dyDescent="0.5">
      <c r="A614" s="1">
        <v>45904</v>
      </c>
      <c r="B614" s="2">
        <v>5</v>
      </c>
    </row>
    <row r="615" spans="1:2" x14ac:dyDescent="0.5">
      <c r="A615" s="1">
        <v>45905</v>
      </c>
      <c r="B615" s="2">
        <v>6</v>
      </c>
    </row>
    <row r="616" spans="1:2" x14ac:dyDescent="0.5">
      <c r="A616" s="1">
        <v>45906</v>
      </c>
      <c r="B616" s="2">
        <v>7</v>
      </c>
    </row>
    <row r="617" spans="1:2" x14ac:dyDescent="0.5">
      <c r="A617" s="1">
        <v>45907</v>
      </c>
      <c r="B617" s="2">
        <v>7</v>
      </c>
    </row>
    <row r="618" spans="1:2" x14ac:dyDescent="0.5">
      <c r="A618" s="1">
        <v>45908</v>
      </c>
      <c r="B618" s="2">
        <v>6</v>
      </c>
    </row>
    <row r="619" spans="1:2" x14ac:dyDescent="0.5">
      <c r="A619" s="1">
        <v>45909</v>
      </c>
      <c r="B619" s="2">
        <v>3</v>
      </c>
    </row>
    <row r="620" spans="1:2" x14ac:dyDescent="0.5">
      <c r="A620" s="1">
        <v>45910</v>
      </c>
      <c r="B620" s="2">
        <v>5</v>
      </c>
    </row>
    <row r="621" spans="1:2" x14ac:dyDescent="0.5">
      <c r="A621" s="1">
        <v>45911</v>
      </c>
      <c r="B621" s="2">
        <v>4</v>
      </c>
    </row>
    <row r="622" spans="1:2" x14ac:dyDescent="0.5">
      <c r="A622" s="1">
        <v>45912</v>
      </c>
      <c r="B622" s="2">
        <v>4</v>
      </c>
    </row>
    <row r="623" spans="1:2" x14ac:dyDescent="0.5">
      <c r="A623" s="1">
        <v>45913</v>
      </c>
      <c r="B623" s="2">
        <v>4</v>
      </c>
    </row>
    <row r="624" spans="1:2" x14ac:dyDescent="0.5">
      <c r="A624" s="1">
        <v>45914</v>
      </c>
      <c r="B624" s="2">
        <v>3</v>
      </c>
    </row>
    <row r="625" spans="1:2" x14ac:dyDescent="0.5">
      <c r="A625" s="1">
        <v>45915</v>
      </c>
      <c r="B625" s="2">
        <v>8</v>
      </c>
    </row>
    <row r="626" spans="1:2" x14ac:dyDescent="0.5">
      <c r="A626" s="1">
        <v>45916</v>
      </c>
      <c r="B626" s="2">
        <v>6</v>
      </c>
    </row>
    <row r="627" spans="1:2" x14ac:dyDescent="0.5">
      <c r="A627" s="1">
        <v>45917</v>
      </c>
      <c r="B627" s="2">
        <v>10</v>
      </c>
    </row>
    <row r="628" spans="1:2" x14ac:dyDescent="0.5">
      <c r="A628" s="1">
        <v>45918</v>
      </c>
      <c r="B628" s="2">
        <v>6</v>
      </c>
    </row>
    <row r="629" spans="1:2" x14ac:dyDescent="0.5">
      <c r="A629" s="1">
        <v>45919</v>
      </c>
      <c r="B629" s="2">
        <v>8.1</v>
      </c>
    </row>
    <row r="630" spans="1:2" x14ac:dyDescent="0.5">
      <c r="A630" s="1">
        <v>45920</v>
      </c>
      <c r="B630" s="2">
        <v>8</v>
      </c>
    </row>
    <row r="631" spans="1:2" x14ac:dyDescent="0.5">
      <c r="A631" s="1">
        <v>45921</v>
      </c>
      <c r="B631" s="2">
        <v>7.5</v>
      </c>
    </row>
    <row r="632" spans="1:2" x14ac:dyDescent="0.5">
      <c r="A632" s="1">
        <v>45922</v>
      </c>
      <c r="B632" s="2">
        <v>6</v>
      </c>
    </row>
    <row r="633" spans="1:2" x14ac:dyDescent="0.5">
      <c r="A633" s="1">
        <v>45923</v>
      </c>
      <c r="B633" s="2">
        <v>5.5</v>
      </c>
    </row>
    <row r="634" spans="1:2" x14ac:dyDescent="0.5">
      <c r="A634" s="1">
        <v>45924</v>
      </c>
      <c r="B634" s="2">
        <v>5.3</v>
      </c>
    </row>
    <row r="635" spans="1:2" x14ac:dyDescent="0.5">
      <c r="A635" s="1">
        <v>45925</v>
      </c>
      <c r="B635" s="2">
        <v>3.5</v>
      </c>
    </row>
    <row r="636" spans="1:2" x14ac:dyDescent="0.5">
      <c r="A636" s="1">
        <v>45926</v>
      </c>
      <c r="B636" s="2">
        <v>4.5</v>
      </c>
    </row>
    <row r="637" spans="1:2" x14ac:dyDescent="0.5">
      <c r="A637" s="1">
        <v>45927</v>
      </c>
      <c r="B637" s="2">
        <v>6.8</v>
      </c>
    </row>
    <row r="638" spans="1:2" x14ac:dyDescent="0.5">
      <c r="A638" s="1">
        <v>45928</v>
      </c>
      <c r="B638" s="2">
        <v>7.8</v>
      </c>
    </row>
    <row r="639" spans="1:2" x14ac:dyDescent="0.5">
      <c r="A639" s="1">
        <v>45929</v>
      </c>
      <c r="B639" s="2">
        <v>6</v>
      </c>
    </row>
    <row r="640" spans="1:2" x14ac:dyDescent="0.5">
      <c r="A640" s="1">
        <v>45930</v>
      </c>
      <c r="B640" s="2">
        <v>7</v>
      </c>
    </row>
    <row r="641" spans="1:2" x14ac:dyDescent="0.5">
      <c r="A641" s="1">
        <v>45931</v>
      </c>
      <c r="B641" s="2">
        <v>5.6</v>
      </c>
    </row>
    <row r="642" spans="1:2" x14ac:dyDescent="0.5">
      <c r="A642" s="1">
        <v>45932</v>
      </c>
      <c r="B642" s="2">
        <v>6.4</v>
      </c>
    </row>
    <row r="643" spans="1:2" x14ac:dyDescent="0.5">
      <c r="A643" s="1">
        <v>45933</v>
      </c>
      <c r="B643" s="2">
        <v>5</v>
      </c>
    </row>
    <row r="644" spans="1:2" x14ac:dyDescent="0.5">
      <c r="A644" s="1">
        <v>45934</v>
      </c>
      <c r="B644" s="2">
        <v>8</v>
      </c>
    </row>
    <row r="645" spans="1:2" x14ac:dyDescent="0.5">
      <c r="A645" s="1">
        <v>45935</v>
      </c>
      <c r="B645" s="2">
        <v>6.5</v>
      </c>
    </row>
    <row r="646" spans="1:2" x14ac:dyDescent="0.5">
      <c r="A646" s="1">
        <v>45936</v>
      </c>
      <c r="B646" s="2">
        <v>4.5</v>
      </c>
    </row>
    <row r="647" spans="1:2" x14ac:dyDescent="0.5">
      <c r="A647" s="1">
        <v>45937</v>
      </c>
      <c r="B647" s="2">
        <v>4</v>
      </c>
    </row>
    <row r="648" spans="1:2" x14ac:dyDescent="0.5">
      <c r="A648" s="1">
        <v>45938</v>
      </c>
      <c r="B648" s="2">
        <v>4.5</v>
      </c>
    </row>
    <row r="649" spans="1:2" x14ac:dyDescent="0.5">
      <c r="A649" s="1">
        <v>45939</v>
      </c>
      <c r="B649" s="2">
        <v>4.5</v>
      </c>
    </row>
    <row r="650" spans="1:2" x14ac:dyDescent="0.5">
      <c r="A650" s="1">
        <v>45940</v>
      </c>
      <c r="B650" s="2">
        <v>4.5</v>
      </c>
    </row>
    <row r="651" spans="1:2" x14ac:dyDescent="0.5">
      <c r="A651" s="1">
        <v>45941</v>
      </c>
      <c r="B651" s="2">
        <v>6</v>
      </c>
    </row>
    <row r="652" spans="1:2" x14ac:dyDescent="0.5">
      <c r="A652" s="1">
        <v>45942</v>
      </c>
      <c r="B652" s="2">
        <v>3.5</v>
      </c>
    </row>
    <row r="653" spans="1:2" x14ac:dyDescent="0.5">
      <c r="A653" s="1">
        <v>45943</v>
      </c>
      <c r="B653" s="2">
        <v>8</v>
      </c>
    </row>
    <row r="654" spans="1:2" x14ac:dyDescent="0.5">
      <c r="A654" s="1">
        <v>45944</v>
      </c>
      <c r="B654" s="2">
        <v>7</v>
      </c>
    </row>
    <row r="655" spans="1:2" x14ac:dyDescent="0.5">
      <c r="A655" s="1">
        <v>45945</v>
      </c>
      <c r="B655" s="2">
        <v>6</v>
      </c>
    </row>
    <row r="656" spans="1:2" x14ac:dyDescent="0.5">
      <c r="A656" s="1">
        <v>45946</v>
      </c>
      <c r="B656" s="2">
        <v>7</v>
      </c>
    </row>
    <row r="657" spans="1:2" x14ac:dyDescent="0.5">
      <c r="A657" s="1">
        <v>45947</v>
      </c>
      <c r="B657" s="2">
        <v>5.5</v>
      </c>
    </row>
    <row r="658" spans="1:2" x14ac:dyDescent="0.5">
      <c r="A658" s="1">
        <v>45948</v>
      </c>
      <c r="B658" s="2">
        <v>7</v>
      </c>
    </row>
    <row r="659" spans="1:2" x14ac:dyDescent="0.5">
      <c r="A659" s="1">
        <v>45949</v>
      </c>
      <c r="B659" s="2">
        <v>7</v>
      </c>
    </row>
    <row r="660" spans="1:2" x14ac:dyDescent="0.5">
      <c r="A660" s="1">
        <v>45950</v>
      </c>
      <c r="B660" s="2">
        <v>4</v>
      </c>
    </row>
    <row r="661" spans="1:2" x14ac:dyDescent="0.5">
      <c r="A661" s="1">
        <v>45951</v>
      </c>
      <c r="B661" s="2">
        <v>6</v>
      </c>
    </row>
    <row r="662" spans="1:2" x14ac:dyDescent="0.5">
      <c r="A662" s="1">
        <v>45952</v>
      </c>
      <c r="B662" s="2">
        <v>6</v>
      </c>
    </row>
    <row r="663" spans="1:2" x14ac:dyDescent="0.5">
      <c r="A663" s="1">
        <v>45953</v>
      </c>
      <c r="B663" s="2">
        <v>3</v>
      </c>
    </row>
    <row r="664" spans="1:2" x14ac:dyDescent="0.5">
      <c r="A664" s="1">
        <v>45954</v>
      </c>
      <c r="B664" s="2">
        <v>8.3000000000000007</v>
      </c>
    </row>
    <row r="665" spans="1:2" x14ac:dyDescent="0.5">
      <c r="A665" s="1">
        <v>45955</v>
      </c>
      <c r="B665" s="2">
        <v>5.7</v>
      </c>
    </row>
    <row r="666" spans="1:2" x14ac:dyDescent="0.5">
      <c r="A666" s="1">
        <v>45956</v>
      </c>
      <c r="B666" s="2">
        <v>4</v>
      </c>
    </row>
    <row r="667" spans="1:2" x14ac:dyDescent="0.5">
      <c r="A667" s="1">
        <v>45957</v>
      </c>
      <c r="B667" s="2">
        <v>4.5</v>
      </c>
    </row>
    <row r="668" spans="1:2" x14ac:dyDescent="0.5">
      <c r="A668" s="1">
        <v>45958</v>
      </c>
      <c r="B668" s="2">
        <v>7</v>
      </c>
    </row>
    <row r="669" spans="1:2" x14ac:dyDescent="0.5">
      <c r="A669" s="1">
        <v>45959</v>
      </c>
      <c r="B669" s="2">
        <v>4.5</v>
      </c>
    </row>
    <row r="670" spans="1:2" x14ac:dyDescent="0.5">
      <c r="A670" s="1">
        <v>45960</v>
      </c>
      <c r="B670" s="2">
        <v>5</v>
      </c>
    </row>
    <row r="671" spans="1:2" x14ac:dyDescent="0.5">
      <c r="A671" s="1">
        <v>45961</v>
      </c>
      <c r="B671" s="2">
        <v>6</v>
      </c>
    </row>
    <row r="672" spans="1:2" x14ac:dyDescent="0.5">
      <c r="A672" s="1">
        <v>45962</v>
      </c>
      <c r="B672" s="2">
        <v>4.8</v>
      </c>
    </row>
    <row r="673" spans="1:2" x14ac:dyDescent="0.5">
      <c r="A673" s="1">
        <v>45963</v>
      </c>
      <c r="B673" s="2">
        <v>4.5</v>
      </c>
    </row>
    <row r="674" spans="1:2" x14ac:dyDescent="0.5">
      <c r="A674" s="1">
        <v>45964</v>
      </c>
      <c r="B674" s="2">
        <v>0.5</v>
      </c>
    </row>
    <row r="675" spans="1:2" x14ac:dyDescent="0.5">
      <c r="A675" s="1">
        <v>45965</v>
      </c>
      <c r="B675" s="2">
        <v>6</v>
      </c>
    </row>
    <row r="676" spans="1:2" x14ac:dyDescent="0.5">
      <c r="A676" s="1">
        <v>45966</v>
      </c>
      <c r="B676" s="2">
        <v>5</v>
      </c>
    </row>
    <row r="677" spans="1:2" x14ac:dyDescent="0.5">
      <c r="A677" s="1">
        <v>45967</v>
      </c>
      <c r="B677" s="2">
        <v>6</v>
      </c>
    </row>
    <row r="678" spans="1:2" x14ac:dyDescent="0.5">
      <c r="A678" s="1">
        <v>45968</v>
      </c>
      <c r="B678" s="2">
        <v>5.8</v>
      </c>
    </row>
    <row r="679" spans="1:2" x14ac:dyDescent="0.5">
      <c r="A679" s="1">
        <v>45969</v>
      </c>
      <c r="B679" s="2">
        <v>6</v>
      </c>
    </row>
    <row r="680" spans="1:2" x14ac:dyDescent="0.5">
      <c r="A680" s="1">
        <v>45970</v>
      </c>
      <c r="B680" s="2">
        <v>5.5</v>
      </c>
    </row>
    <row r="681" spans="1:2" x14ac:dyDescent="0.5">
      <c r="A681" s="1">
        <v>45971</v>
      </c>
      <c r="B681" s="2">
        <v>5.6</v>
      </c>
    </row>
    <row r="682" spans="1:2" x14ac:dyDescent="0.5">
      <c r="A682" s="1">
        <v>45972</v>
      </c>
      <c r="B682" s="2">
        <v>5</v>
      </c>
    </row>
    <row r="683" spans="1:2" x14ac:dyDescent="0.5">
      <c r="A683" s="1">
        <v>45973</v>
      </c>
      <c r="B683" s="2">
        <v>6.5</v>
      </c>
    </row>
    <row r="684" spans="1:2" x14ac:dyDescent="0.5">
      <c r="A684" s="1">
        <v>45974</v>
      </c>
      <c r="B684" s="2">
        <v>5.5</v>
      </c>
    </row>
    <row r="685" spans="1:2" x14ac:dyDescent="0.5">
      <c r="A685" s="1">
        <v>45975</v>
      </c>
      <c r="B685" s="2">
        <v>7.5</v>
      </c>
    </row>
    <row r="686" spans="1:2" x14ac:dyDescent="0.5">
      <c r="A686" s="1">
        <v>45976</v>
      </c>
      <c r="B686" s="2">
        <v>9</v>
      </c>
    </row>
    <row r="687" spans="1:2" x14ac:dyDescent="0.5">
      <c r="A687" s="1">
        <v>45977</v>
      </c>
      <c r="B687" s="2">
        <v>6.8</v>
      </c>
    </row>
    <row r="688" spans="1:2" x14ac:dyDescent="0.5">
      <c r="A688" s="1">
        <v>45978</v>
      </c>
      <c r="B688" s="2">
        <v>7</v>
      </c>
    </row>
    <row r="689" spans="1:2" x14ac:dyDescent="0.5">
      <c r="A689" s="1">
        <v>45979</v>
      </c>
      <c r="B689" s="2">
        <v>6</v>
      </c>
    </row>
    <row r="690" spans="1:2" x14ac:dyDescent="0.5">
      <c r="A690" s="1">
        <v>45980</v>
      </c>
      <c r="B690" s="2">
        <v>6</v>
      </c>
    </row>
    <row r="691" spans="1:2" x14ac:dyDescent="0.5">
      <c r="A691" s="1">
        <v>45981</v>
      </c>
      <c r="B691" s="2">
        <v>5.6</v>
      </c>
    </row>
    <row r="692" spans="1:2" x14ac:dyDescent="0.5">
      <c r="A692" s="1">
        <v>45982</v>
      </c>
      <c r="B692" s="2">
        <v>5.5</v>
      </c>
    </row>
    <row r="693" spans="1:2" x14ac:dyDescent="0.5">
      <c r="A693" s="1">
        <v>45983</v>
      </c>
      <c r="B693" s="2">
        <v>5</v>
      </c>
    </row>
    <row r="694" spans="1:2" x14ac:dyDescent="0.5">
      <c r="A694" s="1">
        <v>45984</v>
      </c>
      <c r="B694" s="2">
        <v>8</v>
      </c>
    </row>
    <row r="695" spans="1:2" x14ac:dyDescent="0.5">
      <c r="A695" s="1">
        <v>45985</v>
      </c>
      <c r="B695" s="2">
        <v>7.5</v>
      </c>
    </row>
    <row r="696" spans="1:2" x14ac:dyDescent="0.5">
      <c r="A696" s="1">
        <v>45986</v>
      </c>
      <c r="B696" s="2">
        <v>10</v>
      </c>
    </row>
    <row r="697" spans="1:2" x14ac:dyDescent="0.5">
      <c r="A697" s="1">
        <v>45987</v>
      </c>
      <c r="B697" s="2">
        <v>9.9</v>
      </c>
    </row>
    <row r="698" spans="1:2" x14ac:dyDescent="0.5">
      <c r="A698" s="1">
        <v>45988</v>
      </c>
      <c r="B698" s="2">
        <v>4.7</v>
      </c>
    </row>
    <row r="699" spans="1:2" x14ac:dyDescent="0.5">
      <c r="A699" s="1">
        <v>45989</v>
      </c>
      <c r="B699" s="2">
        <v>5.3</v>
      </c>
    </row>
    <row r="700" spans="1:2" x14ac:dyDescent="0.5">
      <c r="A700" s="1">
        <v>45990</v>
      </c>
      <c r="B700" s="2">
        <v>4.7</v>
      </c>
    </row>
    <row r="701" spans="1:2" x14ac:dyDescent="0.5">
      <c r="A701" s="1">
        <v>45991</v>
      </c>
      <c r="B701" s="2">
        <v>7</v>
      </c>
    </row>
    <row r="702" spans="1:2" x14ac:dyDescent="0.5">
      <c r="A702" s="1">
        <v>45992</v>
      </c>
      <c r="B702" s="2">
        <v>7</v>
      </c>
    </row>
    <row r="703" spans="1:2" x14ac:dyDescent="0.5">
      <c r="A703" s="1">
        <v>45993</v>
      </c>
      <c r="B703" s="2">
        <v>7</v>
      </c>
    </row>
    <row r="704" spans="1:2" x14ac:dyDescent="0.5">
      <c r="A704" s="1">
        <v>45994</v>
      </c>
      <c r="B704" s="2">
        <v>5</v>
      </c>
    </row>
    <row r="705" spans="1:2" x14ac:dyDescent="0.5">
      <c r="A705" s="1">
        <v>45995</v>
      </c>
      <c r="B705" s="2">
        <v>5.8</v>
      </c>
    </row>
    <row r="706" spans="1:2" x14ac:dyDescent="0.5">
      <c r="A706" s="1">
        <v>45996</v>
      </c>
      <c r="B706" s="2">
        <v>5.5</v>
      </c>
    </row>
    <row r="707" spans="1:2" x14ac:dyDescent="0.5">
      <c r="A707" s="1">
        <v>45997</v>
      </c>
      <c r="B707" s="2">
        <v>5.4</v>
      </c>
    </row>
    <row r="708" spans="1:2" x14ac:dyDescent="0.5">
      <c r="A708" s="1">
        <v>45998</v>
      </c>
      <c r="B708" s="2">
        <v>5.3</v>
      </c>
    </row>
    <row r="709" spans="1:2" x14ac:dyDescent="0.5">
      <c r="A709" s="1">
        <v>45999</v>
      </c>
      <c r="B709" s="2">
        <v>4.5</v>
      </c>
    </row>
    <row r="710" spans="1:2" x14ac:dyDescent="0.5">
      <c r="A710" s="1">
        <v>46000</v>
      </c>
      <c r="B710" s="2">
        <v>4.7</v>
      </c>
    </row>
    <row r="711" spans="1:2" x14ac:dyDescent="0.5">
      <c r="A711" s="1">
        <v>46001</v>
      </c>
      <c r="B711" s="2">
        <v>5</v>
      </c>
    </row>
    <row r="712" spans="1:2" x14ac:dyDescent="0.5">
      <c r="A712" s="1">
        <v>46002</v>
      </c>
      <c r="B712" s="2">
        <v>5.5</v>
      </c>
    </row>
    <row r="713" spans="1:2" x14ac:dyDescent="0.5">
      <c r="A713" s="1">
        <v>46003</v>
      </c>
      <c r="B713" s="2">
        <v>6</v>
      </c>
    </row>
    <row r="714" spans="1:2" x14ac:dyDescent="0.5">
      <c r="A714" s="1">
        <v>46004</v>
      </c>
      <c r="B714" s="2">
        <v>8</v>
      </c>
    </row>
    <row r="715" spans="1:2" x14ac:dyDescent="0.5">
      <c r="A715" s="1">
        <v>46005</v>
      </c>
      <c r="B715" s="2">
        <v>6</v>
      </c>
    </row>
    <row r="716" spans="1:2" x14ac:dyDescent="0.5">
      <c r="A716" s="1">
        <v>46006</v>
      </c>
      <c r="B716" s="2">
        <v>8</v>
      </c>
    </row>
    <row r="717" spans="1:2" x14ac:dyDescent="0.5">
      <c r="A717" s="1">
        <v>46007</v>
      </c>
      <c r="B717" s="2">
        <v>4.0999999999999996</v>
      </c>
    </row>
    <row r="718" spans="1:2" x14ac:dyDescent="0.5">
      <c r="A718" s="1">
        <v>46008</v>
      </c>
      <c r="B718" s="2">
        <v>4.5</v>
      </c>
    </row>
    <row r="719" spans="1:2" x14ac:dyDescent="0.5">
      <c r="A719" s="1">
        <v>46009</v>
      </c>
      <c r="B719" s="2">
        <v>3</v>
      </c>
    </row>
    <row r="720" spans="1:2" x14ac:dyDescent="0.5">
      <c r="A720" s="1">
        <v>46010</v>
      </c>
      <c r="B720" s="2">
        <v>8</v>
      </c>
    </row>
    <row r="721" spans="1:2" x14ac:dyDescent="0.5">
      <c r="A721" s="1">
        <v>46011</v>
      </c>
      <c r="B721" s="2">
        <v>5.5</v>
      </c>
    </row>
    <row r="722" spans="1:2" x14ac:dyDescent="0.5">
      <c r="A722" s="1">
        <v>46012</v>
      </c>
      <c r="B722" s="2">
        <v>6</v>
      </c>
    </row>
    <row r="723" spans="1:2" x14ac:dyDescent="0.5">
      <c r="A723" s="1">
        <v>46013</v>
      </c>
      <c r="B723" s="2">
        <v>4.9000000000000004</v>
      </c>
    </row>
    <row r="724" spans="1:2" x14ac:dyDescent="0.5">
      <c r="A724" s="1">
        <v>46014</v>
      </c>
      <c r="B724" s="2">
        <v>5.3</v>
      </c>
    </row>
    <row r="725" spans="1:2" x14ac:dyDescent="0.5">
      <c r="A725" s="1">
        <v>46015</v>
      </c>
      <c r="B725" s="2">
        <v>5.3</v>
      </c>
    </row>
    <row r="726" spans="1:2" x14ac:dyDescent="0.5">
      <c r="A726" s="1">
        <v>46016</v>
      </c>
      <c r="B726" s="2">
        <v>6</v>
      </c>
    </row>
    <row r="727" spans="1:2" x14ac:dyDescent="0.5">
      <c r="A727" s="1">
        <v>46017</v>
      </c>
      <c r="B727" s="2">
        <v>9.5</v>
      </c>
    </row>
    <row r="728" spans="1:2" x14ac:dyDescent="0.5">
      <c r="A728" s="1">
        <v>46018</v>
      </c>
      <c r="B728" s="2">
        <v>6</v>
      </c>
    </row>
    <row r="729" spans="1:2" x14ac:dyDescent="0.5">
      <c r="A729" s="1">
        <v>46019</v>
      </c>
      <c r="B729" s="2">
        <v>8</v>
      </c>
    </row>
    <row r="730" spans="1:2" x14ac:dyDescent="0.5">
      <c r="A730" s="1">
        <v>46020</v>
      </c>
      <c r="B730" s="2">
        <v>4.8</v>
      </c>
    </row>
    <row r="731" spans="1:2" x14ac:dyDescent="0.5">
      <c r="A731" s="1">
        <v>46021</v>
      </c>
      <c r="B731" s="2">
        <v>5</v>
      </c>
    </row>
    <row r="732" spans="1:2" ht="14.7" thickBot="1" x14ac:dyDescent="0.55000000000000004">
      <c r="A732" s="1">
        <v>46022</v>
      </c>
      <c r="B732" s="2">
        <v>6</v>
      </c>
    </row>
    <row r="733" spans="1:2" x14ac:dyDescent="0.5">
      <c r="A733" s="71">
        <v>46023</v>
      </c>
      <c r="B733" s="72">
        <v>6</v>
      </c>
    </row>
    <row r="734" spans="1:2" ht="14.7" thickBot="1" x14ac:dyDescent="0.55000000000000004">
      <c r="A734" s="53">
        <v>46024</v>
      </c>
      <c r="B734" s="2">
        <v>4.5</v>
      </c>
    </row>
    <row r="735" spans="1:2" x14ac:dyDescent="0.5">
      <c r="A735" s="71">
        <v>46025</v>
      </c>
      <c r="B735" s="2">
        <v>7.8</v>
      </c>
    </row>
    <row r="736" spans="1:2" ht="14.7" thickBot="1" x14ac:dyDescent="0.55000000000000004">
      <c r="A736" s="53">
        <v>46026</v>
      </c>
      <c r="B736" s="2">
        <v>5.8</v>
      </c>
    </row>
    <row r="737" spans="1:2" x14ac:dyDescent="0.5">
      <c r="A737" s="71">
        <v>46027</v>
      </c>
      <c r="B737" s="2">
        <v>5.9</v>
      </c>
    </row>
    <row r="738" spans="1:2" ht="14.7" thickBot="1" x14ac:dyDescent="0.55000000000000004">
      <c r="A738" s="53">
        <v>46028</v>
      </c>
      <c r="B738" s="2">
        <v>7.5</v>
      </c>
    </row>
    <row r="739" spans="1:2" x14ac:dyDescent="0.5">
      <c r="A739" s="71">
        <v>46029</v>
      </c>
      <c r="B739" s="2">
        <v>4.8</v>
      </c>
    </row>
    <row r="740" spans="1:2" ht="14.7" thickBot="1" x14ac:dyDescent="0.55000000000000004">
      <c r="A740" s="53">
        <v>46030</v>
      </c>
      <c r="B740" s="2">
        <v>4.5</v>
      </c>
    </row>
    <row r="741" spans="1:2" x14ac:dyDescent="0.5">
      <c r="A741" s="71">
        <v>46031</v>
      </c>
      <c r="B741" s="2">
        <v>6.5</v>
      </c>
    </row>
    <row r="742" spans="1:2" ht="14.7" thickBot="1" x14ac:dyDescent="0.55000000000000004">
      <c r="A742" s="53">
        <v>46032</v>
      </c>
      <c r="B742" s="2">
        <v>5.0999999999999996</v>
      </c>
    </row>
    <row r="743" spans="1:2" x14ac:dyDescent="0.5">
      <c r="A743" s="71">
        <v>46033</v>
      </c>
      <c r="B743" s="2">
        <v>6</v>
      </c>
    </row>
    <row r="744" spans="1:2" ht="14.7" thickBot="1" x14ac:dyDescent="0.55000000000000004">
      <c r="A744" s="53">
        <v>46034</v>
      </c>
      <c r="B744" s="2">
        <v>3.9</v>
      </c>
    </row>
    <row r="745" spans="1:2" x14ac:dyDescent="0.5">
      <c r="A745" s="71">
        <v>46035</v>
      </c>
      <c r="B745" s="2">
        <v>4.4000000000000004</v>
      </c>
    </row>
    <row r="746" spans="1:2" ht="14.7" thickBot="1" x14ac:dyDescent="0.55000000000000004">
      <c r="A746" s="53">
        <v>46036</v>
      </c>
      <c r="B746" s="2">
        <v>5.3</v>
      </c>
    </row>
    <row r="747" spans="1:2" x14ac:dyDescent="0.5">
      <c r="A747" s="71">
        <v>46037</v>
      </c>
      <c r="B747" s="2">
        <v>5.4</v>
      </c>
    </row>
    <row r="748" spans="1:2" ht="14.7" thickBot="1" x14ac:dyDescent="0.55000000000000004">
      <c r="A748" s="53">
        <v>46038</v>
      </c>
      <c r="B748" s="2">
        <v>6</v>
      </c>
    </row>
    <row r="749" spans="1:2" x14ac:dyDescent="0.5">
      <c r="A749" s="71">
        <v>46039</v>
      </c>
      <c r="B749" s="2">
        <v>6.9</v>
      </c>
    </row>
    <row r="750" spans="1:2" ht="14.7" thickBot="1" x14ac:dyDescent="0.55000000000000004">
      <c r="A750" s="53">
        <v>46040</v>
      </c>
      <c r="B750" s="2">
        <v>7.6</v>
      </c>
    </row>
    <row r="751" spans="1:2" x14ac:dyDescent="0.5">
      <c r="A751" s="71">
        <v>46041</v>
      </c>
      <c r="B751" s="2">
        <v>6.5</v>
      </c>
    </row>
    <row r="752" spans="1:2" ht="14.7" thickBot="1" x14ac:dyDescent="0.55000000000000004">
      <c r="A752" s="53">
        <v>46042</v>
      </c>
      <c r="B752" s="2">
        <v>6</v>
      </c>
    </row>
    <row r="753" spans="1:2" x14ac:dyDescent="0.5">
      <c r="A753" s="71">
        <v>46043</v>
      </c>
      <c r="B753" s="2">
        <v>6.7</v>
      </c>
    </row>
    <row r="754" spans="1:2" ht="14.7" thickBot="1" x14ac:dyDescent="0.55000000000000004">
      <c r="A754" s="53">
        <v>46044</v>
      </c>
      <c r="B754" s="2">
        <v>5.8</v>
      </c>
    </row>
    <row r="755" spans="1:2" x14ac:dyDescent="0.5">
      <c r="A755" s="71">
        <v>46045</v>
      </c>
      <c r="B755" s="2">
        <v>7</v>
      </c>
    </row>
    <row r="756" spans="1:2" ht="14.7" thickBot="1" x14ac:dyDescent="0.55000000000000004">
      <c r="A756" s="53">
        <v>46046</v>
      </c>
      <c r="B756" s="2">
        <v>7</v>
      </c>
    </row>
    <row r="757" spans="1:2" x14ac:dyDescent="0.5">
      <c r="A757" s="71">
        <v>46047</v>
      </c>
      <c r="B757" s="2">
        <v>6</v>
      </c>
    </row>
    <row r="758" spans="1:2" ht="14.7" thickBot="1" x14ac:dyDescent="0.55000000000000004">
      <c r="A758" s="53">
        <v>46048</v>
      </c>
      <c r="B758" s="2">
        <v>5.0999999999999996</v>
      </c>
    </row>
    <row r="759" spans="1:2" x14ac:dyDescent="0.5">
      <c r="A759" s="71">
        <v>46049</v>
      </c>
      <c r="B759" s="2">
        <v>5.3</v>
      </c>
    </row>
    <row r="760" spans="1:2" ht="14.7" thickBot="1" x14ac:dyDescent="0.55000000000000004">
      <c r="A760" s="53">
        <v>46050</v>
      </c>
      <c r="B760" s="2">
        <v>5</v>
      </c>
    </row>
    <row r="761" spans="1:2" x14ac:dyDescent="0.5">
      <c r="A761" s="71">
        <v>46051</v>
      </c>
      <c r="B761" s="2">
        <v>8</v>
      </c>
    </row>
    <row r="762" spans="1:2" ht="14.7" thickBot="1" x14ac:dyDescent="0.55000000000000004">
      <c r="A762" s="53">
        <v>46052</v>
      </c>
      <c r="B762" s="2">
        <v>7</v>
      </c>
    </row>
    <row r="763" spans="1:2" ht="14.7" thickBot="1" x14ac:dyDescent="0.55000000000000004">
      <c r="A763" s="71">
        <v>46053</v>
      </c>
      <c r="B763" s="55">
        <v>4.5</v>
      </c>
    </row>
    <row r="764" spans="1:2" ht="14.7" thickBot="1" x14ac:dyDescent="0.55000000000000004">
      <c r="A764" s="53">
        <v>46054</v>
      </c>
      <c r="B764" s="48">
        <v>5</v>
      </c>
    </row>
    <row r="765" spans="1:2" x14ac:dyDescent="0.5">
      <c r="A765" s="71">
        <v>46055</v>
      </c>
      <c r="B765" s="2">
        <v>5.4</v>
      </c>
    </row>
    <row r="766" spans="1:2" ht="14.7" thickBot="1" x14ac:dyDescent="0.55000000000000004">
      <c r="A766" s="53">
        <v>46056</v>
      </c>
      <c r="B766" s="2">
        <v>6</v>
      </c>
    </row>
    <row r="767" spans="1:2" x14ac:dyDescent="0.5">
      <c r="A767" s="71">
        <v>46057</v>
      </c>
      <c r="B767" s="2">
        <v>7.4</v>
      </c>
    </row>
    <row r="768" spans="1:2" ht="14.7" thickBot="1" x14ac:dyDescent="0.55000000000000004">
      <c r="A768" s="53">
        <v>46058</v>
      </c>
      <c r="B768" s="2">
        <v>6</v>
      </c>
    </row>
    <row r="769" spans="1:2" x14ac:dyDescent="0.5">
      <c r="A769" s="71">
        <v>46059</v>
      </c>
      <c r="B769" s="2">
        <v>10</v>
      </c>
    </row>
    <row r="770" spans="1:2" ht="14.7" thickBot="1" x14ac:dyDescent="0.55000000000000004">
      <c r="A770" s="53">
        <v>46060</v>
      </c>
      <c r="B770" s="2">
        <v>8</v>
      </c>
    </row>
    <row r="771" spans="1:2" x14ac:dyDescent="0.5">
      <c r="A771" s="71">
        <v>46061</v>
      </c>
      <c r="B771" s="2">
        <v>6</v>
      </c>
    </row>
    <row r="772" spans="1:2" ht="14.7" thickBot="1" x14ac:dyDescent="0.55000000000000004">
      <c r="A772" s="53">
        <v>46062</v>
      </c>
      <c r="B772" s="2">
        <v>5.3</v>
      </c>
    </row>
    <row r="773" spans="1:2" x14ac:dyDescent="0.5">
      <c r="A773" s="71">
        <v>46063</v>
      </c>
      <c r="B773" s="2">
        <v>5.6</v>
      </c>
    </row>
    <row r="774" spans="1:2" ht="14.7" thickBot="1" x14ac:dyDescent="0.55000000000000004">
      <c r="A774" s="53">
        <v>46064</v>
      </c>
      <c r="B774" s="2">
        <v>6.5</v>
      </c>
    </row>
    <row r="775" spans="1:2" x14ac:dyDescent="0.5">
      <c r="A775" s="71">
        <v>46065</v>
      </c>
      <c r="B775" s="2">
        <v>5</v>
      </c>
    </row>
    <row r="776" spans="1:2" ht="14.7" thickBot="1" x14ac:dyDescent="0.55000000000000004">
      <c r="A776" s="53">
        <v>46066</v>
      </c>
      <c r="B776" s="2">
        <v>5.2</v>
      </c>
    </row>
    <row r="777" spans="1:2" x14ac:dyDescent="0.5">
      <c r="A777" s="71">
        <v>46067</v>
      </c>
      <c r="B777" s="2">
        <v>5.5</v>
      </c>
    </row>
    <row r="778" spans="1:2" ht="14.7" thickBot="1" x14ac:dyDescent="0.55000000000000004">
      <c r="A778" s="53">
        <v>46068</v>
      </c>
      <c r="B778" s="2">
        <v>5.8</v>
      </c>
    </row>
    <row r="779" spans="1:2" x14ac:dyDescent="0.5">
      <c r="A779" s="71">
        <v>46069</v>
      </c>
      <c r="B779" s="2">
        <v>4</v>
      </c>
    </row>
    <row r="780" spans="1:2" ht="14.7" thickBot="1" x14ac:dyDescent="0.55000000000000004">
      <c r="A780" s="53">
        <v>46070</v>
      </c>
      <c r="B780" s="2">
        <v>7</v>
      </c>
    </row>
    <row r="781" spans="1:2" x14ac:dyDescent="0.5">
      <c r="A781" s="71">
        <v>46071</v>
      </c>
      <c r="B781" s="2">
        <v>6.8</v>
      </c>
    </row>
    <row r="782" spans="1:2" ht="14.7" thickBot="1" x14ac:dyDescent="0.55000000000000004">
      <c r="A782" s="53">
        <v>46072</v>
      </c>
      <c r="B782" s="2">
        <v>7.5</v>
      </c>
    </row>
    <row r="783" spans="1:2" x14ac:dyDescent="0.5">
      <c r="A783" s="71">
        <v>46073</v>
      </c>
      <c r="B783" s="2">
        <v>7.2</v>
      </c>
    </row>
    <row r="784" spans="1:2" ht="14.7" thickBot="1" x14ac:dyDescent="0.55000000000000004">
      <c r="A784" s="53">
        <v>46074</v>
      </c>
      <c r="B784" s="2">
        <v>7</v>
      </c>
    </row>
    <row r="785" spans="1:2" x14ac:dyDescent="0.5">
      <c r="A785" s="71">
        <v>46075</v>
      </c>
      <c r="B785" s="2">
        <v>7.6</v>
      </c>
    </row>
    <row r="786" spans="1:2" ht="14.7" thickBot="1" x14ac:dyDescent="0.55000000000000004">
      <c r="A786" s="53">
        <v>46076</v>
      </c>
      <c r="B786" s="2">
        <v>9</v>
      </c>
    </row>
    <row r="787" spans="1:2" x14ac:dyDescent="0.5">
      <c r="A787" s="71">
        <v>46077</v>
      </c>
      <c r="B787" s="2">
        <v>5.5</v>
      </c>
    </row>
    <row r="788" spans="1:2" ht="14.7" thickBot="1" x14ac:dyDescent="0.55000000000000004">
      <c r="A788" s="53">
        <v>46078</v>
      </c>
      <c r="B788" s="2">
        <v>7.8</v>
      </c>
    </row>
    <row r="789" spans="1:2" x14ac:dyDescent="0.5">
      <c r="A789" s="71">
        <v>46079</v>
      </c>
      <c r="B789" s="2">
        <v>6</v>
      </c>
    </row>
    <row r="790" spans="1:2" ht="14.7" thickBot="1" x14ac:dyDescent="0.55000000000000004">
      <c r="A790" s="53">
        <v>46080</v>
      </c>
      <c r="B790" s="2">
        <v>6.5</v>
      </c>
    </row>
    <row r="791" spans="1:2" x14ac:dyDescent="0.5">
      <c r="A791" s="71">
        <v>46081</v>
      </c>
      <c r="B791" s="2">
        <v>7.3</v>
      </c>
    </row>
    <row r="792" spans="1:2" ht="14.7" thickBot="1" x14ac:dyDescent="0.55000000000000004">
      <c r="A792" s="53">
        <v>46082</v>
      </c>
      <c r="B792" s="2">
        <v>6.5</v>
      </c>
    </row>
    <row r="793" spans="1:2" x14ac:dyDescent="0.5">
      <c r="A793" s="71">
        <v>46083</v>
      </c>
      <c r="B793" s="2">
        <v>6</v>
      </c>
    </row>
    <row r="794" spans="1:2" ht="14.7" thickBot="1" x14ac:dyDescent="0.55000000000000004">
      <c r="A794" s="53">
        <v>46084</v>
      </c>
      <c r="B794" s="2">
        <v>6.8</v>
      </c>
    </row>
    <row r="795" spans="1:2" x14ac:dyDescent="0.5">
      <c r="A795" s="71">
        <v>46085</v>
      </c>
      <c r="B795" s="2">
        <v>7</v>
      </c>
    </row>
    <row r="796" spans="1:2" ht="14.7" thickBot="1" x14ac:dyDescent="0.55000000000000004">
      <c r="A796" s="53">
        <v>46086</v>
      </c>
      <c r="B796" s="2">
        <v>6.9</v>
      </c>
    </row>
    <row r="797" spans="1:2" x14ac:dyDescent="0.5">
      <c r="A797" s="71">
        <v>46087</v>
      </c>
      <c r="B797" s="2">
        <v>6.5</v>
      </c>
    </row>
    <row r="798" spans="1:2" ht="14.7" thickBot="1" x14ac:dyDescent="0.55000000000000004">
      <c r="A798" s="53">
        <v>46088</v>
      </c>
      <c r="B798" s="2">
        <v>5</v>
      </c>
    </row>
    <row r="799" spans="1:2" x14ac:dyDescent="0.5">
      <c r="A799" s="71">
        <v>46089</v>
      </c>
      <c r="B799" s="2">
        <v>8.4</v>
      </c>
    </row>
    <row r="800" spans="1:2" ht="14.7" thickBot="1" x14ac:dyDescent="0.55000000000000004">
      <c r="A800" s="53">
        <v>46090</v>
      </c>
      <c r="B800" s="2">
        <v>5.3</v>
      </c>
    </row>
    <row r="801" spans="1:2" x14ac:dyDescent="0.5">
      <c r="A801" s="71">
        <v>46091</v>
      </c>
      <c r="B801" s="2">
        <v>5.8</v>
      </c>
    </row>
    <row r="802" spans="1:2" ht="14.7" thickBot="1" x14ac:dyDescent="0.55000000000000004">
      <c r="A802" s="53">
        <v>46092</v>
      </c>
      <c r="B802" s="2">
        <v>5.5</v>
      </c>
    </row>
    <row r="803" spans="1:2" x14ac:dyDescent="0.5">
      <c r="A803" s="71">
        <v>46093</v>
      </c>
      <c r="B803" s="2">
        <v>5.6</v>
      </c>
    </row>
    <row r="804" spans="1:2" ht="14.7" thickBot="1" x14ac:dyDescent="0.55000000000000004">
      <c r="A804" s="53">
        <v>46094</v>
      </c>
      <c r="B804" s="2">
        <v>8.5</v>
      </c>
    </row>
    <row r="805" spans="1:2" x14ac:dyDescent="0.5">
      <c r="A805" s="71">
        <v>46095</v>
      </c>
      <c r="B805" s="2">
        <v>7.8</v>
      </c>
    </row>
    <row r="806" spans="1:2" ht="14.7" thickBot="1" x14ac:dyDescent="0.55000000000000004">
      <c r="A806" s="53">
        <v>46096</v>
      </c>
      <c r="B806" s="2">
        <v>10</v>
      </c>
    </row>
    <row r="807" spans="1:2" x14ac:dyDescent="0.5">
      <c r="A807" s="71">
        <v>46097</v>
      </c>
      <c r="B807" s="2">
        <v>7.5</v>
      </c>
    </row>
    <row r="808" spans="1:2" ht="14.7" thickBot="1" x14ac:dyDescent="0.55000000000000004">
      <c r="A808" s="53">
        <v>46098</v>
      </c>
      <c r="B808" s="2">
        <v>6.2</v>
      </c>
    </row>
    <row r="809" spans="1:2" x14ac:dyDescent="0.5">
      <c r="A809" s="71">
        <v>46099</v>
      </c>
      <c r="B809" s="2">
        <v>6.2</v>
      </c>
    </row>
    <row r="810" spans="1:2" ht="14.7" thickBot="1" x14ac:dyDescent="0.55000000000000004">
      <c r="A810" s="53">
        <v>46100</v>
      </c>
      <c r="B810" s="2">
        <v>8</v>
      </c>
    </row>
    <row r="811" spans="1:2" x14ac:dyDescent="0.5">
      <c r="A811" s="71">
        <v>46101</v>
      </c>
      <c r="B811" s="2">
        <v>4</v>
      </c>
    </row>
    <row r="812" spans="1:2" ht="14.7" thickBot="1" x14ac:dyDescent="0.55000000000000004">
      <c r="A812" s="53">
        <v>46102</v>
      </c>
      <c r="B812" s="2">
        <v>5</v>
      </c>
    </row>
    <row r="813" spans="1:2" x14ac:dyDescent="0.5">
      <c r="A813" s="71">
        <v>46103</v>
      </c>
      <c r="B813" s="2">
        <v>5.9</v>
      </c>
    </row>
    <row r="814" spans="1:2" ht="14.7" thickBot="1" x14ac:dyDescent="0.55000000000000004">
      <c r="A814" s="53">
        <v>46104</v>
      </c>
      <c r="B814" s="2">
        <v>6</v>
      </c>
    </row>
    <row r="815" spans="1:2" x14ac:dyDescent="0.5">
      <c r="A815" s="71">
        <v>46105</v>
      </c>
      <c r="B815" s="2">
        <v>7</v>
      </c>
    </row>
    <row r="816" spans="1:2" ht="14.7" thickBot="1" x14ac:dyDescent="0.55000000000000004">
      <c r="A816" s="53">
        <v>46106</v>
      </c>
      <c r="B816" s="2">
        <v>6.5</v>
      </c>
    </row>
    <row r="817" spans="1:2" x14ac:dyDescent="0.5">
      <c r="A817" s="71">
        <v>46107</v>
      </c>
      <c r="B817" s="2">
        <v>5.9</v>
      </c>
    </row>
    <row r="818" spans="1:2" ht="14.7" thickBot="1" x14ac:dyDescent="0.55000000000000004">
      <c r="A818" s="53">
        <v>46108</v>
      </c>
      <c r="B818" s="2">
        <v>6.2</v>
      </c>
    </row>
    <row r="819" spans="1:2" x14ac:dyDescent="0.5">
      <c r="A819" s="71">
        <v>46109</v>
      </c>
      <c r="B819" s="2">
        <v>5.5</v>
      </c>
    </row>
    <row r="820" spans="1:2" ht="14.7" thickBot="1" x14ac:dyDescent="0.55000000000000004">
      <c r="A820" s="53">
        <v>46110</v>
      </c>
      <c r="B820" s="2">
        <v>5.5</v>
      </c>
    </row>
    <row r="821" spans="1:2" x14ac:dyDescent="0.5">
      <c r="A821" s="71">
        <v>46111</v>
      </c>
      <c r="B821" s="2">
        <v>8</v>
      </c>
    </row>
    <row r="822" spans="1:2" ht="14.7" thickBot="1" x14ac:dyDescent="0.55000000000000004">
      <c r="A822" s="53">
        <v>46112</v>
      </c>
      <c r="B822" s="2">
        <v>7</v>
      </c>
    </row>
    <row r="823" spans="1:2" x14ac:dyDescent="0.5">
      <c r="A823" s="71">
        <v>46113</v>
      </c>
      <c r="B823" s="2">
        <v>5.5</v>
      </c>
    </row>
    <row r="824" spans="1:2" ht="14.7" thickBot="1" x14ac:dyDescent="0.55000000000000004">
      <c r="A824" s="53">
        <v>46114</v>
      </c>
      <c r="B824" s="2">
        <v>5</v>
      </c>
    </row>
    <row r="825" spans="1:2" x14ac:dyDescent="0.5">
      <c r="A825" s="71">
        <v>46115</v>
      </c>
      <c r="B825" s="2">
        <v>5.8</v>
      </c>
    </row>
    <row r="826" spans="1:2" ht="14.7" thickBot="1" x14ac:dyDescent="0.55000000000000004">
      <c r="A826" s="53">
        <v>46116</v>
      </c>
      <c r="B826" s="2">
        <v>5.5</v>
      </c>
    </row>
    <row r="827" spans="1:2" x14ac:dyDescent="0.5">
      <c r="A827" s="71">
        <v>46117</v>
      </c>
      <c r="B827" s="2">
        <v>6</v>
      </c>
    </row>
    <row r="828" spans="1:2" ht="14.7" thickBot="1" x14ac:dyDescent="0.55000000000000004">
      <c r="A828" s="53">
        <v>46118</v>
      </c>
      <c r="B828" s="2">
        <v>6.6</v>
      </c>
    </row>
    <row r="829" spans="1:2" x14ac:dyDescent="0.5">
      <c r="A829" s="71">
        <v>46119</v>
      </c>
      <c r="B829" s="2">
        <v>5.8</v>
      </c>
    </row>
    <row r="830" spans="1:2" ht="14.7" thickBot="1" x14ac:dyDescent="0.55000000000000004">
      <c r="A830" s="53">
        <v>46120</v>
      </c>
      <c r="B830" s="2">
        <v>5.9</v>
      </c>
    </row>
    <row r="831" spans="1:2" x14ac:dyDescent="0.5">
      <c r="A831" s="71">
        <v>46121</v>
      </c>
      <c r="B831" s="2">
        <v>6</v>
      </c>
    </row>
    <row r="832" spans="1:2" ht="14.7" thickBot="1" x14ac:dyDescent="0.55000000000000004">
      <c r="A832" s="53">
        <v>46122</v>
      </c>
      <c r="B832" s="2">
        <v>6.2</v>
      </c>
    </row>
    <row r="833" spans="1:2" x14ac:dyDescent="0.5">
      <c r="A833" s="71">
        <v>46123</v>
      </c>
      <c r="B833" s="2">
        <v>7.5</v>
      </c>
    </row>
    <row r="834" spans="1:2" ht="14.7" thickBot="1" x14ac:dyDescent="0.55000000000000004">
      <c r="A834" s="53">
        <v>46124</v>
      </c>
      <c r="B834" s="2">
        <v>6.3</v>
      </c>
    </row>
    <row r="835" spans="1:2" x14ac:dyDescent="0.5">
      <c r="A835" s="71">
        <v>46125</v>
      </c>
      <c r="B835" s="2">
        <v>6.5</v>
      </c>
    </row>
    <row r="836" spans="1:2" ht="14.7" thickBot="1" x14ac:dyDescent="0.55000000000000004">
      <c r="A836" s="53">
        <v>46126</v>
      </c>
      <c r="B836" s="2">
        <v>5</v>
      </c>
    </row>
    <row r="837" spans="1:2" x14ac:dyDescent="0.5">
      <c r="A837" s="71">
        <v>46127</v>
      </c>
      <c r="B837" s="2">
        <v>5.7</v>
      </c>
    </row>
    <row r="838" spans="1:2" ht="14.7" thickBot="1" x14ac:dyDescent="0.55000000000000004">
      <c r="A838" s="53">
        <v>46128</v>
      </c>
      <c r="B838" s="2">
        <v>6</v>
      </c>
    </row>
    <row r="839" spans="1:2" x14ac:dyDescent="0.5">
      <c r="A839" s="71">
        <v>46129</v>
      </c>
      <c r="B839" s="2">
        <v>5.9</v>
      </c>
    </row>
    <row r="840" spans="1:2" ht="14.7" thickBot="1" x14ac:dyDescent="0.55000000000000004">
      <c r="A840" s="53">
        <v>46130</v>
      </c>
      <c r="B840" s="2">
        <v>5.8</v>
      </c>
    </row>
    <row r="841" spans="1:2" x14ac:dyDescent="0.5">
      <c r="A841" s="71">
        <v>46131</v>
      </c>
      <c r="B841" s="2">
        <v>7.2</v>
      </c>
    </row>
    <row r="842" spans="1:2" ht="14.7" thickBot="1" x14ac:dyDescent="0.55000000000000004">
      <c r="A842" s="53">
        <v>46132</v>
      </c>
      <c r="B842" s="2">
        <v>5.5</v>
      </c>
    </row>
    <row r="843" spans="1:2" x14ac:dyDescent="0.5">
      <c r="A843" s="71">
        <v>46133</v>
      </c>
      <c r="B843" s="2">
        <v>6.3</v>
      </c>
    </row>
    <row r="844" spans="1:2" ht="14.7" thickBot="1" x14ac:dyDescent="0.55000000000000004">
      <c r="A844" s="53">
        <v>46134</v>
      </c>
      <c r="B844" s="2">
        <v>2</v>
      </c>
    </row>
    <row r="845" spans="1:2" x14ac:dyDescent="0.5">
      <c r="A845" s="71">
        <v>46135</v>
      </c>
      <c r="B845" s="2">
        <v>7</v>
      </c>
    </row>
    <row r="846" spans="1:2" ht="14.7" thickBot="1" x14ac:dyDescent="0.55000000000000004">
      <c r="A846" s="53">
        <v>46136</v>
      </c>
      <c r="B846" s="2">
        <v>10</v>
      </c>
    </row>
    <row r="847" spans="1:2" x14ac:dyDescent="0.5">
      <c r="A847" s="71">
        <v>46137</v>
      </c>
      <c r="B847" s="2">
        <v>9</v>
      </c>
    </row>
    <row r="848" spans="1:2" ht="14.7" thickBot="1" x14ac:dyDescent="0.55000000000000004">
      <c r="A848" s="53">
        <v>46138</v>
      </c>
      <c r="B848" s="2">
        <v>6.3</v>
      </c>
    </row>
    <row r="849" spans="1:2" x14ac:dyDescent="0.5">
      <c r="A849" s="71">
        <v>46139</v>
      </c>
      <c r="B849" s="2">
        <v>6.2</v>
      </c>
    </row>
    <row r="850" spans="1:2" ht="14.7" thickBot="1" x14ac:dyDescent="0.55000000000000004">
      <c r="A850" s="53">
        <v>46140</v>
      </c>
      <c r="B850" s="2">
        <v>5.7</v>
      </c>
    </row>
    <row r="851" spans="1:2" x14ac:dyDescent="0.5">
      <c r="A851" s="71">
        <v>46141</v>
      </c>
      <c r="B851" s="2">
        <v>4.8</v>
      </c>
    </row>
    <row r="852" spans="1:2" ht="14.7" thickBot="1" x14ac:dyDescent="0.55000000000000004">
      <c r="A852" s="53">
        <v>46142</v>
      </c>
      <c r="B852" s="2">
        <v>7</v>
      </c>
    </row>
    <row r="853" spans="1:2" x14ac:dyDescent="0.5">
      <c r="A853" s="71">
        <v>46143</v>
      </c>
      <c r="B853" s="2">
        <v>6.2</v>
      </c>
    </row>
    <row r="854" spans="1:2" ht="14.7" thickBot="1" x14ac:dyDescent="0.55000000000000004">
      <c r="A854" s="53">
        <v>46144</v>
      </c>
      <c r="B854" s="2">
        <v>5.6</v>
      </c>
    </row>
    <row r="855" spans="1:2" x14ac:dyDescent="0.5">
      <c r="A855" s="71">
        <v>46145</v>
      </c>
      <c r="B855" s="2">
        <v>5.4</v>
      </c>
    </row>
    <row r="856" spans="1:2" ht="14.7" thickBot="1" x14ac:dyDescent="0.55000000000000004">
      <c r="A856" s="53">
        <v>46146</v>
      </c>
      <c r="B856" s="2">
        <v>4.8</v>
      </c>
    </row>
    <row r="857" spans="1:2" x14ac:dyDescent="0.5">
      <c r="A857" s="71">
        <v>46147</v>
      </c>
      <c r="B857" s="2">
        <v>4.5</v>
      </c>
    </row>
    <row r="858" spans="1:2" ht="14.7" thickBot="1" x14ac:dyDescent="0.55000000000000004">
      <c r="A858" s="53">
        <v>46148</v>
      </c>
      <c r="B858" s="2">
        <v>6</v>
      </c>
    </row>
    <row r="859" spans="1:2" x14ac:dyDescent="0.5">
      <c r="A859" s="71">
        <v>46149</v>
      </c>
      <c r="B859" s="2">
        <v>7</v>
      </c>
    </row>
    <row r="860" spans="1:2" ht="14.7" thickBot="1" x14ac:dyDescent="0.55000000000000004">
      <c r="A860" s="53">
        <v>46150</v>
      </c>
      <c r="B860" s="2">
        <v>4.8</v>
      </c>
    </row>
    <row r="861" spans="1:2" x14ac:dyDescent="0.5">
      <c r="A861" s="71">
        <v>46151</v>
      </c>
      <c r="B861" s="2">
        <v>6.5</v>
      </c>
    </row>
    <row r="862" spans="1:2" ht="14.7" thickBot="1" x14ac:dyDescent="0.55000000000000004">
      <c r="A862" s="53">
        <v>46152</v>
      </c>
      <c r="B862" s="2">
        <v>6.2</v>
      </c>
    </row>
    <row r="863" spans="1:2" x14ac:dyDescent="0.5">
      <c r="A863" s="71">
        <v>46153</v>
      </c>
      <c r="B863" s="2">
        <v>6.9</v>
      </c>
    </row>
    <row r="864" spans="1:2" ht="14.7" thickBot="1" x14ac:dyDescent="0.55000000000000004">
      <c r="A864" s="53">
        <v>46154</v>
      </c>
      <c r="B864" s="2">
        <v>5.2</v>
      </c>
    </row>
    <row r="865" spans="1:2" x14ac:dyDescent="0.5">
      <c r="A865" s="71">
        <v>46155</v>
      </c>
      <c r="B865" s="2">
        <v>5.8</v>
      </c>
    </row>
    <row r="866" spans="1:2" ht="14.7" thickBot="1" x14ac:dyDescent="0.55000000000000004">
      <c r="A866" s="53">
        <v>46156</v>
      </c>
      <c r="B866" s="2">
        <v>5.5</v>
      </c>
    </row>
    <row r="867" spans="1:2" x14ac:dyDescent="0.5">
      <c r="A867" s="71">
        <v>46157</v>
      </c>
      <c r="B867" s="2">
        <v>5.2</v>
      </c>
    </row>
    <row r="868" spans="1:2" ht="14.7" thickBot="1" x14ac:dyDescent="0.55000000000000004">
      <c r="A868" s="53">
        <v>46158</v>
      </c>
      <c r="B868" s="2">
        <v>5.4</v>
      </c>
    </row>
    <row r="869" spans="1:2" x14ac:dyDescent="0.5">
      <c r="A869" s="71">
        <v>46159</v>
      </c>
      <c r="B869" s="2">
        <v>5.6</v>
      </c>
    </row>
    <row r="870" spans="1:2" ht="14.7" thickBot="1" x14ac:dyDescent="0.55000000000000004">
      <c r="A870" s="53">
        <v>46160</v>
      </c>
      <c r="B870" s="2">
        <v>5.2</v>
      </c>
    </row>
    <row r="871" spans="1:2" x14ac:dyDescent="0.5">
      <c r="A871" s="71">
        <v>46161</v>
      </c>
      <c r="B871" s="2">
        <v>6.2</v>
      </c>
    </row>
    <row r="872" spans="1:2" ht="14.7" thickBot="1" x14ac:dyDescent="0.55000000000000004">
      <c r="A872" s="53">
        <v>46162</v>
      </c>
      <c r="B872" s="2">
        <v>5.8</v>
      </c>
    </row>
    <row r="873" spans="1:2" x14ac:dyDescent="0.5">
      <c r="A873" s="71">
        <v>46163</v>
      </c>
      <c r="B873" s="2">
        <v>5.3</v>
      </c>
    </row>
    <row r="874" spans="1:2" ht="14.7" thickBot="1" x14ac:dyDescent="0.55000000000000004">
      <c r="A874" s="53">
        <v>46164</v>
      </c>
      <c r="B874" s="2">
        <v>5.4</v>
      </c>
    </row>
    <row r="875" spans="1:2" x14ac:dyDescent="0.5">
      <c r="A875" s="71">
        <v>46165</v>
      </c>
      <c r="B875" s="2">
        <v>6.3</v>
      </c>
    </row>
    <row r="876" spans="1:2" ht="14.7" thickBot="1" x14ac:dyDescent="0.55000000000000004">
      <c r="A876" s="53">
        <v>46166</v>
      </c>
      <c r="B876" s="2">
        <v>5.4</v>
      </c>
    </row>
    <row r="877" spans="1:2" x14ac:dyDescent="0.5">
      <c r="A877" s="71">
        <v>46167</v>
      </c>
      <c r="B877" s="2">
        <v>6</v>
      </c>
    </row>
    <row r="878" spans="1:2" ht="14.7" thickBot="1" x14ac:dyDescent="0.55000000000000004">
      <c r="A878" s="53">
        <v>46168</v>
      </c>
      <c r="B878" s="2">
        <v>5.7</v>
      </c>
    </row>
    <row r="879" spans="1:2" x14ac:dyDescent="0.5">
      <c r="A879" s="71">
        <v>46169</v>
      </c>
      <c r="B879" s="2">
        <v>4.8</v>
      </c>
    </row>
    <row r="880" spans="1:2" ht="14.7" thickBot="1" x14ac:dyDescent="0.55000000000000004">
      <c r="A880" s="53">
        <v>46170</v>
      </c>
      <c r="B880" s="2">
        <v>5</v>
      </c>
    </row>
    <row r="881" spans="1:2" x14ac:dyDescent="0.5">
      <c r="A881" s="71">
        <v>46171</v>
      </c>
      <c r="B881" s="2">
        <v>5.8</v>
      </c>
    </row>
    <row r="882" spans="1:2" ht="14.7" thickBot="1" x14ac:dyDescent="0.55000000000000004">
      <c r="A882" s="53">
        <v>46172</v>
      </c>
      <c r="B882" s="2">
        <v>5</v>
      </c>
    </row>
    <row r="883" spans="1:2" x14ac:dyDescent="0.5">
      <c r="A883" s="71">
        <v>46173</v>
      </c>
      <c r="B883" s="2">
        <v>5.6</v>
      </c>
    </row>
    <row r="884" spans="1:2" ht="14.7" thickBot="1" x14ac:dyDescent="0.55000000000000004">
      <c r="A884" s="53">
        <v>46174</v>
      </c>
      <c r="B884" s="2">
        <v>5.2</v>
      </c>
    </row>
    <row r="885" spans="1:2" x14ac:dyDescent="0.5">
      <c r="A885" s="71">
        <v>46175</v>
      </c>
      <c r="B885" s="2">
        <v>5.0999999999999996</v>
      </c>
    </row>
    <row r="886" spans="1:2" ht="14.7" thickBot="1" x14ac:dyDescent="0.55000000000000004">
      <c r="A886" s="53">
        <v>46176</v>
      </c>
      <c r="B886" s="2">
        <v>5</v>
      </c>
    </row>
    <row r="887" spans="1:2" x14ac:dyDescent="0.5">
      <c r="A887" s="71">
        <v>46177</v>
      </c>
      <c r="B887" s="2">
        <v>4.8</v>
      </c>
    </row>
    <row r="888" spans="1:2" ht="14.7" thickBot="1" x14ac:dyDescent="0.55000000000000004">
      <c r="A888" s="53">
        <v>46178</v>
      </c>
      <c r="B888" s="2">
        <v>5.3</v>
      </c>
    </row>
    <row r="889" spans="1:2" x14ac:dyDescent="0.5">
      <c r="A889" s="71">
        <v>46179</v>
      </c>
      <c r="B889" s="2">
        <v>3.9</v>
      </c>
    </row>
    <row r="890" spans="1:2" ht="14.7" thickBot="1" x14ac:dyDescent="0.55000000000000004">
      <c r="A890" s="53">
        <v>46180</v>
      </c>
      <c r="B890" s="2">
        <v>5.0999999999999996</v>
      </c>
    </row>
    <row r="891" spans="1:2" x14ac:dyDescent="0.5">
      <c r="A891" s="71">
        <v>46181</v>
      </c>
      <c r="B891" s="2">
        <v>5</v>
      </c>
    </row>
    <row r="892" spans="1:2" ht="14.7" thickBot="1" x14ac:dyDescent="0.55000000000000004">
      <c r="A892" s="53">
        <v>46182</v>
      </c>
      <c r="B892" s="2">
        <v>5.2</v>
      </c>
    </row>
    <row r="893" spans="1:2" x14ac:dyDescent="0.5">
      <c r="A893" s="71">
        <v>46183</v>
      </c>
      <c r="B893" s="2">
        <v>5</v>
      </c>
    </row>
    <row r="894" spans="1:2" ht="14.7" thickBot="1" x14ac:dyDescent="0.55000000000000004">
      <c r="A894" s="53">
        <v>46184</v>
      </c>
      <c r="B894" s="2">
        <v>5.6</v>
      </c>
    </row>
    <row r="895" spans="1:2" x14ac:dyDescent="0.5">
      <c r="A895" s="71">
        <v>46185</v>
      </c>
      <c r="B895" s="2">
        <v>5.4</v>
      </c>
    </row>
    <row r="896" spans="1:2" ht="14.7" thickBot="1" x14ac:dyDescent="0.55000000000000004">
      <c r="A896" s="53">
        <v>46186</v>
      </c>
      <c r="B896" s="2">
        <v>6</v>
      </c>
    </row>
    <row r="897" spans="1:2" x14ac:dyDescent="0.5">
      <c r="A897" s="71">
        <v>46187</v>
      </c>
      <c r="B897" s="2">
        <v>6.2</v>
      </c>
    </row>
    <row r="898" spans="1:2" ht="14.7" thickBot="1" x14ac:dyDescent="0.55000000000000004">
      <c r="A898" s="53">
        <v>46188</v>
      </c>
      <c r="B898" s="2">
        <v>5</v>
      </c>
    </row>
    <row r="899" spans="1:2" x14ac:dyDescent="0.5">
      <c r="A899" s="71">
        <v>46189</v>
      </c>
      <c r="B899" s="2">
        <v>5</v>
      </c>
    </row>
    <row r="900" spans="1:2" ht="14.7" thickBot="1" x14ac:dyDescent="0.55000000000000004">
      <c r="A900" s="53">
        <v>46190</v>
      </c>
      <c r="B900" s="2">
        <v>5</v>
      </c>
    </row>
    <row r="901" spans="1:2" x14ac:dyDescent="0.5">
      <c r="A901" s="71">
        <v>46191</v>
      </c>
      <c r="B901" s="2">
        <v>4.9000000000000004</v>
      </c>
    </row>
    <row r="902" spans="1:2" ht="14.7" thickBot="1" x14ac:dyDescent="0.55000000000000004">
      <c r="A902" s="53">
        <v>46192</v>
      </c>
      <c r="B902" s="2">
        <v>6.2</v>
      </c>
    </row>
    <row r="903" spans="1:2" x14ac:dyDescent="0.5">
      <c r="A903" s="71">
        <v>46193</v>
      </c>
      <c r="B903" s="2">
        <v>5.6</v>
      </c>
    </row>
    <row r="904" spans="1:2" ht="14.7" thickBot="1" x14ac:dyDescent="0.55000000000000004">
      <c r="A904" s="53">
        <v>46194</v>
      </c>
      <c r="B904" s="2">
        <v>6</v>
      </c>
    </row>
    <row r="905" spans="1:2" x14ac:dyDescent="0.5">
      <c r="A905" s="71">
        <v>46195</v>
      </c>
      <c r="B905" s="2">
        <v>5.3</v>
      </c>
    </row>
    <row r="906" spans="1:2" ht="14.7" thickBot="1" x14ac:dyDescent="0.55000000000000004">
      <c r="A906" s="53">
        <v>46196</v>
      </c>
      <c r="B906" s="2">
        <v>7.4</v>
      </c>
    </row>
    <row r="907" spans="1:2" x14ac:dyDescent="0.5">
      <c r="A907" s="71">
        <v>46197</v>
      </c>
      <c r="B907" s="2">
        <v>5.8</v>
      </c>
    </row>
    <row r="908" spans="1:2" ht="14.7" thickBot="1" x14ac:dyDescent="0.55000000000000004">
      <c r="A908" s="53">
        <v>46198</v>
      </c>
      <c r="B908" s="2">
        <v>6.5</v>
      </c>
    </row>
    <row r="909" spans="1:2" x14ac:dyDescent="0.5">
      <c r="A909" s="71">
        <v>46199</v>
      </c>
      <c r="B909" s="2">
        <v>8</v>
      </c>
    </row>
    <row r="910" spans="1:2" ht="14.7" thickBot="1" x14ac:dyDescent="0.55000000000000004">
      <c r="A910" s="53">
        <v>46200</v>
      </c>
      <c r="B910" s="2">
        <v>7.2</v>
      </c>
    </row>
    <row r="911" spans="1:2" x14ac:dyDescent="0.5">
      <c r="A911" s="71">
        <v>46201</v>
      </c>
      <c r="B911" s="2">
        <v>6</v>
      </c>
    </row>
    <row r="912" spans="1:2" ht="14.7" thickBot="1" x14ac:dyDescent="0.55000000000000004">
      <c r="A912" s="53">
        <v>46202</v>
      </c>
      <c r="B912" s="2">
        <v>5.4</v>
      </c>
    </row>
    <row r="913" spans="1:2" x14ac:dyDescent="0.5">
      <c r="A913" s="71">
        <v>46203</v>
      </c>
      <c r="B913" s="2">
        <v>6</v>
      </c>
    </row>
    <row r="914" spans="1:2" ht="14.7" thickBot="1" x14ac:dyDescent="0.55000000000000004">
      <c r="A914" s="53">
        <v>46204</v>
      </c>
      <c r="B914" s="2">
        <v>6.1</v>
      </c>
    </row>
    <row r="915" spans="1:2" x14ac:dyDescent="0.5">
      <c r="A915" s="71">
        <v>46205</v>
      </c>
      <c r="B915" s="2">
        <v>6.2</v>
      </c>
    </row>
    <row r="916" spans="1:2" ht="14.7" thickBot="1" x14ac:dyDescent="0.55000000000000004">
      <c r="A916" s="53">
        <v>46206</v>
      </c>
      <c r="B916" s="2">
        <v>6.3</v>
      </c>
    </row>
    <row r="917" spans="1:2" x14ac:dyDescent="0.5">
      <c r="A917" s="71">
        <v>46207</v>
      </c>
      <c r="B917" s="2">
        <v>7</v>
      </c>
    </row>
    <row r="918" spans="1:2" ht="14.7" thickBot="1" x14ac:dyDescent="0.55000000000000004">
      <c r="A918" s="53">
        <v>46208</v>
      </c>
      <c r="B918" s="2">
        <v>6.6</v>
      </c>
    </row>
    <row r="919" spans="1:2" x14ac:dyDescent="0.5">
      <c r="A919" s="71">
        <v>46209</v>
      </c>
      <c r="B919" s="2">
        <v>6</v>
      </c>
    </row>
    <row r="920" spans="1:2" ht="14.7" thickBot="1" x14ac:dyDescent="0.55000000000000004">
      <c r="A920" s="53">
        <v>46210</v>
      </c>
      <c r="B920" s="2">
        <v>6.5</v>
      </c>
    </row>
    <row r="921" spans="1:2" x14ac:dyDescent="0.5">
      <c r="A921" s="71">
        <v>46211</v>
      </c>
      <c r="B921" s="2">
        <v>6.8</v>
      </c>
    </row>
    <row r="922" spans="1:2" ht="14.7" thickBot="1" x14ac:dyDescent="0.55000000000000004">
      <c r="A922" s="53">
        <v>46212</v>
      </c>
      <c r="B922" s="2">
        <v>8</v>
      </c>
    </row>
    <row r="923" spans="1:2" x14ac:dyDescent="0.5">
      <c r="A923" s="71">
        <v>46213</v>
      </c>
      <c r="B923" s="2">
        <v>7.5</v>
      </c>
    </row>
    <row r="924" spans="1:2" ht="14.7" thickBot="1" x14ac:dyDescent="0.55000000000000004">
      <c r="A924" s="53">
        <v>46214</v>
      </c>
      <c r="B924" s="2">
        <v>10</v>
      </c>
    </row>
    <row r="925" spans="1:2" x14ac:dyDescent="0.5">
      <c r="A925" s="71">
        <v>46215</v>
      </c>
      <c r="B925" s="2">
        <v>7.5</v>
      </c>
    </row>
    <row r="926" spans="1:2" ht="14.7" thickBot="1" x14ac:dyDescent="0.55000000000000004">
      <c r="A926" s="53">
        <v>46216</v>
      </c>
      <c r="B926" s="2">
        <v>5.5</v>
      </c>
    </row>
    <row r="927" spans="1:2" x14ac:dyDescent="0.5">
      <c r="A927" s="71">
        <v>46217</v>
      </c>
      <c r="B927" s="2">
        <v>5</v>
      </c>
    </row>
    <row r="928" spans="1:2" ht="14.7" thickBot="1" x14ac:dyDescent="0.55000000000000004">
      <c r="A928" s="53">
        <v>46218</v>
      </c>
      <c r="B928" s="2">
        <v>1</v>
      </c>
    </row>
    <row r="929" spans="1:2" x14ac:dyDescent="0.5">
      <c r="A929" s="71">
        <v>46219</v>
      </c>
      <c r="B929" s="2">
        <v>5.5</v>
      </c>
    </row>
    <row r="930" spans="1:2" ht="14.7" thickBot="1" x14ac:dyDescent="0.55000000000000004">
      <c r="A930" s="53">
        <v>46220</v>
      </c>
      <c r="B930" s="2">
        <v>6</v>
      </c>
    </row>
    <row r="931" spans="1:2" x14ac:dyDescent="0.5">
      <c r="A931" s="71">
        <v>46221</v>
      </c>
      <c r="B931" s="2">
        <v>5.3</v>
      </c>
    </row>
    <row r="932" spans="1:2" ht="14.7" thickBot="1" x14ac:dyDescent="0.55000000000000004">
      <c r="A932" s="53">
        <v>46222</v>
      </c>
      <c r="B932" s="2">
        <v>5.8</v>
      </c>
    </row>
    <row r="933" spans="1:2" x14ac:dyDescent="0.5">
      <c r="A933" s="71">
        <v>46223</v>
      </c>
      <c r="B933" s="2">
        <v>5.3</v>
      </c>
    </row>
    <row r="934" spans="1:2" ht="14.7" thickBot="1" x14ac:dyDescent="0.55000000000000004">
      <c r="A934" s="53">
        <v>46224</v>
      </c>
      <c r="B934" s="2">
        <v>5.4</v>
      </c>
    </row>
    <row r="935" spans="1:2" x14ac:dyDescent="0.5">
      <c r="A935" s="71">
        <v>46225</v>
      </c>
      <c r="B935" s="2">
        <v>5.2</v>
      </c>
    </row>
    <row r="936" spans="1:2" ht="14.7" thickBot="1" x14ac:dyDescent="0.55000000000000004">
      <c r="A936" s="53">
        <v>46226</v>
      </c>
      <c r="B936" s="2">
        <v>5.3</v>
      </c>
    </row>
    <row r="937" spans="1:2" x14ac:dyDescent="0.5">
      <c r="A937" s="71">
        <v>46227</v>
      </c>
      <c r="B937" s="2">
        <v>5.5</v>
      </c>
    </row>
    <row r="938" spans="1:2" ht="14.7" thickBot="1" x14ac:dyDescent="0.55000000000000004">
      <c r="A938" s="53">
        <v>46228</v>
      </c>
      <c r="B938" s="2">
        <v>5.7</v>
      </c>
    </row>
    <row r="939" spans="1:2" x14ac:dyDescent="0.5">
      <c r="A939" s="71">
        <v>46229</v>
      </c>
      <c r="B939" s="2">
        <v>5.6</v>
      </c>
    </row>
    <row r="940" spans="1:2" ht="14.7" thickBot="1" x14ac:dyDescent="0.55000000000000004">
      <c r="A940" s="53">
        <v>46230</v>
      </c>
      <c r="B940" s="2">
        <v>5.3</v>
      </c>
    </row>
    <row r="941" spans="1:2" x14ac:dyDescent="0.5">
      <c r="A941" s="71">
        <v>46231</v>
      </c>
      <c r="B941" s="2">
        <v>6.5</v>
      </c>
    </row>
    <row r="942" spans="1:2" ht="14.7" thickBot="1" x14ac:dyDescent="0.55000000000000004">
      <c r="A942" s="53">
        <v>46232</v>
      </c>
      <c r="B942" s="2">
        <v>5.6</v>
      </c>
    </row>
    <row r="943" spans="1:2" x14ac:dyDescent="0.5">
      <c r="A943" s="71">
        <v>46233</v>
      </c>
      <c r="B943" s="2">
        <v>10</v>
      </c>
    </row>
  </sheetData>
  <conditionalFormatting sqref="B2:B36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8:B7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33:B87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1:B9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D8239-F632-414D-A4C3-23DBB609A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HI2026</vt:lpstr>
      <vt:lpstr>HI2025</vt:lpstr>
      <vt:lpstr>HI2024</vt:lpstr>
      <vt:lpstr>Sheet3</vt:lpstr>
      <vt:lpstr>Friends</vt:lpstr>
      <vt:lpstr>Movies2025</vt:lpstr>
      <vt:lpstr>Movies2024</vt:lpstr>
      <vt:lpstr>FlightDetails</vt:lpstr>
      <vt:lpstr>Sheet1</vt:lpstr>
      <vt:lpstr>Sheet2</vt:lpstr>
      <vt:lpstr>Table1</vt:lpstr>
      <vt:lpstr>Sheet4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Bhagwat</dc:creator>
  <cp:lastModifiedBy>Abhinav Bhagwat - IIITK</cp:lastModifiedBy>
  <dcterms:created xsi:type="dcterms:W3CDTF">2015-06-05T18:17:20Z</dcterms:created>
  <dcterms:modified xsi:type="dcterms:W3CDTF">2026-10-24T08:56:26Z</dcterms:modified>
</cp:coreProperties>
</file>