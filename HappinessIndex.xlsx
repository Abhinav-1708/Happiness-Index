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C152C386-726C-463E-B02F-C3C5C6A54FFF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1" i="11" l="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S35" i="11"/>
  <c r="AR35" i="11"/>
  <c r="AL35" i="11"/>
  <c r="BC34" i="11"/>
  <c r="BB34" i="11"/>
  <c r="BA34" i="11"/>
  <c r="AZ34" i="11"/>
  <c r="AY34" i="11"/>
  <c r="AX34" i="11"/>
  <c r="AW34" i="11"/>
  <c r="AV34" i="11"/>
  <c r="AS34" i="11"/>
  <c r="AR34" i="11"/>
  <c r="AL34" i="11"/>
  <c r="BC33" i="11"/>
  <c r="BB33" i="11"/>
  <c r="BA33" i="11"/>
  <c r="AZ33" i="11"/>
  <c r="AY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63" i="7" l="1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<sst xmlns="http://schemas.openxmlformats.org/spreadsheetml/2006/main" count="2311" uniqueCount="618">
  <si>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</si>
  <si>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</si>
  <si>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</si>
  <si>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</si>
  <si>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</si>
  <si>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</si>
  <si>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</si>
  <si>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</si>
  <si>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</si>
  <si>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</si>
  <si>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</si>
  <si>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</si>
  <si>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</si>
  <si>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</si>
  <si>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</si>
  <si>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</si>
  <si>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</si>
  <si>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</si>
  <si>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</si>
  <si>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</si>
  <si>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</si>
  <si>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</si>
  <si>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</si>
  <si>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</si>
  <si>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</si>
  <si>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</si>
  <si>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</si>
  <si>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</si>
  <si>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</si>
  <si>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</si>
  <si>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</si>
  <si>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</si>
  <si>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</si>
  <si>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</si>
  <si>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</si>
  <si>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</si>
  <si>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</si>
  <si>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</si>
  <si>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</si>
  <si>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</si>
  <si>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</si>
  <si>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</si>
  <si>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</si>
  <si>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</si>
  <si>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</si>
  <si>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</si>
  <si>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</si>
  <si>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</si>
  <si>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</si>
  <si>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</si>
  <si>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</si>
  <si>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</si>
  <si>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</si>
  <si>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</si>
  <si>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</si>
  <si>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</si>
  <si>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</si>
  <si>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</si>
  <si>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</si>
  <si>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</si>
  <si>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</si>
  <si>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</si>
  <si>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</si>
  <si>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</si>
  <si>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</si>
  <si>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</si>
  <si>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</si>
  <si>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</si>
  <si>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</si>
  <si>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</si>
  <si>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</si>
  <si>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</si>
  <si>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</si>
  <si>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</si>
  <si>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</si>
  <si>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</si>
  <si>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</si>
  <si>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</si>
  <si>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</si>
  <si>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</si>
  <si>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</si>
  <si>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</si>
  <si>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</si>
  <si>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</si>
  <si>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</si>
  <si>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</si>
  <si>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</si>
  <si>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</si>
  <si>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</si>
  <si>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</si>
  <si>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</si>
  <si>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</si>
  <si>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</si>
  <si>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</si>
  <si>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</si>
  <si>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</si>
  <si>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</si>
  <si>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</si>
  <si>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</si>
  <si>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</si>
  <si>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</si>
  <si>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</si>
  <si>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</si>
  <si>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</si>
  <si>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</si>
  <si>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</si>
  <si>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</si>
  <si>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</si>
  <si>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</si>
  <si>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</si>
  <si>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</si>
  <si>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</si>
  <si>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</si>
  <si>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</si>
  <si>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</si>
  <si>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</si>
  <si>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</si>
  <si>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</si>
  <si>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</si>
  <si>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</si>
  <si>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</si>
  <si>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</si>
  <si>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</si>
  <si>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</si>
  <si>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</si>
  <si>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</si>
  <si>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</si>
  <si>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</si>
  <si>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</si>
  <si>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</si>
  <si>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</si>
  <si>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</si>
  <si>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</si>
  <si>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</si>
  <si>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</si>
  <si>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</si>
  <si>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</si>
  <si>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</si>
  <si>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</si>
  <si>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</si>
  <si>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</si>
  <si>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</si>
  <si>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</si>
  <si>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</si>
  <si>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</si>
  <si>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</si>
  <si>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</si>
  <si>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</si>
  <si>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</si>
  <si>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</si>
  <si>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</si>
  <si>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</si>
  <si>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</si>
  <si>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</si>
  <si>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</si>
  <si>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</si>
  <si>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</si>
  <si>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</si>
  <si>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</si>
  <si>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</si>
  <si>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</si>
  <si>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</si>
  <si>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</si>
  <si>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</si>
  <si>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</si>
  <si>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</si>
  <si>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</si>
  <si>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</si>
  <si>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</si>
  <si>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</si>
  <si>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</si>
  <si>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</si>
  <si>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</si>
  <si>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</si>
  <si>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</si>
  <si>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</si>
  <si>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</si>
  <si>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</si>
  <si>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</si>
  <si>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</si>
  <si>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</si>
  <si>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</si>
  <si>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</si>
  <si>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</si>
  <si>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</si>
  <si>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</si>
  <si>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</si>
  <si>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</si>
  <si>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</si>
  <si>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</si>
  <si>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</si>
  <si>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</si>
  <si>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</si>
  <si>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</si>
  <si>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</si>
  <si>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</si>
  <si>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</si>
  <si>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</si>
  <si>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</si>
  <si>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</si>
  <si>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</si>
  <si>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</si>
  <si>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</si>
  <si>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</si>
  <si>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</si>
  <si>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</si>
  <si>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</si>
  <si>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</si>
  <si>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</si>
  <si>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</si>
  <si>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</si>
  <si>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</si>
  <si>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</si>
  <si>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</si>
  <si>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</si>
  <si>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</si>
  <si>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</si>
  <si>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</si>
  <si>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</si>
  <si>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</si>
  <si>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</si>
  <si>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</si>
  <si>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</si>
  <si>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</si>
  <si>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</si>
  <si>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</si>
  <si>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</si>
  <si>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</si>
  <si>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</si>
  <si>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</si>
  <si>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</si>
  <si>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</si>
  <si>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</si>
  <si>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</si>
  <si>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</si>
  <si>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</si>
  <si>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</si>
  <si>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</si>
  <si>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</si>
  <si>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</si>
  <si>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</si>
  <si>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</si>
  <si>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</si>
  <si>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</si>
  <si>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</si>
  <si>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</si>
  <si>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</si>
  <si>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</si>
  <si>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</si>
  <si>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</si>
  <si>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</si>
  <si>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</si>
  <si>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</si>
  <si>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</si>
  <si>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</si>
  <si>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</si>
  <si>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</si>
  <si>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</si>
  <si>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</si>
  <si>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</si>
  <si>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</si>
  <si>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</si>
  <si>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</si>
  <si>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</si>
  <si>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</si>
  <si>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</si>
  <si>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</si>
  <si>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</si>
  <si>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</si>
  <si>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</si>
  <si>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</si>
  <si>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</si>
  <si>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</si>
  <si>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</si>
  <si>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</si>
  <si>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</si>
  <si>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</si>
  <si>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</si>
  <si>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</si>
  <si>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</si>
  <si>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</si>
  <si>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</si>
  <si>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</si>
  <si>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</si>
  <si>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</si>
  <si>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</si>
  <si>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</si>
  <si>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</si>
  <si>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</si>
  <si>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</si>
  <si>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</si>
  <si>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</si>
  <si>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</si>
  <si>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</si>
  <si>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</si>
  <si>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</si>
  <si>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</si>
  <si>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</si>
  <si>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</si>
  <si>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</si>
  <si>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</si>
  <si>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</si>
  <si>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</si>
  <si>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</si>
  <si>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</si>
  <si>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</si>
  <si>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</si>
  <si>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</si>
  <si>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</si>
  <si>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</si>
  <si>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</si>
  <si>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</si>
  <si>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</si>
  <si>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</si>
  <si>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</si>
  <si>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</si>
  <si>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</si>
  <si>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</si>
  <si>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</si>
  <si>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</si>
  <si>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</si>
  <si>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</si>
  <si>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</si>
  <si>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</si>
  <si>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</si>
  <si>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</si>
  <si>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</si>
  <si>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</si>
  <si>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</si>
  <si>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</si>
  <si>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</si>
  <si>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</si>
  <si>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</si>
  <si>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</si>
  <si>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</si>
  <si>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</si>
  <si>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</si>
  <si>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</si>
  <si>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</si>
  <si>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</si>
  <si>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</si>
  <si>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</si>
  <si>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</si>
  <si>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</si>
  <si>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</si>
  <si>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</si>
  <si>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</si>
  <si>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</si>
  <si>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</si>
  <si>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</si>
  <si>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</si>
  <si>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</si>
  <si>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</si>
  <si>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</si>
  <si>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</si>
  <si>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</si>
  <si>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</si>
  <si>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</si>
  <si>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</si>
  <si>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</si>
  <si>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</si>
  <si>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</si>
  <si>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</si>
  <si>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</si>
  <si>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</si>
  <si>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</si>
  <si>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</si>
  <si>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</si>
  <si>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</si>
  <si>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</si>
  <si>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</si>
  <si>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</si>
  <si>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</si>
  <si>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</si>
  <si>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</si>
  <si>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</si>
  <si>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</si>
  <si>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</si>
  <si>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</si>
  <si>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</si>
  <si>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</si>
  <si>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</si>
  <si>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</si>
  <si>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</si>
  <si>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</si>
  <si>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</si>
  <si>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</si>
  <si>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</si>
  <si>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</si>
  <si>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</si>
  <si>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</si>
  <si>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</si>
  <si>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</si>
  <si>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</si>
  <si>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</si>
  <si>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</si>
  <si>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</si>
  <si>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</si>
  <si>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</si>
  <si>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</si>
  <si>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</si>
  <si>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</si>
  <si>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</si>
  <si>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</si>
  <si>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</si>
  <si>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</si>
  <si>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</si>
  <si>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</si>
  <si>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</si>
  <si>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</si>
  <si>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</si>
  <si>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</si>
  <si>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</si>
  <si>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</si>
  <si>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</si>
  <si>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</si>
  <si>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</si>
  <si>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</si>
  <si>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</si>
  <si>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</si>
  <si>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</si>
  <si>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</si>
  <si>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</si>
  <si>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</si>
  <si>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</si>
  <si>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</si>
  <si>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</si>
  <si>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</si>
  <si>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</si>
  <si>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</si>
  <si>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</si>
  <si>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</si>
  <si>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</si>
  <si>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</si>
  <si>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</si>
  <si>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</si>
  <si>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</si>
  <si>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</si>
  <si>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</si>
  <si>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</si>
  <si>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</si>
  <si>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</si>
  <si>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</si>
  <si>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</si>
  <si>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</si>
  <si>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</si>
  <si>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</si>
  <si>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</si>
  <si>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</si>
  <si>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</si>
  <si>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</si>
  <si>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</si>
  <si>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</si>
  <si>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</si>
  <si>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</si>
  <si>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</si>
  <si>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</si>
  <si>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</si>
  <si>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</si>
  <si>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</si>
  <si>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</si>
  <si>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</si>
  <si>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</si>
  <si>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</si>
  <si>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</si>
  <si>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</si>
  <si>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</si>
  <si>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</si>
  <si>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</si>
  <si>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</si>
  <si>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</si>
  <si>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</si>
  <si>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</si>
  <si>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</si>
  <si>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</si>
  <si>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</si>
  <si>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</si>
  <si>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</si>
  <si>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</si>
  <si>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</si>
  <si>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</si>
  <si>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</si>
  <si>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</si>
  <si>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</si>
  <si>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</si>
  <si>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</si>
  <si>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</si>
  <si>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</si>
  <si>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</si>
  <si>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</si>
  <si>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</si>
  <si>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</si>
  <si>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</si>
  <si>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</si>
  <si>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</si>
  <si>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</si>
  <si>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</si>
  <si>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</si>
  <si>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</si>
  <si>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</si>
  <si>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</si>
  <si>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</si>
  <si>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</si>
  <si>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</si>
  <si>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</si>
  <si>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</si>
  <si>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</si>
  <si>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</si>
  <si>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</si>
  <si>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</si>
  <si>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</si>
  <si>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</si>
  <si>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</si>
  <si>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</si>
  <si>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</si>
  <si>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</si>
  <si>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</si>
  <si>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</si>
  <si>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</si>
  <si>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</si>
  <si>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</si>
  <si>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</si>
  <si>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</si>
  <si>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</si>
  <si>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</si>
  <si>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</si>
  <si>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</si>
  <si>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</si>
  <si>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</si>
  <si>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</si>
  <si>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</si>
  <si>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</si>
  <si>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</si>
  <si>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</si>
  <si>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</si>
  <si>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</si>
  <si>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</si>
  <si>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</si>
  <si>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</si>
  <si>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</si>
  <si>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</si>
  <si>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</si>
  <si>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</si>
  <si>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</si>
  <si>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</si>
  <si>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</si>
  <si>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</si>
  <si>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</si>
  <si>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</si>
  <si>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</si>
  <si>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</si>
  <si>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</si>
  <si>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</si>
  <si>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</si>
  <si>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</si>
  <si>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</si>
  <si>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</si>
  <si>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</si>
  <si>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</si>
  <si>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</si>
  <si>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</si>
  <si>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</si>
  <si>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</si>
  <si>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</si>
  <si>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</si>
  <si>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</si>
  <si>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</si>
  <si>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</si>
  <si>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</si>
  <si>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</si>
  <si>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</si>
  <si>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</si>
  <si>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</si>
  <si>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</si>
  <si>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</si>
  <si>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</si>
  <si>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</si>
  <si>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</si>
  <si>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</si>
  <si>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</si>
  <si>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</si>
  <si>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Bangalore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</si>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</sst>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3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5.7666666666666666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90.322580645161281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90.322580645161281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93</c:v>
                </c:pt>
                <c:pt idx="3">
                  <c:v>109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215" zoomScale="99" zoomScaleNormal="205" workbookViewId="0">
      <selection activeCell="C223" sqref="C223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7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1" t="s">
        <v>175</v>
      </c>
      <c r="K1" s="262"/>
      <c r="L1" s="262"/>
      <c r="AM1" t="s">
        <v>208</v>
      </c>
      <c r="AN1">
        <v>2025</v>
      </c>
      <c r="AO1">
        <v>2024</v>
      </c>
    </row>
    <row r="2" spans="1:47" x14ac:dyDescent="0.5">
      <c r="A2" s="32" t="s">
        <v>432</v>
      </c>
      <c r="B2" s="257">
        <v>46023</v>
      </c>
      <c r="C2" s="72">
        <v>6</v>
      </c>
      <c r="D2" s="265">
        <f>AVERAGE(C2:C32)</f>
        <v>5.9290322580645176</v>
      </c>
      <c r="E2" s="268">
        <f>AVERAGE(C2:C366)</f>
        <v>6.0402714932126669</v>
      </c>
      <c r="F2" s="260">
        <v>1</v>
      </c>
      <c r="G2" s="38" t="s">
        <v>194</v>
      </c>
      <c r="I2" s="38">
        <v>0</v>
      </c>
      <c r="J2" s="263"/>
      <c r="K2" s="264"/>
      <c r="L2" s="26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7" ht="14.7" thickBot="1" x14ac:dyDescent="0.55000000000000004">
      <c r="A3" s="32" t="s">
        <v>433</v>
      </c>
      <c r="B3" s="258">
        <v>46024</v>
      </c>
      <c r="C3" s="2">
        <v>4.5</v>
      </c>
      <c r="D3" s="266"/>
      <c r="E3" s="269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7" ht="14.7" thickBot="1" x14ac:dyDescent="0.55000000000000004">
      <c r="A4" s="32" t="s">
        <v>434</v>
      </c>
      <c r="B4" s="257">
        <v>46025</v>
      </c>
      <c r="C4" s="2">
        <v>7.8</v>
      </c>
      <c r="D4" s="266"/>
      <c r="E4" s="269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</row>
    <row r="5" spans="1:47" ht="14.7" thickBot="1" x14ac:dyDescent="0.55000000000000004">
      <c r="A5" s="32" t="s">
        <v>435</v>
      </c>
      <c r="B5" s="258">
        <v>46026</v>
      </c>
      <c r="C5" s="2">
        <v>5.8</v>
      </c>
      <c r="D5" s="266"/>
      <c r="E5" s="269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5</v>
      </c>
      <c r="N5" s="160" t="s">
        <v>8</v>
      </c>
      <c r="O5" s="191">
        <f>D2</f>
        <v>5.9290322580645176</v>
      </c>
      <c r="P5" s="286">
        <f>AVERAGE(O5:O16)</f>
        <v>6.0201852918586791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4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</row>
    <row r="6" spans="1:47" x14ac:dyDescent="0.5">
      <c r="A6" s="32" t="s">
        <v>436</v>
      </c>
      <c r="B6" s="257">
        <v>46027</v>
      </c>
      <c r="C6" s="2">
        <v>5.9</v>
      </c>
      <c r="D6" s="266"/>
      <c r="E6" s="269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6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</row>
    <row r="7" spans="1:47" ht="14.7" thickBot="1" x14ac:dyDescent="0.55000000000000004">
      <c r="A7" s="32" t="s">
        <v>437</v>
      </c>
      <c r="B7" s="258">
        <v>46028</v>
      </c>
      <c r="C7" s="2">
        <v>7.5</v>
      </c>
      <c r="D7" s="266"/>
      <c r="E7" s="269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93</v>
      </c>
      <c r="N7" s="157" t="s">
        <v>10</v>
      </c>
      <c r="O7" s="192">
        <f>D61</f>
        <v>6.5161290322580649</v>
      </c>
      <c r="P7" s="286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</row>
    <row r="8" spans="1:47" x14ac:dyDescent="0.5">
      <c r="A8" s="32" t="s">
        <v>438</v>
      </c>
      <c r="B8" s="257">
        <v>46029</v>
      </c>
      <c r="C8" s="2">
        <v>4.8</v>
      </c>
      <c r="D8" s="266"/>
      <c r="E8" s="269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109</v>
      </c>
      <c r="N8" s="157" t="s">
        <v>11</v>
      </c>
      <c r="O8" s="192">
        <f>D92</f>
        <v>6.13</v>
      </c>
      <c r="P8" s="286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</row>
    <row r="9" spans="1:47" ht="14.7" thickBot="1" x14ac:dyDescent="0.55000000000000004">
      <c r="A9" s="32" t="s">
        <v>432</v>
      </c>
      <c r="B9" s="258">
        <v>46030</v>
      </c>
      <c r="C9" s="2">
        <v>4.5</v>
      </c>
      <c r="D9" s="266"/>
      <c r="E9" s="269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86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6">
        <f>AVERAGE(O9:O12)</f>
        <v>5.7724731182795699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</row>
    <row r="10" spans="1:47" ht="14.7" thickBot="1" x14ac:dyDescent="0.55000000000000004">
      <c r="A10" s="32" t="s">
        <v>433</v>
      </c>
      <c r="B10" s="257">
        <v>46031</v>
      </c>
      <c r="C10" s="2">
        <v>6.5</v>
      </c>
      <c r="D10" s="266"/>
      <c r="E10" s="269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86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589</v>
      </c>
      <c r="AU10" s="29">
        <v>5.032258064516129</v>
      </c>
    </row>
    <row r="11" spans="1:47" ht="14.7" thickBot="1" x14ac:dyDescent="0.55000000000000004">
      <c r="A11" s="32" t="s">
        <v>434</v>
      </c>
      <c r="B11" s="258">
        <v>46032</v>
      </c>
      <c r="C11" s="2">
        <v>5.0999999999999996</v>
      </c>
      <c r="D11" s="266"/>
      <c r="E11" s="269"/>
      <c r="F11" s="260">
        <v>1</v>
      </c>
      <c r="G11" s="69" t="s">
        <v>194</v>
      </c>
      <c r="I11" s="38">
        <v>1</v>
      </c>
      <c r="J11" s="277" t="s">
        <v>6</v>
      </c>
      <c r="K11" s="278"/>
      <c r="L11" s="17">
        <f>SUM(L5:L10)</f>
        <v>221</v>
      </c>
      <c r="N11" s="157" t="s">
        <v>14</v>
      </c>
      <c r="O11" s="192">
        <f>D183</f>
        <v>6.1032258064516114</v>
      </c>
      <c r="P11" s="286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7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590</v>
      </c>
      <c r="AU11" s="29">
        <v>4.967741935483871</v>
      </c>
    </row>
    <row r="12" spans="1:47" ht="14.7" thickBot="1" x14ac:dyDescent="0.55000000000000004">
      <c r="A12" s="32" t="s">
        <v>435</v>
      </c>
      <c r="B12" s="257">
        <v>46033</v>
      </c>
      <c r="C12" s="2">
        <v>6</v>
      </c>
      <c r="D12" s="266"/>
      <c r="E12" s="269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5.7666666666666666</v>
      </c>
      <c r="P12" s="286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4</v>
      </c>
      <c r="T12" s="57">
        <f>COUNTIFS(C214:C244,"&gt;=4", C214:C244,"&lt;6")</f>
        <v>5</v>
      </c>
      <c r="U12" s="57">
        <f>COUNTIFS(C214:C244,"&gt;=2", C214:C244,"&lt;4")</f>
        <v>0</v>
      </c>
      <c r="V12" s="57">
        <f>COUNTIFS(C214:C244,"&gt;=0", C214:C244,"&lt;2")</f>
        <v>0</v>
      </c>
      <c r="W12" s="27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</row>
    <row r="13" spans="1:47" ht="14.7" thickBot="1" x14ac:dyDescent="0.55000000000000004">
      <c r="A13" s="32" t="s">
        <v>436</v>
      </c>
      <c r="B13" s="258">
        <v>46034</v>
      </c>
      <c r="C13" s="2">
        <v>3.9</v>
      </c>
      <c r="D13" s="266"/>
      <c r="E13" s="269"/>
      <c r="F13" s="260">
        <v>1</v>
      </c>
      <c r="G13" s="69" t="s">
        <v>176</v>
      </c>
      <c r="H13" s="38" t="s">
        <v>446</v>
      </c>
      <c r="I13" s="38">
        <v>0</v>
      </c>
      <c r="J13" s="279" t="s">
        <v>174</v>
      </c>
      <c r="K13" s="280"/>
      <c r="L13" s="283">
        <f>L11/3.65</f>
        <v>60.547945205479451</v>
      </c>
      <c r="N13" s="157" t="s">
        <v>16</v>
      </c>
      <c r="O13" s="192"/>
      <c r="P13" s="286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8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591</v>
      </c>
      <c r="AU13" s="29">
        <v>5.612903225806452</v>
      </c>
    </row>
    <row r="14" spans="1:47" ht="14.7" thickBot="1" x14ac:dyDescent="0.55000000000000004">
      <c r="A14" s="32" t="s">
        <v>437</v>
      </c>
      <c r="B14" s="257">
        <v>46035</v>
      </c>
      <c r="C14" s="2">
        <v>4.4000000000000004</v>
      </c>
      <c r="D14" s="266"/>
      <c r="E14" s="269"/>
      <c r="F14" s="260">
        <v>0</v>
      </c>
      <c r="G14" s="69" t="s">
        <v>176</v>
      </c>
      <c r="H14" s="38" t="s">
        <v>113</v>
      </c>
      <c r="I14" s="38">
        <v>0</v>
      </c>
      <c r="J14" s="281"/>
      <c r="K14" s="282"/>
      <c r="L14" s="284"/>
      <c r="N14" s="157" t="s">
        <v>17</v>
      </c>
      <c r="O14" s="192"/>
      <c r="P14" s="286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5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592</v>
      </c>
      <c r="AU14" s="29">
        <v>5.5333333333333332</v>
      </c>
    </row>
    <row r="15" spans="1:47" ht="14.7" thickBot="1" x14ac:dyDescent="0.55000000000000004">
      <c r="A15" s="32" t="s">
        <v>438</v>
      </c>
      <c r="B15" s="258">
        <v>46036</v>
      </c>
      <c r="C15" s="2">
        <v>5.3</v>
      </c>
      <c r="D15" s="266"/>
      <c r="E15" s="269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6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4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593</v>
      </c>
      <c r="AU15" s="30">
        <v>4.709677419354839</v>
      </c>
    </row>
    <row r="16" spans="1:47" x14ac:dyDescent="0.5">
      <c r="A16" s="32" t="s">
        <v>432</v>
      </c>
      <c r="B16" s="257">
        <v>46037</v>
      </c>
      <c r="C16" s="2">
        <v>5.4</v>
      </c>
      <c r="D16" s="266"/>
      <c r="E16" s="269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87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5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93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594</v>
      </c>
      <c r="AU16">
        <v>5</v>
      </c>
    </row>
    <row r="17" spans="1:47" ht="14.7" thickBot="1" x14ac:dyDescent="0.55000000000000004">
      <c r="A17" s="32" t="s">
        <v>433</v>
      </c>
      <c r="B17" s="258">
        <v>46038</v>
      </c>
      <c r="C17" s="2">
        <v>6</v>
      </c>
      <c r="D17" s="266"/>
      <c r="E17" s="269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109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595</v>
      </c>
      <c r="AU17">
        <v>4.7571428571428571</v>
      </c>
    </row>
    <row r="18" spans="1:47" x14ac:dyDescent="0.5">
      <c r="A18" s="32" t="s">
        <v>434</v>
      </c>
      <c r="B18" s="257">
        <v>46039</v>
      </c>
      <c r="C18" s="2">
        <v>6.9</v>
      </c>
      <c r="D18" s="266"/>
      <c r="E18" s="269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596</v>
      </c>
      <c r="AU18">
        <v>5.1967741935483867</v>
      </c>
    </row>
    <row r="19" spans="1:47" ht="14.7" thickBot="1" x14ac:dyDescent="0.55000000000000004">
      <c r="A19" s="32" t="s">
        <v>435</v>
      </c>
      <c r="B19" s="258">
        <v>46040</v>
      </c>
      <c r="C19" s="2">
        <v>7.6</v>
      </c>
      <c r="D19" s="266"/>
      <c r="E19" s="269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597</v>
      </c>
      <c r="AU19">
        <v>4.8866666666666676</v>
      </c>
    </row>
    <row r="20" spans="1:47" x14ac:dyDescent="0.5">
      <c r="A20" s="32" t="s">
        <v>436</v>
      </c>
      <c r="B20" s="257">
        <v>46041</v>
      </c>
      <c r="C20" s="2">
        <v>6.5</v>
      </c>
      <c r="D20" s="266"/>
      <c r="E20" s="269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598</v>
      </c>
      <c r="AU20">
        <v>5.8967741935483877</v>
      </c>
    </row>
    <row r="21" spans="1:47" ht="14.7" thickBot="1" x14ac:dyDescent="0.55000000000000004">
      <c r="A21" s="32" t="s">
        <v>437</v>
      </c>
      <c r="B21" s="258">
        <v>46042</v>
      </c>
      <c r="C21" s="2">
        <v>6</v>
      </c>
      <c r="D21" s="266"/>
      <c r="E21" s="269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90.322580645161281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599</v>
      </c>
      <c r="AU21">
        <v>4.8600000000000003</v>
      </c>
    </row>
    <row r="22" spans="1:47" x14ac:dyDescent="0.5">
      <c r="A22" s="32" t="s">
        <v>438</v>
      </c>
      <c r="B22" s="257">
        <v>46043</v>
      </c>
      <c r="C22" s="2">
        <v>6.7</v>
      </c>
      <c r="D22" s="266"/>
      <c r="E22" s="269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</row>
    <row r="23" spans="1:47" ht="14.7" thickBot="1" x14ac:dyDescent="0.55000000000000004">
      <c r="A23" s="32" t="s">
        <v>432</v>
      </c>
      <c r="B23" s="258">
        <v>46044</v>
      </c>
      <c r="C23" s="2">
        <v>5.8</v>
      </c>
      <c r="D23" s="266"/>
      <c r="E23" s="269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600</v>
      </c>
      <c r="AU23">
        <v>4.6545454545454543</v>
      </c>
    </row>
    <row r="24" spans="1:47" x14ac:dyDescent="0.5">
      <c r="A24" s="32" t="s">
        <v>433</v>
      </c>
      <c r="B24" s="257">
        <v>46045</v>
      </c>
      <c r="C24" s="2">
        <v>7</v>
      </c>
      <c r="D24" s="266"/>
      <c r="E24" s="269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63.786008230452673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601</v>
      </c>
      <c r="AU24">
        <v>5.8166666666666673</v>
      </c>
    </row>
    <row r="25" spans="1:47" ht="14.7" thickBot="1" x14ac:dyDescent="0.55000000000000004">
      <c r="A25" s="32" t="s">
        <v>434</v>
      </c>
      <c r="B25" s="258">
        <v>46046</v>
      </c>
      <c r="C25" s="2">
        <v>7</v>
      </c>
      <c r="D25" s="266"/>
      <c r="E25" s="269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</row>
    <row r="26" spans="1:47" x14ac:dyDescent="0.5">
      <c r="A26" s="32" t="s">
        <v>435</v>
      </c>
      <c r="B26" s="257">
        <v>46047</v>
      </c>
      <c r="C26" s="2">
        <v>6</v>
      </c>
      <c r="D26" s="266"/>
      <c r="E26" s="269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602</v>
      </c>
      <c r="AU26">
        <v>6.0733333333333333</v>
      </c>
    </row>
    <row r="27" spans="1:47" ht="14.7" thickBot="1" x14ac:dyDescent="0.55000000000000004">
      <c r="A27" s="32" t="s">
        <v>436</v>
      </c>
      <c r="B27" s="258">
        <v>46048</v>
      </c>
      <c r="C27" s="2">
        <v>5.0999999999999996</v>
      </c>
      <c r="D27" s="266"/>
      <c r="E27" s="269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603</v>
      </c>
      <c r="AU27">
        <v>5.8258064516129036</v>
      </c>
    </row>
    <row r="28" spans="1:47" x14ac:dyDescent="0.5">
      <c r="A28" s="32" t="s">
        <v>437</v>
      </c>
      <c r="B28" s="257">
        <v>46049</v>
      </c>
      <c r="C28" s="2">
        <v>5.3</v>
      </c>
      <c r="D28" s="266"/>
      <c r="E28" s="269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604</v>
      </c>
      <c r="AU28">
        <v>5.9290322580645176</v>
      </c>
    </row>
    <row r="29" spans="1:47" ht="14.7" thickBot="1" x14ac:dyDescent="0.55000000000000004">
      <c r="A29" s="32" t="s">
        <v>438</v>
      </c>
      <c r="B29" s="258">
        <v>46050</v>
      </c>
      <c r="C29" s="2">
        <v>5</v>
      </c>
      <c r="D29" s="266"/>
      <c r="E29" s="269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605</v>
      </c>
      <c r="AU29">
        <v>6.4964285714285719</v>
      </c>
    </row>
    <row r="30" spans="1:47" x14ac:dyDescent="0.5">
      <c r="A30" s="32" t="s">
        <v>432</v>
      </c>
      <c r="B30" s="257">
        <v>46051</v>
      </c>
      <c r="C30" s="2">
        <v>8</v>
      </c>
      <c r="D30" s="266"/>
      <c r="E30" s="269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606</v>
      </c>
      <c r="AU30">
        <v>6.5161290322580649</v>
      </c>
    </row>
    <row r="31" spans="1:47" ht="14.7" thickBot="1" x14ac:dyDescent="0.55000000000000004">
      <c r="A31" s="32" t="s">
        <v>433</v>
      </c>
      <c r="B31" s="258">
        <v>46052</v>
      </c>
      <c r="C31" s="2">
        <v>7</v>
      </c>
      <c r="D31" s="266"/>
      <c r="E31" s="269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607</v>
      </c>
      <c r="AU31">
        <v>6.1333333333333337</v>
      </c>
    </row>
    <row r="32" spans="1:47" ht="14.7" thickBot="1" x14ac:dyDescent="0.55000000000000004">
      <c r="A32" s="32" t="s">
        <v>434</v>
      </c>
      <c r="B32" s="257">
        <v>46053</v>
      </c>
      <c r="C32" s="55">
        <v>4.5</v>
      </c>
      <c r="D32" s="267"/>
      <c r="E32" s="269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608</v>
      </c>
      <c r="AU32">
        <v>5.616666666666668</v>
      </c>
    </row>
    <row r="33" spans="1:55" ht="14.7" thickBot="1" x14ac:dyDescent="0.55000000000000004">
      <c r="A33" s="32" t="s">
        <v>435</v>
      </c>
      <c r="B33" s="258">
        <v>46054</v>
      </c>
      <c r="C33" s="48">
        <v>5</v>
      </c>
      <c r="D33" s="273">
        <f>AVERAGE(C33:C60)</f>
        <v>6.4964285714285719</v>
      </c>
      <c r="E33" s="270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609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s="32" t="s">
        <v>436</v>
      </c>
      <c r="B34" s="257">
        <v>46055</v>
      </c>
      <c r="C34" s="2">
        <v>5.4</v>
      </c>
      <c r="D34" s="271"/>
      <c r="E34" s="270"/>
      <c r="F34" s="260">
        <v>0</v>
      </c>
      <c r="G34" s="69" t="s">
        <v>176</v>
      </c>
      <c r="I34" s="38">
        <v>0</v>
      </c>
      <c r="M34" s="38"/>
      <c r="Q34" s="288" t="s">
        <v>479</v>
      </c>
      <c r="R34" s="289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610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s="32" t="s">
        <v>437</v>
      </c>
      <c r="B35" s="258">
        <v>46056</v>
      </c>
      <c r="C35" s="2">
        <v>6</v>
      </c>
      <c r="D35" s="271"/>
      <c r="E35" s="270"/>
      <c r="F35" s="260">
        <v>1</v>
      </c>
      <c r="G35" s="69" t="s">
        <v>176</v>
      </c>
      <c r="I35" s="38">
        <v>0</v>
      </c>
      <c r="M35" s="38"/>
      <c r="Q35" s="288"/>
      <c r="R35" s="289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611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s="32" t="s">
        <v>438</v>
      </c>
      <c r="B36" s="257">
        <v>46057</v>
      </c>
      <c r="C36" s="2">
        <v>7.4</v>
      </c>
      <c r="D36" s="271"/>
      <c r="E36" s="270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s="32" t="s">
        <v>432</v>
      </c>
      <c r="B37" s="258">
        <v>46058</v>
      </c>
      <c r="C37" s="2">
        <v>6</v>
      </c>
      <c r="D37" s="271"/>
      <c r="E37" s="270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s="32" t="s">
        <v>433</v>
      </c>
      <c r="B38" s="257">
        <v>46059</v>
      </c>
      <c r="C38" s="2">
        <v>10</v>
      </c>
      <c r="D38" s="271"/>
      <c r="E38" s="270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s="32" t="s">
        <v>434</v>
      </c>
      <c r="B39" s="258">
        <v>46060</v>
      </c>
      <c r="C39" s="2">
        <v>8</v>
      </c>
      <c r="D39" s="271"/>
      <c r="E39" s="270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s="32" t="s">
        <v>435</v>
      </c>
      <c r="B40" s="257">
        <v>46061</v>
      </c>
      <c r="C40" s="2">
        <v>6</v>
      </c>
      <c r="D40" s="271"/>
      <c r="E40" s="270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s="32" t="s">
        <v>436</v>
      </c>
      <c r="B41" s="258">
        <v>46062</v>
      </c>
      <c r="C41" s="2">
        <v>5.3</v>
      </c>
      <c r="D41" s="271"/>
      <c r="E41" s="270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s="32" t="s">
        <v>437</v>
      </c>
      <c r="B42" s="257">
        <v>46063</v>
      </c>
      <c r="C42" s="2">
        <v>5.6</v>
      </c>
      <c r="D42" s="271"/>
      <c r="E42" s="270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s="32" t="s">
        <v>438</v>
      </c>
      <c r="B43" s="258">
        <v>46064</v>
      </c>
      <c r="C43" s="2">
        <v>6.5</v>
      </c>
      <c r="D43" s="271"/>
      <c r="E43" s="270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s="32" t="s">
        <v>432</v>
      </c>
      <c r="B44" s="257">
        <v>46065</v>
      </c>
      <c r="C44" s="2">
        <v>5</v>
      </c>
      <c r="D44" s="271"/>
      <c r="E44" s="270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s="32" t="s">
        <v>433</v>
      </c>
      <c r="B45" s="258">
        <v>46066</v>
      </c>
      <c r="C45" s="2">
        <v>5.2</v>
      </c>
      <c r="D45" s="271"/>
      <c r="E45" s="270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s="32" t="s">
        <v>434</v>
      </c>
      <c r="B46" s="257">
        <v>46067</v>
      </c>
      <c r="C46" s="2">
        <v>5.5</v>
      </c>
      <c r="D46" s="271"/>
      <c r="E46" s="270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s="32" t="s">
        <v>435</v>
      </c>
      <c r="B47" s="258">
        <v>46068</v>
      </c>
      <c r="C47" s="2">
        <v>5.8</v>
      </c>
      <c r="D47" s="271"/>
      <c r="E47" s="270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s="32" t="s">
        <v>436</v>
      </c>
      <c r="B48" s="257">
        <v>46069</v>
      </c>
      <c r="C48" s="2">
        <v>4</v>
      </c>
      <c r="D48" s="271"/>
      <c r="E48" s="270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s="32" t="s">
        <v>437</v>
      </c>
      <c r="B49" s="258">
        <v>46070</v>
      </c>
      <c r="C49" s="2">
        <v>7</v>
      </c>
      <c r="D49" s="271"/>
      <c r="E49" s="270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s="32" t="s">
        <v>438</v>
      </c>
      <c r="B50" s="257">
        <v>46071</v>
      </c>
      <c r="C50" s="2">
        <v>6.8</v>
      </c>
      <c r="D50" s="271"/>
      <c r="E50" s="270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s="32" t="s">
        <v>432</v>
      </c>
      <c r="B51" s="258">
        <v>46072</v>
      </c>
      <c r="C51" s="2">
        <v>7.5</v>
      </c>
      <c r="D51" s="271"/>
      <c r="E51" s="270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s="32" t="s">
        <v>433</v>
      </c>
      <c r="B52" s="257">
        <v>46073</v>
      </c>
      <c r="C52" s="2">
        <v>7.2</v>
      </c>
      <c r="D52" s="271"/>
      <c r="E52" s="270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s="32" t="s">
        <v>434</v>
      </c>
      <c r="B53" s="258">
        <v>46074</v>
      </c>
      <c r="C53" s="2">
        <v>7</v>
      </c>
      <c r="D53" s="271"/>
      <c r="E53" s="270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s="32" t="s">
        <v>435</v>
      </c>
      <c r="B54" s="257">
        <v>46075</v>
      </c>
      <c r="C54" s="2">
        <v>7.6</v>
      </c>
      <c r="D54" s="271"/>
      <c r="E54" s="270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s="32" t="s">
        <v>436</v>
      </c>
      <c r="B55" s="258">
        <v>46076</v>
      </c>
      <c r="C55" s="2">
        <v>9</v>
      </c>
      <c r="D55" s="271"/>
      <c r="E55" s="270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s="32" t="s">
        <v>437</v>
      </c>
      <c r="B56" s="257">
        <v>46077</v>
      </c>
      <c r="C56" s="2">
        <v>5.5</v>
      </c>
      <c r="D56" s="271"/>
      <c r="E56" s="270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s="32" t="s">
        <v>438</v>
      </c>
      <c r="B57" s="258">
        <v>46078</v>
      </c>
      <c r="C57" s="2">
        <v>7.8</v>
      </c>
      <c r="D57" s="271"/>
      <c r="E57" s="270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s="32" t="s">
        <v>432</v>
      </c>
      <c r="B58" s="257">
        <v>46079</v>
      </c>
      <c r="C58" s="2">
        <v>6</v>
      </c>
      <c r="D58" s="271"/>
      <c r="E58" s="270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s="32" t="s">
        <v>433</v>
      </c>
      <c r="B59" s="258">
        <v>46080</v>
      </c>
      <c r="C59" s="2">
        <v>6.5</v>
      </c>
      <c r="D59" s="271"/>
      <c r="E59" s="270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s="32" t="s">
        <v>434</v>
      </c>
      <c r="B60" s="257">
        <v>46081</v>
      </c>
      <c r="C60" s="2">
        <v>7.3</v>
      </c>
      <c r="D60" s="271"/>
      <c r="E60" s="270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s="32" t="s">
        <v>435</v>
      </c>
      <c r="B61" s="258">
        <v>46082</v>
      </c>
      <c r="C61" s="2">
        <v>6.5</v>
      </c>
      <c r="D61" s="271">
        <f>AVERAGE(C61:C91)</f>
        <v>6.5161290322580649</v>
      </c>
      <c r="E61" s="270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s="32" t="s">
        <v>436</v>
      </c>
      <c r="B62" s="257">
        <v>46083</v>
      </c>
      <c r="C62" s="2">
        <v>6</v>
      </c>
      <c r="D62" s="271"/>
      <c r="E62" s="270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s="32" t="s">
        <v>437</v>
      </c>
      <c r="B63" s="258">
        <v>46084</v>
      </c>
      <c r="C63" s="2">
        <v>6.8</v>
      </c>
      <c r="D63" s="271"/>
      <c r="E63" s="270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s="32" t="s">
        <v>438</v>
      </c>
      <c r="B64" s="257">
        <v>46085</v>
      </c>
      <c r="C64" s="2">
        <v>7</v>
      </c>
      <c r="D64" s="271"/>
      <c r="E64" s="270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s="32" t="s">
        <v>432</v>
      </c>
      <c r="B65" s="258">
        <v>46086</v>
      </c>
      <c r="C65" s="2">
        <v>6.9</v>
      </c>
      <c r="D65" s="271"/>
      <c r="E65" s="270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s="32" t="s">
        <v>433</v>
      </c>
      <c r="B66" s="257">
        <v>46087</v>
      </c>
      <c r="C66" s="2">
        <v>6.5</v>
      </c>
      <c r="D66" s="271"/>
      <c r="E66" s="270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s="32" t="s">
        <v>434</v>
      </c>
      <c r="B67" s="258">
        <v>46088</v>
      </c>
      <c r="C67" s="2">
        <v>5</v>
      </c>
      <c r="D67" s="271"/>
      <c r="E67" s="270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s="32" t="s">
        <v>435</v>
      </c>
      <c r="B68" s="257">
        <v>46089</v>
      </c>
      <c r="C68" s="2">
        <v>8.4</v>
      </c>
      <c r="D68" s="271"/>
      <c r="E68" s="270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s="32" t="s">
        <v>436</v>
      </c>
      <c r="B69" s="258">
        <v>46090</v>
      </c>
      <c r="C69" s="2">
        <v>5.3</v>
      </c>
      <c r="D69" s="271"/>
      <c r="E69" s="270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s="32" t="s">
        <v>437</v>
      </c>
      <c r="B70" s="257">
        <v>46091</v>
      </c>
      <c r="C70" s="2">
        <v>5.8</v>
      </c>
      <c r="D70" s="271"/>
      <c r="E70" s="270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s="32" t="s">
        <v>438</v>
      </c>
      <c r="B71" s="258">
        <v>46092</v>
      </c>
      <c r="C71" s="2">
        <v>5.5</v>
      </c>
      <c r="D71" s="271"/>
      <c r="E71" s="270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s="32" t="s">
        <v>432</v>
      </c>
      <c r="B72" s="257">
        <v>46093</v>
      </c>
      <c r="C72" s="2">
        <v>5.6</v>
      </c>
      <c r="D72" s="271"/>
      <c r="E72" s="270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s="32" t="s">
        <v>433</v>
      </c>
      <c r="B73" s="258">
        <v>46094</v>
      </c>
      <c r="C73" s="2">
        <v>8.5</v>
      </c>
      <c r="D73" s="271"/>
      <c r="E73" s="270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s="32" t="s">
        <v>434</v>
      </c>
      <c r="B74" s="257">
        <v>46095</v>
      </c>
      <c r="C74" s="2">
        <v>7.8</v>
      </c>
      <c r="D74" s="271"/>
      <c r="E74" s="270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s="32" t="s">
        <v>435</v>
      </c>
      <c r="B75" s="258">
        <v>46096</v>
      </c>
      <c r="C75" s="2">
        <v>10</v>
      </c>
      <c r="D75" s="271"/>
      <c r="E75" s="270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s="32" t="s">
        <v>436</v>
      </c>
      <c r="B76" s="257">
        <v>46097</v>
      </c>
      <c r="C76" s="2">
        <v>7.5</v>
      </c>
      <c r="D76" s="271"/>
      <c r="E76" s="270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s="32" t="s">
        <v>437</v>
      </c>
      <c r="B77" s="258">
        <v>46098</v>
      </c>
      <c r="C77" s="2">
        <v>6.2</v>
      </c>
      <c r="D77" s="271"/>
      <c r="E77" s="270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s="32" t="s">
        <v>438</v>
      </c>
      <c r="B78" s="257">
        <v>46099</v>
      </c>
      <c r="C78" s="2">
        <v>6.2</v>
      </c>
      <c r="D78" s="271"/>
      <c r="E78" s="270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s="32" t="s">
        <v>432</v>
      </c>
      <c r="B79" s="258">
        <v>46100</v>
      </c>
      <c r="C79" s="2">
        <v>8</v>
      </c>
      <c r="D79" s="271"/>
      <c r="E79" s="270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s="32" t="s">
        <v>433</v>
      </c>
      <c r="B80" s="257">
        <v>46101</v>
      </c>
      <c r="C80" s="2">
        <v>4</v>
      </c>
      <c r="D80" s="271"/>
      <c r="E80" s="270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s="32" t="s">
        <v>434</v>
      </c>
      <c r="B81" s="258">
        <v>46102</v>
      </c>
      <c r="C81" s="2">
        <v>5</v>
      </c>
      <c r="D81" s="271"/>
      <c r="E81" s="270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s="32" t="s">
        <v>435</v>
      </c>
      <c r="B82" s="257">
        <v>46103</v>
      </c>
      <c r="C82" s="2">
        <v>5.9</v>
      </c>
      <c r="D82" s="271"/>
      <c r="E82" s="270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s="32" t="s">
        <v>436</v>
      </c>
      <c r="B83" s="258">
        <v>46104</v>
      </c>
      <c r="C83" s="2">
        <v>6</v>
      </c>
      <c r="D83" s="271"/>
      <c r="E83" s="270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s="32" t="s">
        <v>437</v>
      </c>
      <c r="B84" s="257">
        <v>46105</v>
      </c>
      <c r="C84" s="2">
        <v>7</v>
      </c>
      <c r="D84" s="271"/>
      <c r="E84" s="270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s="32" t="s">
        <v>438</v>
      </c>
      <c r="B85" s="258">
        <v>46106</v>
      </c>
      <c r="C85" s="2">
        <v>6.5</v>
      </c>
      <c r="D85" s="271"/>
      <c r="E85" s="270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s="32" t="s">
        <v>432</v>
      </c>
      <c r="B86" s="257">
        <v>46107</v>
      </c>
      <c r="C86" s="2">
        <v>5.9</v>
      </c>
      <c r="D86" s="271"/>
      <c r="E86" s="270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s="32" t="s">
        <v>433</v>
      </c>
      <c r="B87" s="258">
        <v>46108</v>
      </c>
      <c r="C87" s="2">
        <v>6.2</v>
      </c>
      <c r="D87" s="271"/>
      <c r="E87" s="270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s="32" t="s">
        <v>434</v>
      </c>
      <c r="B88" s="257">
        <v>46109</v>
      </c>
      <c r="C88" s="2">
        <v>5.5</v>
      </c>
      <c r="D88" s="271"/>
      <c r="E88" s="270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s="32" t="s">
        <v>435</v>
      </c>
      <c r="B89" s="258">
        <v>46110</v>
      </c>
      <c r="C89" s="2">
        <v>5.5</v>
      </c>
      <c r="D89" s="271"/>
      <c r="E89" s="270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s="32" t="s">
        <v>436</v>
      </c>
      <c r="B90" s="257">
        <v>46111</v>
      </c>
      <c r="C90" s="2">
        <v>8</v>
      </c>
      <c r="D90" s="271"/>
      <c r="E90" s="270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s="32" t="s">
        <v>437</v>
      </c>
      <c r="B91" s="258">
        <v>46112</v>
      </c>
      <c r="C91" s="2">
        <v>7</v>
      </c>
      <c r="D91" s="271"/>
      <c r="E91" s="270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s="32" t="s">
        <v>438</v>
      </c>
      <c r="B92" s="257">
        <v>46113</v>
      </c>
      <c r="C92" s="2">
        <v>5.5</v>
      </c>
      <c r="D92" s="271">
        <f>AVERAGE(C92:C121)</f>
        <v>6.13</v>
      </c>
      <c r="E92" s="270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s="32" t="s">
        <v>432</v>
      </c>
      <c r="B93" s="258">
        <v>46114</v>
      </c>
      <c r="C93" s="2">
        <v>5</v>
      </c>
      <c r="D93" s="271"/>
      <c r="E93" s="270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s="32" t="s">
        <v>433</v>
      </c>
      <c r="B94" s="257">
        <v>46115</v>
      </c>
      <c r="C94" s="2">
        <v>5.8</v>
      </c>
      <c r="D94" s="271"/>
      <c r="E94" s="270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s="32" t="s">
        <v>434</v>
      </c>
      <c r="B95" s="258">
        <v>46116</v>
      </c>
      <c r="C95" s="2">
        <v>5.5</v>
      </c>
      <c r="D95" s="271"/>
      <c r="E95" s="270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s="32" t="s">
        <v>435</v>
      </c>
      <c r="B96" s="257">
        <v>46117</v>
      </c>
      <c r="C96" s="2">
        <v>6</v>
      </c>
      <c r="D96" s="271"/>
      <c r="E96" s="270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s="32" t="s">
        <v>436</v>
      </c>
      <c r="B97" s="258">
        <v>46118</v>
      </c>
      <c r="C97" s="2">
        <v>6.6</v>
      </c>
      <c r="D97" s="271"/>
      <c r="E97" s="270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s="32" t="s">
        <v>437</v>
      </c>
      <c r="B98" s="257">
        <v>46119</v>
      </c>
      <c r="C98" s="2">
        <v>5.8</v>
      </c>
      <c r="D98" s="271"/>
      <c r="E98" s="270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s="32" t="s">
        <v>438</v>
      </c>
      <c r="B99" s="258">
        <v>46120</v>
      </c>
      <c r="C99" s="2">
        <v>5.9</v>
      </c>
      <c r="D99" s="271"/>
      <c r="E99" s="270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s="32" t="s">
        <v>432</v>
      </c>
      <c r="B100" s="257">
        <v>46121</v>
      </c>
      <c r="C100" s="2">
        <v>6</v>
      </c>
      <c r="D100" s="271"/>
      <c r="E100" s="270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s="32" t="s">
        <v>433</v>
      </c>
      <c r="B101" s="258">
        <v>46122</v>
      </c>
      <c r="C101" s="2">
        <v>6.2</v>
      </c>
      <c r="D101" s="271"/>
      <c r="E101" s="270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s="32" t="s">
        <v>434</v>
      </c>
      <c r="B102" s="257">
        <v>46123</v>
      </c>
      <c r="C102" s="2">
        <v>7.5</v>
      </c>
      <c r="D102" s="271"/>
      <c r="E102" s="270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s="32" t="s">
        <v>435</v>
      </c>
      <c r="B103" s="258">
        <v>46124</v>
      </c>
      <c r="C103" s="2">
        <v>6.3</v>
      </c>
      <c r="D103" s="271"/>
      <c r="E103" s="270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s="32" t="s">
        <v>436</v>
      </c>
      <c r="B104" s="257">
        <v>46125</v>
      </c>
      <c r="C104" s="2">
        <v>6.5</v>
      </c>
      <c r="D104" s="271"/>
      <c r="E104" s="270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s="32" t="s">
        <v>437</v>
      </c>
      <c r="B105" s="258">
        <v>46126</v>
      </c>
      <c r="C105" s="2">
        <v>5</v>
      </c>
      <c r="D105" s="271"/>
      <c r="E105" s="270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s="32" t="s">
        <v>438</v>
      </c>
      <c r="B106" s="257">
        <v>46127</v>
      </c>
      <c r="C106" s="2">
        <v>5.7</v>
      </c>
      <c r="D106" s="271"/>
      <c r="E106" s="270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s="32" t="s">
        <v>432</v>
      </c>
      <c r="B107" s="258">
        <v>46128</v>
      </c>
      <c r="C107" s="2">
        <v>6</v>
      </c>
      <c r="D107" s="271"/>
      <c r="E107" s="270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s="32" t="s">
        <v>433</v>
      </c>
      <c r="B108" s="257">
        <v>46129</v>
      </c>
      <c r="C108" s="2">
        <v>5.9</v>
      </c>
      <c r="D108" s="271"/>
      <c r="E108" s="270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s="32" t="s">
        <v>434</v>
      </c>
      <c r="B109" s="258">
        <v>46130</v>
      </c>
      <c r="C109" s="2">
        <v>5.8</v>
      </c>
      <c r="D109" s="271"/>
      <c r="E109" s="270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s="32" t="s">
        <v>435</v>
      </c>
      <c r="B110" s="257">
        <v>46131</v>
      </c>
      <c r="C110" s="2">
        <v>7.2</v>
      </c>
      <c r="D110" s="271"/>
      <c r="E110" s="270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s="32" t="s">
        <v>436</v>
      </c>
      <c r="B111" s="258">
        <v>46132</v>
      </c>
      <c r="C111" s="2">
        <v>5.5</v>
      </c>
      <c r="D111" s="271"/>
      <c r="E111" s="270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s="32" t="s">
        <v>437</v>
      </c>
      <c r="B112" s="257">
        <v>46133</v>
      </c>
      <c r="C112" s="2">
        <v>6.3</v>
      </c>
      <c r="D112" s="271"/>
      <c r="E112" s="270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s="32" t="s">
        <v>438</v>
      </c>
      <c r="B113" s="258">
        <v>46134</v>
      </c>
      <c r="C113" s="2">
        <v>1.9</v>
      </c>
      <c r="D113" s="271"/>
      <c r="E113" s="270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s="32" t="s">
        <v>432</v>
      </c>
      <c r="B114" s="257">
        <v>46135</v>
      </c>
      <c r="C114" s="2">
        <v>7</v>
      </c>
      <c r="D114" s="271"/>
      <c r="E114" s="270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s="32" t="s">
        <v>433</v>
      </c>
      <c r="B115" s="258">
        <v>46136</v>
      </c>
      <c r="C115" s="2">
        <v>10</v>
      </c>
      <c r="D115" s="271"/>
      <c r="E115" s="270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s="32" t="s">
        <v>434</v>
      </c>
      <c r="B116" s="257">
        <v>46137</v>
      </c>
      <c r="C116" s="2">
        <v>9</v>
      </c>
      <c r="D116" s="271"/>
      <c r="E116" s="270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s="32" t="s">
        <v>435</v>
      </c>
      <c r="B117" s="258">
        <v>46138</v>
      </c>
      <c r="C117" s="2">
        <v>6.3</v>
      </c>
      <c r="D117" s="271"/>
      <c r="E117" s="270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s="32" t="s">
        <v>436</v>
      </c>
      <c r="B118" s="257">
        <v>46139</v>
      </c>
      <c r="C118" s="2">
        <v>6.2</v>
      </c>
      <c r="D118" s="271"/>
      <c r="E118" s="270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s="32" t="s">
        <v>437</v>
      </c>
      <c r="B119" s="258">
        <v>46140</v>
      </c>
      <c r="C119" s="2">
        <v>5.7</v>
      </c>
      <c r="D119" s="271"/>
      <c r="E119" s="270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s="32" t="s">
        <v>438</v>
      </c>
      <c r="B120" s="257">
        <v>46141</v>
      </c>
      <c r="C120" s="2">
        <v>4.8</v>
      </c>
      <c r="D120" s="271"/>
      <c r="E120" s="270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s="32" t="s">
        <v>432</v>
      </c>
      <c r="B121" s="258">
        <v>46142</v>
      </c>
      <c r="C121" s="2">
        <v>7</v>
      </c>
      <c r="D121" s="271"/>
      <c r="E121" s="270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s="32" t="s">
        <v>433</v>
      </c>
      <c r="B122" s="257">
        <v>46143</v>
      </c>
      <c r="C122" s="2">
        <v>6.2</v>
      </c>
      <c r="D122" s="271">
        <f>AVERAGE(C122:C151)</f>
        <v>5.616666666666668</v>
      </c>
      <c r="E122" s="270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s="32" t="s">
        <v>434</v>
      </c>
      <c r="B123" s="258">
        <v>46144</v>
      </c>
      <c r="C123" s="2">
        <v>5.6</v>
      </c>
      <c r="D123" s="271"/>
      <c r="E123" s="270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s="32" t="s">
        <v>435</v>
      </c>
      <c r="B124" s="257">
        <v>46145</v>
      </c>
      <c r="C124" s="2">
        <v>5.4</v>
      </c>
      <c r="D124" s="271"/>
      <c r="E124" s="270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s="32" t="s">
        <v>436</v>
      </c>
      <c r="B125" s="258">
        <v>46146</v>
      </c>
      <c r="C125" s="2">
        <v>4.8</v>
      </c>
      <c r="D125" s="271"/>
      <c r="E125" s="270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s="32" t="s">
        <v>437</v>
      </c>
      <c r="B126" s="257">
        <v>46147</v>
      </c>
      <c r="C126" s="2">
        <v>4.5</v>
      </c>
      <c r="D126" s="271"/>
      <c r="E126" s="270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s="32" t="s">
        <v>438</v>
      </c>
      <c r="B127" s="258">
        <v>46148</v>
      </c>
      <c r="C127" s="2">
        <v>6</v>
      </c>
      <c r="D127" s="271"/>
      <c r="E127" s="270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s="32" t="s">
        <v>432</v>
      </c>
      <c r="B128" s="257">
        <v>46149</v>
      </c>
      <c r="C128" s="2">
        <v>7</v>
      </c>
      <c r="D128" s="271"/>
      <c r="E128" s="270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s="32" t="s">
        <v>433</v>
      </c>
      <c r="B129" s="258">
        <v>46150</v>
      </c>
      <c r="C129" s="2">
        <v>4.8</v>
      </c>
      <c r="D129" s="271"/>
      <c r="E129" s="270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s="32" t="s">
        <v>434</v>
      </c>
      <c r="B130" s="257">
        <v>46151</v>
      </c>
      <c r="C130" s="2">
        <v>6.5</v>
      </c>
      <c r="D130" s="271"/>
      <c r="E130" s="270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s="32" t="s">
        <v>435</v>
      </c>
      <c r="B131" s="258">
        <v>46152</v>
      </c>
      <c r="C131" s="2">
        <v>6.2</v>
      </c>
      <c r="D131" s="271"/>
      <c r="E131" s="270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s="32" t="s">
        <v>436</v>
      </c>
      <c r="B132" s="257">
        <v>46153</v>
      </c>
      <c r="C132" s="2">
        <v>6.9</v>
      </c>
      <c r="D132" s="271"/>
      <c r="E132" s="270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s="32" t="s">
        <v>437</v>
      </c>
      <c r="B133" s="258">
        <v>46154</v>
      </c>
      <c r="C133" s="2">
        <v>5.2</v>
      </c>
      <c r="D133" s="271"/>
      <c r="E133" s="270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s="32" t="s">
        <v>438</v>
      </c>
      <c r="B134" s="257">
        <v>46155</v>
      </c>
      <c r="C134" s="2">
        <v>5.8</v>
      </c>
      <c r="D134" s="271"/>
      <c r="E134" s="270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s="32" t="s">
        <v>432</v>
      </c>
      <c r="B135" s="258">
        <v>46156</v>
      </c>
      <c r="C135" s="2">
        <v>5.5</v>
      </c>
      <c r="D135" s="271"/>
      <c r="E135" s="270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s="32" t="s">
        <v>433</v>
      </c>
      <c r="B136" s="257">
        <v>46157</v>
      </c>
      <c r="C136" s="2">
        <v>5.2</v>
      </c>
      <c r="D136" s="271"/>
      <c r="E136" s="270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s="32" t="s">
        <v>434</v>
      </c>
      <c r="B137" s="258">
        <v>46158</v>
      </c>
      <c r="C137" s="2">
        <v>5.4</v>
      </c>
      <c r="D137" s="271"/>
      <c r="E137" s="270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s="32" t="s">
        <v>435</v>
      </c>
      <c r="B138" s="257">
        <v>46159</v>
      </c>
      <c r="C138" s="2">
        <v>5.6</v>
      </c>
      <c r="D138" s="271"/>
      <c r="E138" s="270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s="32" t="s">
        <v>436</v>
      </c>
      <c r="B139" s="258">
        <v>46160</v>
      </c>
      <c r="C139" s="2">
        <v>5.2</v>
      </c>
      <c r="D139" s="271"/>
      <c r="E139" s="270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s="32" t="s">
        <v>437</v>
      </c>
      <c r="B140" s="257">
        <v>46161</v>
      </c>
      <c r="C140" s="2">
        <v>6.2</v>
      </c>
      <c r="D140" s="271"/>
      <c r="E140" s="270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s="32" t="s">
        <v>438</v>
      </c>
      <c r="B141" s="258">
        <v>46162</v>
      </c>
      <c r="C141" s="2">
        <v>5.8</v>
      </c>
      <c r="D141" s="271"/>
      <c r="E141" s="270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s="32" t="s">
        <v>432</v>
      </c>
      <c r="B142" s="257">
        <v>46163</v>
      </c>
      <c r="C142" s="2">
        <v>5.3</v>
      </c>
      <c r="D142" s="271"/>
      <c r="E142" s="270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s="32" t="s">
        <v>433</v>
      </c>
      <c r="B143" s="258">
        <v>46164</v>
      </c>
      <c r="C143" s="2">
        <v>5.4</v>
      </c>
      <c r="D143" s="271"/>
      <c r="E143" s="270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s="32" t="s">
        <v>434</v>
      </c>
      <c r="B144" s="257">
        <v>46165</v>
      </c>
      <c r="C144" s="2">
        <v>6.3</v>
      </c>
      <c r="D144" s="271"/>
      <c r="E144" s="270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s="32" t="s">
        <v>435</v>
      </c>
      <c r="B145" s="258">
        <v>46166</v>
      </c>
      <c r="C145" s="2">
        <v>5.4</v>
      </c>
      <c r="D145" s="271"/>
      <c r="E145" s="270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s="32" t="s">
        <v>436</v>
      </c>
      <c r="B146" s="257">
        <v>46167</v>
      </c>
      <c r="C146" s="2">
        <v>6</v>
      </c>
      <c r="D146" s="271"/>
      <c r="E146" s="270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s="32" t="s">
        <v>437</v>
      </c>
      <c r="B147" s="258">
        <v>46168</v>
      </c>
      <c r="C147" s="2">
        <v>5.7</v>
      </c>
      <c r="D147" s="271"/>
      <c r="E147" s="270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s="32" t="s">
        <v>438</v>
      </c>
      <c r="B148" s="257">
        <v>46169</v>
      </c>
      <c r="C148" s="2">
        <v>4.8</v>
      </c>
      <c r="D148" s="271"/>
      <c r="E148" s="270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s="32" t="s">
        <v>432</v>
      </c>
      <c r="B149" s="258">
        <v>46170</v>
      </c>
      <c r="C149" s="2">
        <v>5</v>
      </c>
      <c r="D149" s="271"/>
      <c r="E149" s="270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s="32" t="s">
        <v>433</v>
      </c>
      <c r="B150" s="257">
        <v>46171</v>
      </c>
      <c r="C150" s="2">
        <v>5.8</v>
      </c>
      <c r="D150" s="271"/>
      <c r="E150" s="270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s="32" t="s">
        <v>434</v>
      </c>
      <c r="B151" s="258">
        <v>46172</v>
      </c>
      <c r="C151" s="2">
        <v>5</v>
      </c>
      <c r="D151" s="271"/>
      <c r="E151" s="270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s="32" t="s">
        <v>435</v>
      </c>
      <c r="B152" s="257">
        <v>46173</v>
      </c>
      <c r="C152" s="2">
        <v>5.6</v>
      </c>
      <c r="D152" s="271"/>
      <c r="E152" s="270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s="32" t="s">
        <v>436</v>
      </c>
      <c r="B153" s="258">
        <v>46174</v>
      </c>
      <c r="C153" s="2">
        <v>5.2</v>
      </c>
      <c r="D153" s="271">
        <f>AVERAGE(C153:C182)</f>
        <v>5.6033333333333335</v>
      </c>
      <c r="E153" s="270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s="32" t="s">
        <v>437</v>
      </c>
      <c r="B154" s="257">
        <v>46175</v>
      </c>
      <c r="C154" s="2">
        <v>5.0999999999999996</v>
      </c>
      <c r="D154" s="271"/>
      <c r="E154" s="270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s="32" t="s">
        <v>438</v>
      </c>
      <c r="B155" s="258">
        <v>46176</v>
      </c>
      <c r="C155" s="2">
        <v>5</v>
      </c>
      <c r="D155" s="271"/>
      <c r="E155" s="270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s="32" t="s">
        <v>432</v>
      </c>
      <c r="B156" s="257">
        <v>46177</v>
      </c>
      <c r="C156" s="2">
        <v>4.8</v>
      </c>
      <c r="D156" s="271"/>
      <c r="E156" s="270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s="32" t="s">
        <v>433</v>
      </c>
      <c r="B157" s="258">
        <v>46178</v>
      </c>
      <c r="C157" s="2">
        <v>5.3</v>
      </c>
      <c r="D157" s="271"/>
      <c r="E157" s="270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s="32" t="s">
        <v>434</v>
      </c>
      <c r="B158" s="257">
        <v>46179</v>
      </c>
      <c r="C158" s="2">
        <v>3.9</v>
      </c>
      <c r="D158" s="271"/>
      <c r="E158" s="270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s="32" t="s">
        <v>435</v>
      </c>
      <c r="B159" s="258">
        <v>46180</v>
      </c>
      <c r="C159" s="2">
        <v>5.0999999999999996</v>
      </c>
      <c r="D159" s="271"/>
      <c r="E159" s="270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s="32" t="s">
        <v>436</v>
      </c>
      <c r="B160" s="257">
        <v>46181</v>
      </c>
      <c r="C160" s="2">
        <v>5</v>
      </c>
      <c r="D160" s="271"/>
      <c r="E160" s="270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s="32" t="s">
        <v>437</v>
      </c>
      <c r="B161" s="258">
        <v>46182</v>
      </c>
      <c r="C161" s="2">
        <v>5.2</v>
      </c>
      <c r="D161" s="271"/>
      <c r="E161" s="270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s="32" t="s">
        <v>438</v>
      </c>
      <c r="B162" s="257">
        <v>46183</v>
      </c>
      <c r="C162" s="2">
        <v>5</v>
      </c>
      <c r="D162" s="271"/>
      <c r="E162" s="270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s="32" t="s">
        <v>432</v>
      </c>
      <c r="B163" s="258">
        <v>46184</v>
      </c>
      <c r="C163" s="2">
        <v>5.6</v>
      </c>
      <c r="D163" s="271"/>
      <c r="E163" s="270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s="32" t="s">
        <v>433</v>
      </c>
      <c r="B164" s="257">
        <v>46185</v>
      </c>
      <c r="C164" s="2">
        <v>5.4</v>
      </c>
      <c r="D164" s="271"/>
      <c r="E164" s="270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s="32" t="s">
        <v>434</v>
      </c>
      <c r="B165" s="258">
        <v>46186</v>
      </c>
      <c r="C165" s="2">
        <v>6</v>
      </c>
      <c r="D165" s="271"/>
      <c r="E165" s="270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s="32" t="s">
        <v>435</v>
      </c>
      <c r="B166" s="257">
        <v>46187</v>
      </c>
      <c r="C166" s="2">
        <v>6.2</v>
      </c>
      <c r="D166" s="271"/>
      <c r="E166" s="270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s="32" t="s">
        <v>436</v>
      </c>
      <c r="B167" s="258">
        <v>46188</v>
      </c>
      <c r="C167" s="2">
        <v>5</v>
      </c>
      <c r="D167" s="271"/>
      <c r="E167" s="270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s="32" t="s">
        <v>437</v>
      </c>
      <c r="B168" s="257">
        <v>46189</v>
      </c>
      <c r="C168" s="2">
        <v>5</v>
      </c>
      <c r="D168" s="271"/>
      <c r="E168" s="270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s="32" t="s">
        <v>438</v>
      </c>
      <c r="B169" s="258">
        <v>46190</v>
      </c>
      <c r="C169" s="2">
        <v>5</v>
      </c>
      <c r="D169" s="271"/>
      <c r="E169" s="270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s="32" t="s">
        <v>432</v>
      </c>
      <c r="B170" s="257">
        <v>46191</v>
      </c>
      <c r="C170" s="2">
        <v>4.9000000000000004</v>
      </c>
      <c r="D170" s="271"/>
      <c r="E170" s="270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s="32" t="s">
        <v>433</v>
      </c>
      <c r="B171" s="258">
        <v>46192</v>
      </c>
      <c r="C171" s="2">
        <v>6.2</v>
      </c>
      <c r="D171" s="271"/>
      <c r="E171" s="270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s="32" t="s">
        <v>434</v>
      </c>
      <c r="B172" s="257">
        <v>46193</v>
      </c>
      <c r="C172" s="2">
        <v>5.6</v>
      </c>
      <c r="D172" s="271"/>
      <c r="E172" s="270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s="32" t="s">
        <v>435</v>
      </c>
      <c r="B173" s="258">
        <v>46194</v>
      </c>
      <c r="C173" s="2">
        <v>6</v>
      </c>
      <c r="D173" s="271"/>
      <c r="E173" s="270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s="32" t="s">
        <v>436</v>
      </c>
      <c r="B174" s="257">
        <v>46195</v>
      </c>
      <c r="C174" s="2">
        <v>5.3</v>
      </c>
      <c r="D174" s="271"/>
      <c r="E174" s="270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s="32" t="s">
        <v>437</v>
      </c>
      <c r="B175" s="258">
        <v>46196</v>
      </c>
      <c r="C175" s="2">
        <v>7.4</v>
      </c>
      <c r="D175" s="271"/>
      <c r="E175" s="270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s="32" t="s">
        <v>438</v>
      </c>
      <c r="B176" s="257">
        <v>46197</v>
      </c>
      <c r="C176" s="2">
        <v>5.8</v>
      </c>
      <c r="D176" s="271"/>
      <c r="E176" s="270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s="32" t="s">
        <v>432</v>
      </c>
      <c r="B177" s="258">
        <v>46198</v>
      </c>
      <c r="C177" s="2">
        <v>6.5</v>
      </c>
      <c r="D177" s="271"/>
      <c r="E177" s="270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s="32" t="s">
        <v>433</v>
      </c>
      <c r="B178" s="257">
        <v>46199</v>
      </c>
      <c r="C178" s="2">
        <v>8</v>
      </c>
      <c r="D178" s="271"/>
      <c r="E178" s="270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s="32" t="s">
        <v>434</v>
      </c>
      <c r="B179" s="258">
        <v>46200</v>
      </c>
      <c r="C179" s="2">
        <v>7.2</v>
      </c>
      <c r="D179" s="271"/>
      <c r="E179" s="270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s="32" t="s">
        <v>435</v>
      </c>
      <c r="B180" s="257">
        <v>46201</v>
      </c>
      <c r="C180" s="2">
        <v>6</v>
      </c>
      <c r="D180" s="271"/>
      <c r="E180" s="270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s="32" t="s">
        <v>436</v>
      </c>
      <c r="B181" s="258">
        <v>46202</v>
      </c>
      <c r="C181" s="2">
        <v>5.4</v>
      </c>
      <c r="D181" s="271"/>
      <c r="E181" s="270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s="32" t="s">
        <v>437</v>
      </c>
      <c r="B182" s="257">
        <v>46203</v>
      </c>
      <c r="C182" s="2">
        <v>6</v>
      </c>
      <c r="D182" s="271"/>
      <c r="E182" s="270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s="32" t="s">
        <v>438</v>
      </c>
      <c r="B183" s="258">
        <v>46204</v>
      </c>
      <c r="C183" s="2">
        <v>6.1</v>
      </c>
      <c r="D183" s="271">
        <f>AVERAGE(C183:C213)</f>
        <v>6.1032258064516114</v>
      </c>
      <c r="E183" s="270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s="32" t="s">
        <v>432</v>
      </c>
      <c r="B184" s="257">
        <v>46205</v>
      </c>
      <c r="C184" s="2">
        <v>6.2</v>
      </c>
      <c r="D184" s="271"/>
      <c r="E184" s="270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s="32" t="s">
        <v>433</v>
      </c>
      <c r="B185" s="258">
        <v>46206</v>
      </c>
      <c r="C185" s="2">
        <v>6.3</v>
      </c>
      <c r="D185" s="271"/>
      <c r="E185" s="270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s="32" t="s">
        <v>434</v>
      </c>
      <c r="B186" s="257">
        <v>46207</v>
      </c>
      <c r="C186" s="2">
        <v>7</v>
      </c>
      <c r="D186" s="271"/>
      <c r="E186" s="270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s="32" t="s">
        <v>435</v>
      </c>
      <c r="B187" s="258">
        <v>46208</v>
      </c>
      <c r="C187" s="2">
        <v>6.6</v>
      </c>
      <c r="D187" s="271"/>
      <c r="E187" s="270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s="32" t="s">
        <v>436</v>
      </c>
      <c r="B188" s="257">
        <v>46209</v>
      </c>
      <c r="C188" s="2">
        <v>6</v>
      </c>
      <c r="D188" s="271"/>
      <c r="E188" s="270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s="32" t="s">
        <v>437</v>
      </c>
      <c r="B189" s="258">
        <v>46210</v>
      </c>
      <c r="C189" s="2">
        <v>6.5</v>
      </c>
      <c r="D189" s="271"/>
      <c r="E189" s="270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s="32" t="s">
        <v>438</v>
      </c>
      <c r="B190" s="257">
        <v>46211</v>
      </c>
      <c r="C190" s="2">
        <v>6.8</v>
      </c>
      <c r="D190" s="271"/>
      <c r="E190" s="270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s="32" t="s">
        <v>432</v>
      </c>
      <c r="B191" s="258">
        <v>46212</v>
      </c>
      <c r="C191" s="2">
        <v>8</v>
      </c>
      <c r="D191" s="271"/>
      <c r="E191" s="270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s="32" t="s">
        <v>433</v>
      </c>
      <c r="B192" s="257">
        <v>46213</v>
      </c>
      <c r="C192" s="2">
        <v>7.5</v>
      </c>
      <c r="D192" s="271"/>
      <c r="E192" s="270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s="32" t="s">
        <v>434</v>
      </c>
      <c r="B193" s="258">
        <v>46214</v>
      </c>
      <c r="C193" s="2">
        <v>10</v>
      </c>
      <c r="D193" s="271"/>
      <c r="E193" s="270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s="32" t="s">
        <v>435</v>
      </c>
      <c r="B194" s="257">
        <v>46215</v>
      </c>
      <c r="C194" s="2">
        <v>7.5</v>
      </c>
      <c r="D194" s="271"/>
      <c r="E194" s="270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s="32" t="s">
        <v>436</v>
      </c>
      <c r="B195" s="258">
        <v>46216</v>
      </c>
      <c r="C195" s="2">
        <v>5.5</v>
      </c>
      <c r="D195" s="271"/>
      <c r="E195" s="270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s="32" t="s">
        <v>437</v>
      </c>
      <c r="B196" s="257">
        <v>46217</v>
      </c>
      <c r="C196" s="2">
        <v>5</v>
      </c>
      <c r="D196" s="271"/>
      <c r="E196" s="270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s="32" t="s">
        <v>438</v>
      </c>
      <c r="B197" s="258">
        <v>46218</v>
      </c>
      <c r="C197" s="2">
        <v>1</v>
      </c>
      <c r="D197" s="271"/>
      <c r="E197" s="270"/>
      <c r="F197" s="260">
        <v>0</v>
      </c>
      <c r="G197" s="38" t="s">
        <v>581</v>
      </c>
      <c r="H197" s="38" t="s">
        <v>582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s="32" t="s">
        <v>432</v>
      </c>
      <c r="B198" s="257">
        <v>46219</v>
      </c>
      <c r="C198" s="2">
        <v>5.5</v>
      </c>
      <c r="D198" s="271"/>
      <c r="E198" s="270"/>
      <c r="F198" s="260">
        <v>0</v>
      </c>
      <c r="G198" s="38" t="s">
        <v>581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s="32" t="s">
        <v>433</v>
      </c>
      <c r="B199" s="258">
        <v>46220</v>
      </c>
      <c r="C199" s="2">
        <v>6</v>
      </c>
      <c r="D199" s="271"/>
      <c r="E199" s="270"/>
      <c r="F199" s="260">
        <v>0</v>
      </c>
      <c r="G199" s="38" t="s">
        <v>581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s="32" t="s">
        <v>434</v>
      </c>
      <c r="B200" s="257">
        <v>46221</v>
      </c>
      <c r="C200" s="2">
        <v>5.3</v>
      </c>
      <c r="D200" s="271"/>
      <c r="E200" s="270"/>
      <c r="F200" s="260">
        <v>1</v>
      </c>
      <c r="G200" s="38" t="s">
        <v>581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s="32" t="s">
        <v>435</v>
      </c>
      <c r="B201" s="258">
        <v>46222</v>
      </c>
      <c r="C201" s="2">
        <v>5.8</v>
      </c>
      <c r="D201" s="271"/>
      <c r="E201" s="270"/>
      <c r="F201" s="260">
        <v>1</v>
      </c>
      <c r="G201" s="38" t="s">
        <v>581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s="32" t="s">
        <v>436</v>
      </c>
      <c r="B202" s="257">
        <v>46223</v>
      </c>
      <c r="C202" s="2">
        <v>5.3</v>
      </c>
      <c r="D202" s="271"/>
      <c r="E202" s="270"/>
      <c r="F202" s="260">
        <v>0</v>
      </c>
      <c r="G202" s="38" t="s">
        <v>581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s="32" t="s">
        <v>437</v>
      </c>
      <c r="B203" s="258">
        <v>46224</v>
      </c>
      <c r="C203" s="2">
        <v>5.4</v>
      </c>
      <c r="D203" s="271"/>
      <c r="E203" s="270"/>
      <c r="F203" s="260">
        <v>1</v>
      </c>
      <c r="G203" s="38" t="s">
        <v>581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s="32" t="s">
        <v>438</v>
      </c>
      <c r="B204" s="257">
        <v>46225</v>
      </c>
      <c r="C204" s="2">
        <v>5.2</v>
      </c>
      <c r="D204" s="271"/>
      <c r="E204" s="270"/>
      <c r="F204" s="260">
        <v>1</v>
      </c>
      <c r="G204" s="38" t="s">
        <v>581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s="32" t="s">
        <v>432</v>
      </c>
      <c r="B205" s="258">
        <v>46226</v>
      </c>
      <c r="C205" s="2">
        <v>5.3</v>
      </c>
      <c r="D205" s="271"/>
      <c r="E205" s="270"/>
      <c r="F205" s="260">
        <v>0</v>
      </c>
      <c r="G205" s="38" t="s">
        <v>581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s="32" t="s">
        <v>433</v>
      </c>
      <c r="B206" s="257">
        <v>46227</v>
      </c>
      <c r="C206" s="2">
        <v>5.5</v>
      </c>
      <c r="D206" s="271"/>
      <c r="E206" s="270"/>
      <c r="F206" s="260">
        <v>1</v>
      </c>
      <c r="G206" s="38" t="s">
        <v>581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s="32" t="s">
        <v>434</v>
      </c>
      <c r="B207" s="258">
        <v>46228</v>
      </c>
      <c r="C207" s="2">
        <v>5.7</v>
      </c>
      <c r="D207" s="271"/>
      <c r="E207" s="270"/>
      <c r="F207" s="260">
        <v>0</v>
      </c>
      <c r="G207" s="38" t="s">
        <v>581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s="32" t="s">
        <v>435</v>
      </c>
      <c r="B208" s="257">
        <v>46229</v>
      </c>
      <c r="C208" s="2">
        <v>5.6</v>
      </c>
      <c r="D208" s="271"/>
      <c r="E208" s="270"/>
      <c r="F208" s="260">
        <v>0</v>
      </c>
      <c r="G208" s="38" t="s">
        <v>581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s="32" t="s">
        <v>436</v>
      </c>
      <c r="B209" s="258">
        <v>46230</v>
      </c>
      <c r="C209" s="2">
        <v>5.3</v>
      </c>
      <c r="D209" s="271"/>
      <c r="E209" s="270"/>
      <c r="F209" s="260">
        <v>0</v>
      </c>
      <c r="G209" s="38" t="s">
        <v>581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s="32" t="s">
        <v>437</v>
      </c>
      <c r="B210" s="257">
        <v>46231</v>
      </c>
      <c r="C210" s="2">
        <v>6.5</v>
      </c>
      <c r="D210" s="271"/>
      <c r="E210" s="270"/>
      <c r="F210" s="260">
        <v>1</v>
      </c>
      <c r="G210" s="38" t="s">
        <v>581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s="32" t="s">
        <v>438</v>
      </c>
      <c r="B211" s="258">
        <v>46232</v>
      </c>
      <c r="C211" s="2">
        <v>5.6</v>
      </c>
      <c r="D211" s="271"/>
      <c r="E211" s="270"/>
      <c r="F211" s="260">
        <v>1</v>
      </c>
      <c r="G211" s="38" t="s">
        <v>581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s="32" t="s">
        <v>432</v>
      </c>
      <c r="B212" s="257">
        <v>46233</v>
      </c>
      <c r="C212" s="2">
        <v>10</v>
      </c>
      <c r="D212" s="271"/>
      <c r="E212" s="270"/>
      <c r="F212" s="260">
        <v>1</v>
      </c>
      <c r="G212" s="38" t="s">
        <v>581</v>
      </c>
      <c r="H212" s="38" t="s">
        <v>588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s="32" t="s">
        <v>433</v>
      </c>
      <c r="B213" s="258">
        <v>46234</v>
      </c>
      <c r="C213" s="2">
        <v>5.2</v>
      </c>
      <c r="D213" s="271"/>
      <c r="E213" s="270"/>
      <c r="F213" s="260">
        <v>0</v>
      </c>
      <c r="G213" s="38" t="s">
        <v>581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s="32" t="s">
        <v>434</v>
      </c>
      <c r="B214" s="257">
        <v>46235</v>
      </c>
      <c r="C214" s="2">
        <v>5.5</v>
      </c>
      <c r="D214" s="271">
        <f>AVERAGE(C214:C244)</f>
        <v>5.7666666666666666</v>
      </c>
      <c r="E214" s="270"/>
      <c r="F214" s="260">
        <v>1</v>
      </c>
      <c r="G214" s="38" t="s">
        <v>581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s="32" t="s">
        <v>435</v>
      </c>
      <c r="B215" s="258">
        <v>46236</v>
      </c>
      <c r="C215" s="2">
        <v>6.5</v>
      </c>
      <c r="D215" s="271"/>
      <c r="E215" s="270"/>
      <c r="F215" s="260">
        <v>1</v>
      </c>
      <c r="G215" s="38" t="s">
        <v>581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s="32" t="s">
        <v>436</v>
      </c>
      <c r="B216" s="257">
        <v>46237</v>
      </c>
      <c r="C216" s="2">
        <v>5.3</v>
      </c>
      <c r="D216" s="271"/>
      <c r="E216" s="270"/>
      <c r="F216" s="260">
        <v>0</v>
      </c>
      <c r="G216" s="38" t="s">
        <v>581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s="32" t="s">
        <v>437</v>
      </c>
      <c r="B217" s="258">
        <v>46238</v>
      </c>
      <c r="C217" s="2">
        <v>5.2</v>
      </c>
      <c r="D217" s="271"/>
      <c r="E217" s="270"/>
      <c r="F217" s="260">
        <v>0</v>
      </c>
      <c r="G217" s="38" t="s">
        <v>581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s="32" t="s">
        <v>438</v>
      </c>
      <c r="B218" s="257">
        <v>46239</v>
      </c>
      <c r="C218" s="2">
        <v>6.1</v>
      </c>
      <c r="D218" s="271"/>
      <c r="E218" s="270"/>
      <c r="F218" s="260">
        <v>1</v>
      </c>
      <c r="G218" s="38" t="s">
        <v>581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s="32" t="s">
        <v>432</v>
      </c>
      <c r="B219" s="258">
        <v>46240</v>
      </c>
      <c r="C219" s="2">
        <v>6.2</v>
      </c>
      <c r="D219" s="271"/>
      <c r="E219" s="270"/>
      <c r="F219" s="260">
        <v>1</v>
      </c>
      <c r="G219" s="38" t="s">
        <v>581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s="32" t="s">
        <v>433</v>
      </c>
      <c r="B220" s="257">
        <v>46241</v>
      </c>
      <c r="C220" s="2">
        <v>5.8</v>
      </c>
      <c r="D220" s="271"/>
      <c r="E220" s="270"/>
      <c r="F220" s="260">
        <v>1</v>
      </c>
      <c r="G220" s="38" t="s">
        <v>581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s="32" t="s">
        <v>434</v>
      </c>
      <c r="B221" s="258">
        <v>46242</v>
      </c>
      <c r="C221" s="2">
        <v>6</v>
      </c>
      <c r="D221" s="271"/>
      <c r="E221" s="270"/>
      <c r="F221" s="260">
        <v>0</v>
      </c>
      <c r="G221" s="38" t="s">
        <v>581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s="32" t="s">
        <v>435</v>
      </c>
      <c r="B222" s="257">
        <v>46243</v>
      </c>
      <c r="C222" s="2">
        <v>5.3</v>
      </c>
      <c r="D222" s="271"/>
      <c r="E222" s="270"/>
      <c r="F222" s="260">
        <v>1</v>
      </c>
      <c r="G222" s="38" t="s">
        <v>581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s="32" t="s">
        <v>436</v>
      </c>
      <c r="B223" s="258">
        <v>46244</v>
      </c>
      <c r="C223" s="2"/>
      <c r="D223" s="271"/>
      <c r="E223" s="270"/>
      <c r="F223" s="260">
        <v>1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s="32" t="s">
        <v>437</v>
      </c>
      <c r="B224" s="257">
        <v>46245</v>
      </c>
      <c r="C224" s="2"/>
      <c r="D224" s="271"/>
      <c r="E224" s="270"/>
      <c r="F224" s="260">
        <v>1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s="32" t="s">
        <v>438</v>
      </c>
      <c r="B225" s="258">
        <v>46246</v>
      </c>
      <c r="C225" s="2"/>
      <c r="D225" s="271"/>
      <c r="E225" s="270"/>
      <c r="F225" s="260">
        <v>1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s="32" t="s">
        <v>432</v>
      </c>
      <c r="B226" s="257">
        <v>46247</v>
      </c>
      <c r="C226" s="2"/>
      <c r="D226" s="271"/>
      <c r="E226" s="270"/>
      <c r="F226" s="260">
        <v>1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s="32" t="s">
        <v>433</v>
      </c>
      <c r="B227" s="258">
        <v>46248</v>
      </c>
      <c r="C227" s="2"/>
      <c r="D227" s="271"/>
      <c r="E227" s="270"/>
      <c r="F227" s="260">
        <v>1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s="32" t="s">
        <v>434</v>
      </c>
      <c r="B228" s="257">
        <v>46249</v>
      </c>
      <c r="C228" s="2"/>
      <c r="D228" s="271"/>
      <c r="E228" s="270"/>
      <c r="F228" s="260">
        <v>1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s="32" t="s">
        <v>435</v>
      </c>
      <c r="B229" s="258">
        <v>46250</v>
      </c>
      <c r="C229" s="2"/>
      <c r="D229" s="271"/>
      <c r="E229" s="270"/>
      <c r="F229" s="260">
        <v>1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s="32" t="s">
        <v>436</v>
      </c>
      <c r="B230" s="257">
        <v>46251</v>
      </c>
      <c r="C230" s="2"/>
      <c r="D230" s="271"/>
      <c r="E230" s="270"/>
      <c r="F230" s="260">
        <v>1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s="32" t="s">
        <v>437</v>
      </c>
      <c r="B231" s="258">
        <v>46252</v>
      </c>
      <c r="C231" s="2"/>
      <c r="D231" s="271"/>
      <c r="E231" s="270"/>
      <c r="F231" s="260">
        <v>1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s="32" t="s">
        <v>438</v>
      </c>
      <c r="B232" s="257">
        <v>46253</v>
      </c>
      <c r="C232" s="2"/>
      <c r="D232" s="271"/>
      <c r="E232" s="270"/>
      <c r="F232" s="260">
        <v>1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s="32" t="s">
        <v>432</v>
      </c>
      <c r="B233" s="258">
        <v>46254</v>
      </c>
      <c r="C233" s="2"/>
      <c r="D233" s="271"/>
      <c r="E233" s="270"/>
      <c r="F233" s="260">
        <v>1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s="32" t="s">
        <v>433</v>
      </c>
      <c r="B234" s="257">
        <v>46255</v>
      </c>
      <c r="C234" s="2"/>
      <c r="D234" s="271"/>
      <c r="E234" s="270"/>
      <c r="F234" s="260">
        <v>1</v>
      </c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s="32" t="s">
        <v>434</v>
      </c>
      <c r="B235" s="258">
        <v>46256</v>
      </c>
      <c r="C235" s="2"/>
      <c r="D235" s="271"/>
      <c r="E235" s="270"/>
      <c r="F235" s="260">
        <v>1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s="32" t="s">
        <v>435</v>
      </c>
      <c r="B236" s="257">
        <v>46257</v>
      </c>
      <c r="C236" s="2"/>
      <c r="D236" s="271"/>
      <c r="E236" s="270"/>
      <c r="F236" s="260">
        <v>1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s="32" t="s">
        <v>436</v>
      </c>
      <c r="B237" s="258">
        <v>46258</v>
      </c>
      <c r="C237" s="2"/>
      <c r="D237" s="271"/>
      <c r="E237" s="270"/>
      <c r="F237" s="260">
        <v>1</v>
      </c>
      <c r="H237" s="272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s="32" t="s">
        <v>437</v>
      </c>
      <c r="B238" s="257">
        <v>46259</v>
      </c>
      <c r="C238" s="2"/>
      <c r="D238" s="271"/>
      <c r="E238" s="270"/>
      <c r="F238" s="260">
        <v>1</v>
      </c>
      <c r="H238" s="272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s="32" t="s">
        <v>438</v>
      </c>
      <c r="B239" s="258">
        <v>46260</v>
      </c>
      <c r="C239" s="2"/>
      <c r="D239" s="271"/>
      <c r="E239" s="270"/>
      <c r="F239" s="260">
        <v>1</v>
      </c>
      <c r="H239" s="272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s="32" t="s">
        <v>432</v>
      </c>
      <c r="B240" s="257">
        <v>46261</v>
      </c>
      <c r="C240" s="2"/>
      <c r="D240" s="271"/>
      <c r="E240" s="270"/>
      <c r="F240" s="260">
        <v>1</v>
      </c>
      <c r="H240" s="272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s="32" t="s">
        <v>433</v>
      </c>
      <c r="B241" s="258">
        <v>46262</v>
      </c>
      <c r="C241" s="2"/>
      <c r="D241" s="271"/>
      <c r="E241" s="270"/>
      <c r="F241" s="260">
        <v>1</v>
      </c>
      <c r="H241" s="272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s="32" t="s">
        <v>434</v>
      </c>
      <c r="B242" s="257">
        <v>46263</v>
      </c>
      <c r="C242" s="2"/>
      <c r="D242" s="271"/>
      <c r="E242" s="270"/>
      <c r="F242" s="260">
        <v>1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s="32" t="s">
        <v>435</v>
      </c>
      <c r="B243" s="258">
        <v>46264</v>
      </c>
      <c r="C243" s="2"/>
      <c r="D243" s="271"/>
      <c r="E243" s="270"/>
      <c r="F243" s="260">
        <v>1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s="32" t="s">
        <v>436</v>
      </c>
      <c r="B244" s="257">
        <v>46265</v>
      </c>
      <c r="C244" s="2"/>
      <c r="D244" s="271"/>
      <c r="E244" s="270"/>
      <c r="F244" s="260">
        <v>1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s="32" t="s">
        <v>437</v>
      </c>
      <c r="B245" s="258">
        <v>46266</v>
      </c>
      <c r="C245" s="2"/>
      <c r="D245" s="271"/>
      <c r="E245" s="27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s="32" t="s">
        <v>438</v>
      </c>
      <c r="B246" s="257">
        <v>46267</v>
      </c>
      <c r="C246" s="2"/>
      <c r="D246" s="271"/>
      <c r="E246" s="27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s="32" t="s">
        <v>432</v>
      </c>
      <c r="B247" s="258">
        <v>46268</v>
      </c>
      <c r="C247" s="2"/>
      <c r="D247" s="271"/>
      <c r="E247" s="27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s="32" t="s">
        <v>433</v>
      </c>
      <c r="B248" s="257">
        <v>46269</v>
      </c>
      <c r="C248" s="2"/>
      <c r="D248" s="271"/>
      <c r="E248" s="27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s="32" t="s">
        <v>434</v>
      </c>
      <c r="B249" s="258">
        <v>46270</v>
      </c>
      <c r="C249" s="2"/>
      <c r="D249" s="271"/>
      <c r="E249" s="27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s="32" t="s">
        <v>435</v>
      </c>
      <c r="B250" s="257">
        <v>46271</v>
      </c>
      <c r="C250" s="2"/>
      <c r="D250" s="271"/>
      <c r="E250" s="27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s="32" t="s">
        <v>436</v>
      </c>
      <c r="B251" s="258">
        <v>46272</v>
      </c>
      <c r="C251" s="2"/>
      <c r="D251" s="271"/>
      <c r="E251" s="27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s="32" t="s">
        <v>437</v>
      </c>
      <c r="B252" s="257">
        <v>46273</v>
      </c>
      <c r="C252" s="2"/>
      <c r="D252" s="271"/>
      <c r="E252" s="27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s="32" t="s">
        <v>438</v>
      </c>
      <c r="B253" s="258">
        <v>46274</v>
      </c>
      <c r="C253" s="2"/>
      <c r="D253" s="271"/>
      <c r="E253" s="27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s="32" t="s">
        <v>432</v>
      </c>
      <c r="B254" s="257">
        <v>46275</v>
      </c>
      <c r="C254" s="2"/>
      <c r="D254" s="271"/>
      <c r="E254" s="27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s="32" t="s">
        <v>433</v>
      </c>
      <c r="B255" s="258">
        <v>46276</v>
      </c>
      <c r="C255" s="2"/>
      <c r="D255" s="271"/>
      <c r="E255" s="27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s="32" t="s">
        <v>434</v>
      </c>
      <c r="B256" s="257">
        <v>46277</v>
      </c>
      <c r="C256" s="2"/>
      <c r="D256" s="271"/>
      <c r="E256" s="27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s="32" t="s">
        <v>435</v>
      </c>
      <c r="B257" s="258">
        <v>46278</v>
      </c>
      <c r="C257" s="2"/>
      <c r="D257" s="271"/>
      <c r="E257" s="27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s="32" t="s">
        <v>436</v>
      </c>
      <c r="B258" s="257">
        <v>46279</v>
      </c>
      <c r="C258" s="2"/>
      <c r="D258" s="271"/>
      <c r="E258" s="27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s="32" t="s">
        <v>437</v>
      </c>
      <c r="B259" s="258">
        <v>46280</v>
      </c>
      <c r="C259" s="2"/>
      <c r="D259" s="271"/>
      <c r="E259" s="27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s="32" t="s">
        <v>438</v>
      </c>
      <c r="B260" s="257">
        <v>46281</v>
      </c>
      <c r="C260" s="2"/>
      <c r="D260" s="271"/>
      <c r="E260" s="27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s="32" t="s">
        <v>432</v>
      </c>
      <c r="B261" s="258">
        <v>46282</v>
      </c>
      <c r="C261" s="2"/>
      <c r="D261" s="271"/>
      <c r="E261" s="27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s="32" t="s">
        <v>433</v>
      </c>
      <c r="B262" s="257">
        <v>46283</v>
      </c>
      <c r="C262" s="2"/>
      <c r="D262" s="271"/>
      <c r="E262" s="27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s="32" t="s">
        <v>434</v>
      </c>
      <c r="B263" s="258">
        <v>46284</v>
      </c>
      <c r="C263" s="2"/>
      <c r="D263" s="271"/>
      <c r="E263" s="27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s="32" t="s">
        <v>435</v>
      </c>
      <c r="B264" s="257">
        <v>46285</v>
      </c>
      <c r="C264" s="2"/>
      <c r="D264" s="271"/>
      <c r="E264" s="27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s="32" t="s">
        <v>436</v>
      </c>
      <c r="B265" s="258">
        <v>46286</v>
      </c>
      <c r="C265" s="2"/>
      <c r="D265" s="271"/>
      <c r="E265" s="27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s="32" t="s">
        <v>437</v>
      </c>
      <c r="B266" s="257">
        <v>46287</v>
      </c>
      <c r="C266" s="2"/>
      <c r="D266" s="271"/>
      <c r="E266" s="27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s="32" t="s">
        <v>438</v>
      </c>
      <c r="B267" s="258">
        <v>46288</v>
      </c>
      <c r="C267" s="2"/>
      <c r="D267" s="271"/>
      <c r="E267" s="27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s="32" t="s">
        <v>432</v>
      </c>
      <c r="B268" s="257">
        <v>46289</v>
      </c>
      <c r="C268" s="2"/>
      <c r="D268" s="271"/>
      <c r="E268" s="27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s="32" t="s">
        <v>433</v>
      </c>
      <c r="B269" s="258">
        <v>46290</v>
      </c>
      <c r="C269" s="2"/>
      <c r="D269" s="271"/>
      <c r="E269" s="27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s="32" t="s">
        <v>434</v>
      </c>
      <c r="B270" s="257">
        <v>46291</v>
      </c>
      <c r="C270" s="2"/>
      <c r="D270" s="271"/>
      <c r="E270" s="27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s="32" t="s">
        <v>435</v>
      </c>
      <c r="B271" s="258">
        <v>46292</v>
      </c>
      <c r="C271" s="2"/>
      <c r="D271" s="271"/>
      <c r="E271" s="27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s="32" t="s">
        <v>436</v>
      </c>
      <c r="B272" s="257">
        <v>46293</v>
      </c>
      <c r="C272" s="2"/>
      <c r="D272" s="271"/>
      <c r="E272" s="27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s="32" t="s">
        <v>437</v>
      </c>
      <c r="B273" s="258">
        <v>46294</v>
      </c>
      <c r="C273" s="2"/>
      <c r="D273" s="271"/>
      <c r="E273" s="27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s="32" t="s">
        <v>438</v>
      </c>
      <c r="B274" s="257">
        <v>46295</v>
      </c>
      <c r="C274" s="2"/>
      <c r="D274" s="271"/>
      <c r="E274" s="27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s="32" t="s">
        <v>432</v>
      </c>
      <c r="B275" s="258">
        <v>46296</v>
      </c>
      <c r="C275" s="2"/>
      <c r="D275" s="271"/>
      <c r="E275" s="27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s="32" t="s">
        <v>433</v>
      </c>
      <c r="B276" s="257">
        <v>46297</v>
      </c>
      <c r="C276" s="2"/>
      <c r="D276" s="271"/>
      <c r="E276" s="27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s="32" t="s">
        <v>434</v>
      </c>
      <c r="B277" s="258">
        <v>46298</v>
      </c>
      <c r="C277" s="2"/>
      <c r="D277" s="271"/>
      <c r="E277" s="27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s="32" t="s">
        <v>435</v>
      </c>
      <c r="B278" s="257">
        <v>46299</v>
      </c>
      <c r="C278" s="2"/>
      <c r="D278" s="271"/>
      <c r="E278" s="27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s="32" t="s">
        <v>436</v>
      </c>
      <c r="B279" s="258">
        <v>46300</v>
      </c>
      <c r="C279" s="2"/>
      <c r="D279" s="271"/>
      <c r="E279" s="27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s="32" t="s">
        <v>437</v>
      </c>
      <c r="B280" s="257">
        <v>46301</v>
      </c>
      <c r="C280" s="2"/>
      <c r="D280" s="271"/>
      <c r="E280" s="27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s="32" t="s">
        <v>438</v>
      </c>
      <c r="B281" s="258">
        <v>46302</v>
      </c>
      <c r="C281" s="2"/>
      <c r="D281" s="271"/>
      <c r="E281" s="27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s="32" t="s">
        <v>432</v>
      </c>
      <c r="B282" s="257">
        <v>46303</v>
      </c>
      <c r="C282" s="2"/>
      <c r="D282" s="271"/>
      <c r="E282" s="27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s="32" t="s">
        <v>433</v>
      </c>
      <c r="B283" s="258">
        <v>46304</v>
      </c>
      <c r="C283" s="2"/>
      <c r="D283" s="271"/>
      <c r="E283" s="27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s="32" t="s">
        <v>434</v>
      </c>
      <c r="B284" s="257">
        <v>46305</v>
      </c>
      <c r="C284" s="2"/>
      <c r="D284" s="271"/>
      <c r="E284" s="270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s="32" t="s">
        <v>435</v>
      </c>
      <c r="B285" s="258">
        <v>46306</v>
      </c>
      <c r="C285" s="2"/>
      <c r="D285" s="271"/>
      <c r="E285" s="270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s="32" t="s">
        <v>436</v>
      </c>
      <c r="B286" s="257">
        <v>46307</v>
      </c>
      <c r="C286" s="2"/>
      <c r="D286" s="271"/>
      <c r="E286" s="27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s="32" t="s">
        <v>437</v>
      </c>
      <c r="B287" s="258">
        <v>46308</v>
      </c>
      <c r="C287" s="2"/>
      <c r="D287" s="271"/>
      <c r="E287" s="270"/>
      <c r="H287" s="272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s="32" t="s">
        <v>438</v>
      </c>
      <c r="B288" s="257">
        <v>46309</v>
      </c>
      <c r="C288" s="2"/>
      <c r="D288" s="271"/>
      <c r="E288" s="270"/>
      <c r="H288" s="272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s="32" t="s">
        <v>432</v>
      </c>
      <c r="B289" s="258">
        <v>46310</v>
      </c>
      <c r="C289" s="2"/>
      <c r="D289" s="271"/>
      <c r="E289" s="270"/>
      <c r="H289" s="272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s="32" t="s">
        <v>433</v>
      </c>
      <c r="B290" s="257">
        <v>46311</v>
      </c>
      <c r="C290" s="2"/>
      <c r="D290" s="271"/>
      <c r="E290" s="270"/>
      <c r="H290" s="272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s="32" t="s">
        <v>434</v>
      </c>
      <c r="B291" s="258">
        <v>46312</v>
      </c>
      <c r="C291" s="2"/>
      <c r="D291" s="271"/>
      <c r="E291" s="27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s="32" t="s">
        <v>435</v>
      </c>
      <c r="B292" s="257">
        <v>46313</v>
      </c>
      <c r="C292" s="2"/>
      <c r="D292" s="271"/>
      <c r="E292" s="27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s="32" t="s">
        <v>436</v>
      </c>
      <c r="B293" s="258">
        <v>46314</v>
      </c>
      <c r="C293" s="2"/>
      <c r="D293" s="271"/>
      <c r="E293" s="27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s="32" t="s">
        <v>437</v>
      </c>
      <c r="B294" s="257">
        <v>46315</v>
      </c>
      <c r="C294" s="2"/>
      <c r="D294" s="271"/>
      <c r="E294" s="27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s="32" t="s">
        <v>438</v>
      </c>
      <c r="B295" s="258">
        <v>46316</v>
      </c>
      <c r="C295" s="2"/>
      <c r="D295" s="271"/>
      <c r="E295" s="27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s="32" t="s">
        <v>432</v>
      </c>
      <c r="B296" s="257">
        <v>46317</v>
      </c>
      <c r="C296" s="2"/>
      <c r="D296" s="271"/>
      <c r="E296" s="27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s="32" t="s">
        <v>433</v>
      </c>
      <c r="B297" s="258">
        <v>46318</v>
      </c>
      <c r="C297" s="2"/>
      <c r="D297" s="271"/>
      <c r="E297" s="27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s="32" t="s">
        <v>434</v>
      </c>
      <c r="B298" s="257">
        <v>46319</v>
      </c>
      <c r="C298" s="2"/>
      <c r="D298" s="271"/>
      <c r="E298" s="27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s="32" t="s">
        <v>435</v>
      </c>
      <c r="B299" s="258">
        <v>46320</v>
      </c>
      <c r="C299" s="2"/>
      <c r="D299" s="271"/>
      <c r="E299" s="27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s="32" t="s">
        <v>436</v>
      </c>
      <c r="B300" s="257">
        <v>46321</v>
      </c>
      <c r="C300" s="2"/>
      <c r="D300" s="271"/>
      <c r="E300" s="27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s="32" t="s">
        <v>437</v>
      </c>
      <c r="B301" s="258">
        <v>46322</v>
      </c>
      <c r="C301" s="2"/>
      <c r="D301" s="271"/>
      <c r="E301" s="27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s="32" t="s">
        <v>438</v>
      </c>
      <c r="B302" s="257">
        <v>46323</v>
      </c>
      <c r="C302" s="2"/>
      <c r="D302" s="271"/>
      <c r="E302" s="27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s="32" t="s">
        <v>432</v>
      </c>
      <c r="B303" s="258">
        <v>46324</v>
      </c>
      <c r="C303" s="2"/>
      <c r="D303" s="271"/>
      <c r="E303" s="27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s="32" t="s">
        <v>433</v>
      </c>
      <c r="B304" s="257">
        <v>46325</v>
      </c>
      <c r="C304" s="2"/>
      <c r="D304" s="271"/>
      <c r="E304" s="27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s="32" t="s">
        <v>434</v>
      </c>
      <c r="B305" s="258">
        <v>46326</v>
      </c>
      <c r="C305" s="2"/>
      <c r="D305" s="271"/>
      <c r="E305" s="27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s="32" t="s">
        <v>435</v>
      </c>
      <c r="B306" s="257">
        <v>46327</v>
      </c>
      <c r="C306" s="2"/>
      <c r="D306" s="271"/>
      <c r="E306" s="27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s="32" t="s">
        <v>436</v>
      </c>
      <c r="B307" s="258">
        <v>46328</v>
      </c>
      <c r="C307" s="2"/>
      <c r="D307" s="271"/>
      <c r="E307" s="270"/>
      <c r="H307" s="272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s="32" t="s">
        <v>437</v>
      </c>
      <c r="B308" s="257">
        <v>46329</v>
      </c>
      <c r="C308" s="2"/>
      <c r="D308" s="271"/>
      <c r="E308" s="270"/>
      <c r="H308" s="272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s="32" t="s">
        <v>438</v>
      </c>
      <c r="B309" s="258">
        <v>46330</v>
      </c>
      <c r="C309" s="2"/>
      <c r="D309" s="271"/>
      <c r="E309" s="27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s="32" t="s">
        <v>432</v>
      </c>
      <c r="B310" s="257">
        <v>46331</v>
      </c>
      <c r="C310" s="2"/>
      <c r="D310" s="271"/>
      <c r="E310" s="27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s="32" t="s">
        <v>433</v>
      </c>
      <c r="B311" s="258">
        <v>46332</v>
      </c>
      <c r="C311" s="2"/>
      <c r="D311" s="271"/>
      <c r="E311" s="27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s="32" t="s">
        <v>434</v>
      </c>
      <c r="B312" s="257">
        <v>46333</v>
      </c>
      <c r="C312" s="2"/>
      <c r="D312" s="271"/>
      <c r="E312" s="27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s="32" t="s">
        <v>435</v>
      </c>
      <c r="B313" s="258">
        <v>46334</v>
      </c>
      <c r="C313" s="2"/>
      <c r="D313" s="271"/>
      <c r="E313" s="27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s="32" t="s">
        <v>436</v>
      </c>
      <c r="B314" s="257">
        <v>46335</v>
      </c>
      <c r="C314" s="2"/>
      <c r="D314" s="271"/>
      <c r="E314" s="27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s="32" t="s">
        <v>437</v>
      </c>
      <c r="B315" s="258">
        <v>46336</v>
      </c>
      <c r="C315" s="2"/>
      <c r="D315" s="271"/>
      <c r="E315" s="27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s="32" t="s">
        <v>438</v>
      </c>
      <c r="B316" s="257">
        <v>46337</v>
      </c>
      <c r="C316" s="2"/>
      <c r="D316" s="271"/>
      <c r="E316" s="27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s="32" t="s">
        <v>432</v>
      </c>
      <c r="B317" s="258">
        <v>46338</v>
      </c>
      <c r="C317" s="2"/>
      <c r="D317" s="271"/>
      <c r="E317" s="27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s="32" t="s">
        <v>433</v>
      </c>
      <c r="B318" s="257">
        <v>46339</v>
      </c>
      <c r="C318" s="2"/>
      <c r="D318" s="271"/>
      <c r="E318" s="27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s="32" t="s">
        <v>434</v>
      </c>
      <c r="B319" s="258">
        <v>46340</v>
      </c>
      <c r="C319" s="2"/>
      <c r="D319" s="271"/>
      <c r="E319" s="27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s="32" t="s">
        <v>435</v>
      </c>
      <c r="B320" s="257">
        <v>46341</v>
      </c>
      <c r="C320" s="2"/>
      <c r="D320" s="271"/>
      <c r="E320" s="27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s="32" t="s">
        <v>436</v>
      </c>
      <c r="B321" s="258">
        <v>46342</v>
      </c>
      <c r="C321" s="2"/>
      <c r="D321" s="271"/>
      <c r="E321" s="27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s="32" t="s">
        <v>437</v>
      </c>
      <c r="B322" s="257">
        <v>46343</v>
      </c>
      <c r="C322" s="2"/>
      <c r="D322" s="271"/>
      <c r="E322" s="27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s="32" t="s">
        <v>438</v>
      </c>
      <c r="B323" s="258">
        <v>46344</v>
      </c>
      <c r="C323" s="2"/>
      <c r="D323" s="271"/>
      <c r="E323" s="27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s="32" t="s">
        <v>432</v>
      </c>
      <c r="B324" s="257">
        <v>46345</v>
      </c>
      <c r="C324" s="2"/>
      <c r="D324" s="271"/>
      <c r="E324" s="27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s="32" t="s">
        <v>433</v>
      </c>
      <c r="B325" s="258">
        <v>46346</v>
      </c>
      <c r="C325" s="2"/>
      <c r="D325" s="271"/>
      <c r="E325" s="27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s="32" t="s">
        <v>434</v>
      </c>
      <c r="B326" s="257">
        <v>46347</v>
      </c>
      <c r="C326" s="2"/>
      <c r="D326" s="271"/>
      <c r="E326" s="27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s="32" t="s">
        <v>435</v>
      </c>
      <c r="B327" s="258">
        <v>46348</v>
      </c>
      <c r="C327" s="2"/>
      <c r="D327" s="271"/>
      <c r="E327" s="27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s="32" t="s">
        <v>436</v>
      </c>
      <c r="B328" s="257">
        <v>46349</v>
      </c>
      <c r="C328" s="2"/>
      <c r="D328" s="271"/>
      <c r="E328" s="27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s="32" t="s">
        <v>437</v>
      </c>
      <c r="B329" s="258">
        <v>46350</v>
      </c>
      <c r="C329" s="2"/>
      <c r="D329" s="271"/>
      <c r="E329" s="27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s="32" t="s">
        <v>438</v>
      </c>
      <c r="B330" s="257">
        <v>46351</v>
      </c>
      <c r="C330" s="2"/>
      <c r="D330" s="271"/>
      <c r="E330" s="27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s="32" t="s">
        <v>432</v>
      </c>
      <c r="B331" s="258">
        <v>46352</v>
      </c>
      <c r="C331" s="2"/>
      <c r="D331" s="271"/>
      <c r="E331" s="27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s="32" t="s">
        <v>433</v>
      </c>
      <c r="B332" s="257">
        <v>46353</v>
      </c>
      <c r="C332" s="2"/>
      <c r="D332" s="271"/>
      <c r="E332" s="27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s="32" t="s">
        <v>434</v>
      </c>
      <c r="B333" s="258">
        <v>46354</v>
      </c>
      <c r="C333" s="2"/>
      <c r="D333" s="271"/>
      <c r="E333" s="27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s="32" t="s">
        <v>435</v>
      </c>
      <c r="B334" s="257">
        <v>46355</v>
      </c>
      <c r="C334" s="2"/>
      <c r="D334" s="271"/>
      <c r="E334" s="27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s="32" t="s">
        <v>436</v>
      </c>
      <c r="B335" s="258">
        <v>46356</v>
      </c>
      <c r="C335" s="2"/>
      <c r="D335" s="271"/>
      <c r="E335" s="27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s="32" t="s">
        <v>437</v>
      </c>
      <c r="B336" s="257">
        <v>46357</v>
      </c>
      <c r="C336" s="2"/>
      <c r="D336" s="271"/>
      <c r="E336" s="27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s="32" t="s">
        <v>438</v>
      </c>
      <c r="B337" s="258">
        <v>46358</v>
      </c>
      <c r="C337" s="2"/>
      <c r="D337" s="271"/>
      <c r="E337" s="27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s="32" t="s">
        <v>432</v>
      </c>
      <c r="B338" s="257">
        <v>46359</v>
      </c>
      <c r="C338" s="2"/>
      <c r="D338" s="271"/>
      <c r="E338" s="27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s="32" t="s">
        <v>433</v>
      </c>
      <c r="B339" s="258">
        <v>46360</v>
      </c>
      <c r="C339" s="2"/>
      <c r="D339" s="271"/>
      <c r="E339" s="27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s="32" t="s">
        <v>434</v>
      </c>
      <c r="B340" s="257">
        <v>46361</v>
      </c>
      <c r="C340" s="2"/>
      <c r="D340" s="271"/>
      <c r="E340" s="27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s="32" t="s">
        <v>435</v>
      </c>
      <c r="B341" s="258">
        <v>46362</v>
      </c>
      <c r="C341" s="2"/>
      <c r="D341" s="271"/>
      <c r="E341" s="27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s="32" t="s">
        <v>436</v>
      </c>
      <c r="B342" s="257">
        <v>46363</v>
      </c>
      <c r="C342" s="2"/>
      <c r="D342" s="271"/>
      <c r="E342" s="27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s="32" t="s">
        <v>437</v>
      </c>
      <c r="B343" s="258">
        <v>46364</v>
      </c>
      <c r="C343" s="2"/>
      <c r="D343" s="271"/>
      <c r="E343" s="27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s="32" t="s">
        <v>438</v>
      </c>
      <c r="B344" s="257">
        <v>46365</v>
      </c>
      <c r="C344" s="2"/>
      <c r="D344" s="271"/>
      <c r="E344" s="27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s="32" t="s">
        <v>432</v>
      </c>
      <c r="B345" s="258">
        <v>46366</v>
      </c>
      <c r="C345" s="2"/>
      <c r="D345" s="271"/>
      <c r="E345" s="27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s="32" t="s">
        <v>433</v>
      </c>
      <c r="B346" s="257">
        <v>46367</v>
      </c>
      <c r="C346" s="2"/>
      <c r="D346" s="271"/>
      <c r="E346" s="27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s="32" t="s">
        <v>434</v>
      </c>
      <c r="B347" s="258">
        <v>46368</v>
      </c>
      <c r="C347" s="2"/>
      <c r="D347" s="271"/>
      <c r="E347" s="27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s="32" t="s">
        <v>435</v>
      </c>
      <c r="B348" s="257">
        <v>46369</v>
      </c>
      <c r="C348" s="2"/>
      <c r="D348" s="271"/>
      <c r="E348" s="27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s="32" t="s">
        <v>436</v>
      </c>
      <c r="B349" s="258">
        <v>46370</v>
      </c>
      <c r="C349" s="2"/>
      <c r="D349" s="271"/>
      <c r="E349" s="27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s="32" t="s">
        <v>437</v>
      </c>
      <c r="B350" s="257">
        <v>46371</v>
      </c>
      <c r="C350" s="2"/>
      <c r="D350" s="271"/>
      <c r="E350" s="27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s="32" t="s">
        <v>438</v>
      </c>
      <c r="B351" s="258">
        <v>46372</v>
      </c>
      <c r="C351" s="2"/>
      <c r="D351" s="271"/>
      <c r="E351" s="27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s="32" t="s">
        <v>432</v>
      </c>
      <c r="B352" s="257">
        <v>46373</v>
      </c>
      <c r="C352" s="2"/>
      <c r="D352" s="271"/>
      <c r="E352" s="27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s="32" t="s">
        <v>433</v>
      </c>
      <c r="B353" s="258">
        <v>46374</v>
      </c>
      <c r="C353" s="2"/>
      <c r="D353" s="271"/>
      <c r="E353" s="27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s="32" t="s">
        <v>434</v>
      </c>
      <c r="B354" s="257">
        <v>46375</v>
      </c>
      <c r="C354" s="2"/>
      <c r="D354" s="271"/>
      <c r="E354" s="27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s="32" t="s">
        <v>435</v>
      </c>
      <c r="B355" s="258">
        <v>46376</v>
      </c>
      <c r="C355" s="2"/>
      <c r="D355" s="271"/>
      <c r="E355" s="27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s="32" t="s">
        <v>436</v>
      </c>
      <c r="B356" s="257">
        <v>46377</v>
      </c>
      <c r="C356" s="2"/>
      <c r="D356" s="271"/>
      <c r="E356" s="27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s="32" t="s">
        <v>437</v>
      </c>
      <c r="B357" s="258">
        <v>46378</v>
      </c>
      <c r="C357" s="2"/>
      <c r="D357" s="271"/>
      <c r="E357" s="27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s="32" t="s">
        <v>438</v>
      </c>
      <c r="B358" s="257">
        <v>46379</v>
      </c>
      <c r="C358" s="2"/>
      <c r="D358" s="271"/>
      <c r="E358" s="27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s="32" t="s">
        <v>432</v>
      </c>
      <c r="B359" s="258">
        <v>46380</v>
      </c>
      <c r="C359" s="2"/>
      <c r="D359" s="271"/>
      <c r="E359" s="27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s="32" t="s">
        <v>433</v>
      </c>
      <c r="B360" s="257">
        <v>46381</v>
      </c>
      <c r="C360" s="2"/>
      <c r="D360" s="271"/>
      <c r="E360" s="27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s="32" t="s">
        <v>434</v>
      </c>
      <c r="B361" s="258">
        <v>46382</v>
      </c>
      <c r="C361" s="2"/>
      <c r="D361" s="271"/>
      <c r="E361" s="27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s="32" t="s">
        <v>435</v>
      </c>
      <c r="B362" s="257">
        <v>46383</v>
      </c>
      <c r="C362" s="2"/>
      <c r="D362" s="271"/>
      <c r="E362" s="27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s="32" t="s">
        <v>436</v>
      </c>
      <c r="B363" s="258">
        <v>46384</v>
      </c>
      <c r="C363" s="2"/>
      <c r="D363" s="271"/>
      <c r="E363" s="27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s="32" t="s">
        <v>437</v>
      </c>
      <c r="B364" s="257">
        <v>46385</v>
      </c>
      <c r="C364" s="2"/>
      <c r="D364" s="271"/>
      <c r="E364" s="27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s="32" t="s">
        <v>438</v>
      </c>
      <c r="B365" s="258">
        <v>46386</v>
      </c>
      <c r="C365" s="2"/>
      <c r="D365" s="271"/>
      <c r="E365" s="27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s="32" t="s">
        <v>432</v>
      </c>
      <c r="B366" s="257">
        <v>46387</v>
      </c>
      <c r="C366" s="2"/>
      <c r="D366" s="271"/>
      <c r="E366" s="27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1" t="s">
        <v>175</v>
      </c>
      <c r="I1" s="262"/>
      <c r="J1" s="26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5">
        <f>AVERAGE(B2:B32)</f>
        <v>5</v>
      </c>
      <c r="D2" s="290">
        <f>AVERAGE(B2:B366)</f>
        <v>5.3276712328767104</v>
      </c>
      <c r="E2" s="58">
        <v>1</v>
      </c>
      <c r="F2" s="38" t="s">
        <v>194</v>
      </c>
      <c r="H2" s="263"/>
      <c r="I2" s="264"/>
      <c r="J2" s="26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6"/>
      <c r="D3" s="291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6"/>
      <c r="D4" s="291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6"/>
      <c r="D5" s="291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6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6"/>
      <c r="D6" s="291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6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6"/>
      <c r="D7" s="291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6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6"/>
      <c r="D8" s="291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6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6"/>
      <c r="D9" s="291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6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6"/>
      <c r="D10" s="291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6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6"/>
      <c r="D11" s="291"/>
      <c r="E11" s="58">
        <v>1</v>
      </c>
      <c r="F11" s="68" t="s">
        <v>176</v>
      </c>
      <c r="G11" s="74"/>
      <c r="H11" s="277" t="s">
        <v>6</v>
      </c>
      <c r="I11" s="278"/>
      <c r="J11" s="17">
        <f>SUM(J5:J10)</f>
        <v>365</v>
      </c>
      <c r="L11" s="157" t="s">
        <v>14</v>
      </c>
      <c r="M11" s="32">
        <v>5.3903225806451607</v>
      </c>
      <c r="N11" s="286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6"/>
      <c r="D12" s="291"/>
      <c r="E12" s="58">
        <v>1</v>
      </c>
      <c r="F12" s="69" t="s">
        <v>176</v>
      </c>
      <c r="L12" s="157" t="s">
        <v>15</v>
      </c>
      <c r="M12" s="32">
        <v>4.6545454545454543</v>
      </c>
      <c r="N12" s="286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6"/>
      <c r="D13" s="291"/>
      <c r="E13" s="58">
        <v>1</v>
      </c>
      <c r="F13" s="68" t="s">
        <v>176</v>
      </c>
      <c r="G13" s="74"/>
      <c r="H13" s="279" t="s">
        <v>174</v>
      </c>
      <c r="I13" s="280"/>
      <c r="J13" s="283">
        <f>J11/3.65</f>
        <v>100</v>
      </c>
      <c r="L13" s="157" t="s">
        <v>16</v>
      </c>
      <c r="M13" s="32">
        <f>C245</f>
        <v>5.8166666666666673</v>
      </c>
      <c r="N13" s="286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6"/>
      <c r="D14" s="291"/>
      <c r="E14" s="58">
        <v>0.8</v>
      </c>
      <c r="F14" s="69" t="s">
        <v>176</v>
      </c>
      <c r="H14" s="281"/>
      <c r="I14" s="282"/>
      <c r="J14" s="284"/>
      <c r="L14" s="157" t="s">
        <v>17</v>
      </c>
      <c r="M14" s="32">
        <f>C275</f>
        <v>5.629032258064516</v>
      </c>
      <c r="N14" s="286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6"/>
      <c r="D15" s="291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6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6"/>
      <c r="D16" s="291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7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6"/>
      <c r="D17" s="291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6"/>
      <c r="D18" s="291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6"/>
      <c r="D19" s="291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6"/>
      <c r="D20" s="291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6"/>
      <c r="D21" s="291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6"/>
      <c r="D22" s="291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6"/>
      <c r="D23" s="291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6"/>
      <c r="D24" s="291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6"/>
      <c r="D25" s="291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6"/>
      <c r="D26" s="291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6"/>
      <c r="D27" s="291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6"/>
      <c r="D28" s="291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6"/>
      <c r="D29" s="291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6"/>
      <c r="D30" s="291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6"/>
      <c r="D31" s="291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7"/>
      <c r="D32" s="291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3">
        <f>AVERAGE(B33:B60)</f>
        <v>4.7571428571428571</v>
      </c>
      <c r="D33" s="292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1"/>
      <c r="D34" s="292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1"/>
      <c r="D35" s="292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1"/>
      <c r="D36" s="292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1"/>
      <c r="D37" s="292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1"/>
      <c r="D38" s="292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1"/>
      <c r="D39" s="292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1"/>
      <c r="D40" s="292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1"/>
      <c r="D41" s="292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1"/>
      <c r="D42" s="292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1"/>
      <c r="D43" s="292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1"/>
      <c r="D44" s="292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1"/>
      <c r="D45" s="292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1"/>
      <c r="D46" s="292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1"/>
      <c r="D47" s="292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1"/>
      <c r="D48" s="292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1"/>
      <c r="D49" s="292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1"/>
      <c r="D50" s="292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1"/>
      <c r="D51" s="292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1"/>
      <c r="D52" s="292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1"/>
      <c r="D53" s="292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1"/>
      <c r="D54" s="292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1"/>
      <c r="D55" s="292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1"/>
      <c r="D56" s="292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1"/>
      <c r="D57" s="292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1"/>
      <c r="D58" s="292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1"/>
      <c r="D59" s="292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1"/>
      <c r="D60" s="292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1">
        <f>AVERAGE(B61:B91)</f>
        <v>5.1967741935483867</v>
      </c>
      <c r="D61" s="292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1"/>
      <c r="D62" s="292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1"/>
      <c r="D63" s="292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1"/>
      <c r="D64" s="292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1"/>
      <c r="D65" s="292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1"/>
      <c r="D66" s="292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1"/>
      <c r="D67" s="292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1"/>
      <c r="D68" s="292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1"/>
      <c r="D69" s="292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1"/>
      <c r="D70" s="292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1"/>
      <c r="D71" s="292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1"/>
      <c r="D72" s="292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1"/>
      <c r="D73" s="292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1"/>
      <c r="D74" s="292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1"/>
      <c r="D75" s="292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1"/>
      <c r="D76" s="292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1"/>
      <c r="D77" s="292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1"/>
      <c r="D78" s="292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1"/>
      <c r="D79" s="292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1"/>
      <c r="D80" s="292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1"/>
      <c r="D81" s="292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1"/>
      <c r="D82" s="292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1"/>
      <c r="D83" s="292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1"/>
      <c r="D84" s="292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1"/>
      <c r="D85" s="292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1"/>
      <c r="D86" s="292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1"/>
      <c r="D87" s="292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1"/>
      <c r="D88" s="292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1"/>
      <c r="D89" s="292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1"/>
      <c r="D90" s="292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1"/>
      <c r="D91" s="292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1">
        <f>AVERAGE(B92:B121)</f>
        <v>4.8866666666666676</v>
      </c>
      <c r="D92" s="292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1"/>
      <c r="D93" s="292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1"/>
      <c r="D94" s="292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1"/>
      <c r="D95" s="292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1"/>
      <c r="D96" s="292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1"/>
      <c r="D97" s="292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1"/>
      <c r="D98" s="292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1"/>
      <c r="D99" s="292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1"/>
      <c r="D100" s="292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1"/>
      <c r="D101" s="292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1"/>
      <c r="D102" s="292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1"/>
      <c r="D103" s="292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1"/>
      <c r="D104" s="292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1"/>
      <c r="D105" s="292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1"/>
      <c r="D106" s="292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1"/>
      <c r="D107" s="292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1"/>
      <c r="D108" s="292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1"/>
      <c r="D109" s="292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1"/>
      <c r="D110" s="292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1"/>
      <c r="D111" s="292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1"/>
      <c r="D112" s="292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1"/>
      <c r="D113" s="292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1"/>
      <c r="D114" s="292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1"/>
      <c r="D115" s="292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1"/>
      <c r="D116" s="292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1"/>
      <c r="D117" s="292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1"/>
      <c r="D118" s="292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1"/>
      <c r="D119" s="292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1"/>
      <c r="D120" s="292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1"/>
      <c r="D121" s="292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1">
        <f>AVERAGE(B122:B152)</f>
        <v>5.8967741935483877</v>
      </c>
      <c r="D122" s="292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1"/>
      <c r="D123" s="292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1"/>
      <c r="D124" s="292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1"/>
      <c r="D125" s="292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1"/>
      <c r="D126" s="292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1"/>
      <c r="D127" s="292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1"/>
      <c r="D128" s="292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1"/>
      <c r="D129" s="292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1"/>
      <c r="D130" s="292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1"/>
      <c r="D131" s="292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1"/>
      <c r="D132" s="292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1"/>
      <c r="D133" s="292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1"/>
      <c r="D134" s="292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1"/>
      <c r="D135" s="292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1"/>
      <c r="D136" s="292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1"/>
      <c r="D137" s="292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1"/>
      <c r="D138" s="292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1"/>
      <c r="D139" s="292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1"/>
      <c r="D140" s="292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1"/>
      <c r="D141" s="292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1"/>
      <c r="D142" s="292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1"/>
      <c r="D143" s="292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1"/>
      <c r="D144" s="292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1"/>
      <c r="D145" s="292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1"/>
      <c r="D146" s="292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1"/>
      <c r="D147" s="292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1"/>
      <c r="D148" s="292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1"/>
      <c r="D149" s="292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1"/>
      <c r="D150" s="292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1"/>
      <c r="D151" s="292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1"/>
      <c r="D152" s="292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1">
        <f>AVERAGE(B153:B182)</f>
        <v>4.8600000000000003</v>
      </c>
      <c r="D153" s="292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1"/>
      <c r="D154" s="292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1"/>
      <c r="D155" s="292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1"/>
      <c r="D156" s="292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1"/>
      <c r="D157" s="292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1"/>
      <c r="D158" s="292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1"/>
      <c r="D159" s="292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1"/>
      <c r="D160" s="292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1"/>
      <c r="D161" s="292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1"/>
      <c r="D162" s="292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1"/>
      <c r="D163" s="292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1"/>
      <c r="D164" s="292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1"/>
      <c r="D165" s="292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1"/>
      <c r="D166" s="292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1"/>
      <c r="D167" s="292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1"/>
      <c r="D168" s="292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1"/>
      <c r="D169" s="292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1"/>
      <c r="D170" s="292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1"/>
      <c r="D171" s="292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1"/>
      <c r="D172" s="292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1"/>
      <c r="D173" s="292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1"/>
      <c r="D174" s="292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1"/>
      <c r="D175" s="292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1"/>
      <c r="D176" s="292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1"/>
      <c r="D177" s="292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1"/>
      <c r="D178" s="292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1"/>
      <c r="D179" s="292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1"/>
      <c r="D180" s="292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1"/>
      <c r="D181" s="292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1"/>
      <c r="D182" s="292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1">
        <f>AVERAGE(B183:B213)</f>
        <v>5.3903225806451607</v>
      </c>
      <c r="D183" s="292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1"/>
      <c r="D184" s="292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1"/>
      <c r="D185" s="292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1"/>
      <c r="D186" s="292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1"/>
      <c r="D187" s="292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1"/>
      <c r="D188" s="292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1"/>
      <c r="D189" s="292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1"/>
      <c r="D190" s="292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1"/>
      <c r="D191" s="292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1"/>
      <c r="D192" s="292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1"/>
      <c r="D193" s="292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1"/>
      <c r="D194" s="292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1"/>
      <c r="D195" s="292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1"/>
      <c r="D196" s="292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1"/>
      <c r="D197" s="292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1"/>
      <c r="D198" s="292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1"/>
      <c r="D199" s="292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1"/>
      <c r="D200" s="292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1"/>
      <c r="D201" s="292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1"/>
      <c r="D202" s="292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1"/>
      <c r="D203" s="292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1"/>
      <c r="D204" s="292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1"/>
      <c r="D205" s="292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1"/>
      <c r="D206" s="292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1"/>
      <c r="D207" s="292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1"/>
      <c r="D208" s="292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1"/>
      <c r="D209" s="292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1"/>
      <c r="D210" s="292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1"/>
      <c r="D211" s="292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1"/>
      <c r="D212" s="292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1"/>
      <c r="D213" s="292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1">
        <f>AVERAGE(B214:B244)</f>
        <v>4.5548387096774192</v>
      </c>
      <c r="D214" s="292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1"/>
      <c r="D215" s="292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1"/>
      <c r="D216" s="292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1"/>
      <c r="D217" s="292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1"/>
      <c r="D218" s="292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1"/>
      <c r="D219" s="292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1"/>
      <c r="D220" s="292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1"/>
      <c r="D221" s="292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1"/>
      <c r="D222" s="292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1"/>
      <c r="D223" s="292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1"/>
      <c r="D224" s="292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1"/>
      <c r="D225" s="292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1"/>
      <c r="D226" s="292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1"/>
      <c r="D227" s="292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1"/>
      <c r="D228" s="292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1"/>
      <c r="D229" s="292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1"/>
      <c r="D230" s="292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1"/>
      <c r="D231" s="292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1"/>
      <c r="D232" s="292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1"/>
      <c r="D233" s="292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1"/>
      <c r="D234" s="292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1"/>
      <c r="D235" s="292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1"/>
      <c r="D236" s="292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1"/>
      <c r="D237" s="292"/>
      <c r="E237" s="58">
        <v>1</v>
      </c>
      <c r="F237" s="38" t="s">
        <v>176</v>
      </c>
      <c r="G237" s="272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1"/>
      <c r="D238" s="292"/>
      <c r="E238" s="58">
        <v>1</v>
      </c>
      <c r="F238" s="38" t="s">
        <v>176</v>
      </c>
      <c r="G238" s="272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1"/>
      <c r="D239" s="292"/>
      <c r="E239" s="58">
        <v>1</v>
      </c>
      <c r="F239" s="38" t="s">
        <v>176</v>
      </c>
      <c r="G239" s="272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1"/>
      <c r="D240" s="292"/>
      <c r="E240" s="58">
        <v>1</v>
      </c>
      <c r="F240" s="38" t="s">
        <v>176</v>
      </c>
      <c r="G240" s="272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1"/>
      <c r="D241" s="292"/>
      <c r="E241" s="58">
        <v>1</v>
      </c>
      <c r="F241" s="38" t="s">
        <v>176</v>
      </c>
      <c r="G241" s="272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1"/>
      <c r="D242" s="292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1"/>
      <c r="D243" s="292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1"/>
      <c r="D244" s="292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1">
        <f>AVERAGE(B245:B274)</f>
        <v>5.8166666666666673</v>
      </c>
      <c r="D245" s="292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1"/>
      <c r="D246" s="292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1"/>
      <c r="D247" s="292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1"/>
      <c r="D248" s="292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1"/>
      <c r="D249" s="292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1"/>
      <c r="D250" s="292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1"/>
      <c r="D251" s="292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1"/>
      <c r="D252" s="292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1"/>
      <c r="D253" s="292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1"/>
      <c r="D254" s="292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1"/>
      <c r="D255" s="292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1"/>
      <c r="D256" s="292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1"/>
      <c r="D257" s="292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1"/>
      <c r="D258" s="292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1"/>
      <c r="D259" s="292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1"/>
      <c r="D260" s="292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1"/>
      <c r="D261" s="292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1"/>
      <c r="D262" s="292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1"/>
      <c r="D263" s="292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1"/>
      <c r="D264" s="292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1"/>
      <c r="D265" s="292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1"/>
      <c r="D266" s="292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1"/>
      <c r="D267" s="292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1"/>
      <c r="D268" s="292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1"/>
      <c r="D269" s="292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1"/>
      <c r="D270" s="292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1"/>
      <c r="D271" s="292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1"/>
      <c r="D272" s="292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1"/>
      <c r="D273" s="292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1"/>
      <c r="D274" s="292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1">
        <f>AVERAGE(B275:B305)</f>
        <v>5.629032258064516</v>
      </c>
      <c r="D275" s="292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1"/>
      <c r="D276" s="292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1"/>
      <c r="D277" s="292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1"/>
      <c r="D278" s="292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1"/>
      <c r="D279" s="292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1"/>
      <c r="D280" s="292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1"/>
      <c r="D281" s="292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1"/>
      <c r="D282" s="292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1"/>
      <c r="D283" s="292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1"/>
      <c r="D284" s="292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1"/>
      <c r="D285" s="292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1"/>
      <c r="D286" s="292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1"/>
      <c r="D287" s="292"/>
      <c r="E287" s="58">
        <v>1</v>
      </c>
      <c r="F287" s="38" t="s">
        <v>176</v>
      </c>
      <c r="G287" s="272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1"/>
      <c r="D288" s="292"/>
      <c r="E288" s="58">
        <v>1</v>
      </c>
      <c r="F288" s="38" t="s">
        <v>176</v>
      </c>
      <c r="G288" s="272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1"/>
      <c r="D289" s="292"/>
      <c r="E289" s="58">
        <v>1</v>
      </c>
      <c r="F289" s="38" t="s">
        <v>176</v>
      </c>
      <c r="G289" s="272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1"/>
      <c r="D290" s="292"/>
      <c r="E290" s="58">
        <v>1</v>
      </c>
      <c r="F290" s="38" t="s">
        <v>176</v>
      </c>
      <c r="G290" s="272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1"/>
      <c r="D291" s="292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1"/>
      <c r="D292" s="292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1"/>
      <c r="D293" s="292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1"/>
      <c r="D294" s="292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1"/>
      <c r="D295" s="292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1"/>
      <c r="D296" s="292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1"/>
      <c r="D297" s="292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1"/>
      <c r="D298" s="292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1"/>
      <c r="D299" s="292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1"/>
      <c r="D300" s="292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1"/>
      <c r="D301" s="292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1"/>
      <c r="D302" s="292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1"/>
      <c r="D303" s="292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1"/>
      <c r="D304" s="292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1"/>
      <c r="D305" s="292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1">
        <f>AVERAGE(B306:B335)</f>
        <v>6.0733333333333333</v>
      </c>
      <c r="D306" s="292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1"/>
      <c r="D307" s="292"/>
      <c r="E307" s="58">
        <v>1</v>
      </c>
      <c r="F307" s="38" t="s">
        <v>176</v>
      </c>
      <c r="G307" s="272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1"/>
      <c r="D308" s="292"/>
      <c r="E308" s="58">
        <v>1</v>
      </c>
      <c r="F308" s="38" t="s">
        <v>176</v>
      </c>
      <c r="G308" s="272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1"/>
      <c r="D309" s="292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1"/>
      <c r="D310" s="292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1"/>
      <c r="D311" s="292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1"/>
      <c r="D312" s="292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1"/>
      <c r="D313" s="292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1"/>
      <c r="D314" s="292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1"/>
      <c r="D315" s="292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1"/>
      <c r="D316" s="292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1"/>
      <c r="D317" s="292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1"/>
      <c r="D318" s="292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1"/>
      <c r="D319" s="292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1"/>
      <c r="D320" s="292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1"/>
      <c r="D321" s="292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1"/>
      <c r="D322" s="292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1"/>
      <c r="D323" s="292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1"/>
      <c r="D324" s="292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1"/>
      <c r="D325" s="292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1"/>
      <c r="D326" s="292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1"/>
      <c r="D327" s="292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1"/>
      <c r="D328" s="292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1"/>
      <c r="D329" s="292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1"/>
      <c r="D330" s="292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1"/>
      <c r="D331" s="292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1"/>
      <c r="D332" s="292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1"/>
      <c r="D333" s="292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1"/>
      <c r="D334" s="292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1"/>
      <c r="D335" s="292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1">
        <f>AVERAGE(B336:B366)</f>
        <v>5.8258064516129036</v>
      </c>
      <c r="D336" s="292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1"/>
      <c r="D337" s="292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1"/>
      <c r="D338" s="292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1"/>
      <c r="D339" s="292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1"/>
      <c r="D340" s="292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1"/>
      <c r="D341" s="292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1"/>
      <c r="D342" s="292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1"/>
      <c r="D343" s="292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1"/>
      <c r="D344" s="292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1"/>
      <c r="D345" s="292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1"/>
      <c r="D346" s="292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1"/>
      <c r="D347" s="292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1"/>
      <c r="D348" s="292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1"/>
      <c r="D349" s="292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1"/>
      <c r="D350" s="292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1"/>
      <c r="D351" s="292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1"/>
      <c r="D352" s="292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1"/>
      <c r="D353" s="292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1"/>
      <c r="D354" s="292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1"/>
      <c r="D355" s="292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1"/>
      <c r="D356" s="292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1"/>
      <c r="D357" s="292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1"/>
      <c r="D358" s="292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1"/>
      <c r="D359" s="292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1"/>
      <c r="D360" s="292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1"/>
      <c r="D361" s="292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1"/>
      <c r="D362" s="292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1"/>
      <c r="D363" s="292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1"/>
      <c r="D364" s="292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1"/>
      <c r="D365" s="292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1"/>
      <c r="D366" s="292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1">
        <f>AVERAGE(B1:B31)</f>
        <v>5.290322580645161</v>
      </c>
      <c r="D1" s="298">
        <f>AVERAGE(B1:B366)</f>
        <v>5.1967213114754101</v>
      </c>
    </row>
    <row r="2" spans="1:4" x14ac:dyDescent="0.45">
      <c r="A2" s="1">
        <v>45293</v>
      </c>
      <c r="B2" s="2">
        <v>4</v>
      </c>
      <c r="C2" s="271"/>
      <c r="D2" s="298"/>
    </row>
    <row r="3" spans="1:4" x14ac:dyDescent="0.45">
      <c r="A3" s="1">
        <v>45294</v>
      </c>
      <c r="B3" s="2">
        <v>6</v>
      </c>
      <c r="C3" s="271"/>
      <c r="D3" s="298"/>
    </row>
    <row r="4" spans="1:4" x14ac:dyDescent="0.45">
      <c r="A4" s="1">
        <v>45295</v>
      </c>
      <c r="B4" s="2">
        <v>8</v>
      </c>
      <c r="C4" s="271"/>
      <c r="D4" s="298"/>
    </row>
    <row r="5" spans="1:4" x14ac:dyDescent="0.45">
      <c r="A5" s="1">
        <v>45296</v>
      </c>
      <c r="B5" s="2">
        <v>6</v>
      </c>
      <c r="C5" s="271"/>
      <c r="D5" s="298"/>
    </row>
    <row r="6" spans="1:4" x14ac:dyDescent="0.45">
      <c r="A6" s="1">
        <v>45297</v>
      </c>
      <c r="B6" s="2">
        <v>8</v>
      </c>
      <c r="C6" s="271"/>
      <c r="D6" s="298"/>
    </row>
    <row r="7" spans="1:4" x14ac:dyDescent="0.45">
      <c r="A7" s="1">
        <v>45298</v>
      </c>
      <c r="B7" s="2">
        <v>0</v>
      </c>
      <c r="C7" s="271"/>
      <c r="D7" s="298"/>
    </row>
    <row r="8" spans="1:4" x14ac:dyDescent="0.45">
      <c r="A8" s="1">
        <v>45299</v>
      </c>
      <c r="B8" s="2">
        <v>4</v>
      </c>
      <c r="C8" s="271"/>
      <c r="D8" s="298"/>
    </row>
    <row r="9" spans="1:4" x14ac:dyDescent="0.45">
      <c r="A9" s="1">
        <v>45300</v>
      </c>
      <c r="B9" s="2">
        <v>6</v>
      </c>
      <c r="C9" s="271"/>
      <c r="D9" s="298"/>
    </row>
    <row r="10" spans="1:4" x14ac:dyDescent="0.45">
      <c r="A10" s="1">
        <v>45301</v>
      </c>
      <c r="B10" s="2">
        <v>4</v>
      </c>
      <c r="C10" s="271"/>
      <c r="D10" s="298"/>
    </row>
    <row r="11" spans="1:4" x14ac:dyDescent="0.45">
      <c r="A11" s="1">
        <v>45302</v>
      </c>
      <c r="B11" s="2">
        <v>6</v>
      </c>
      <c r="C11" s="271"/>
      <c r="D11" s="298"/>
    </row>
    <row r="12" spans="1:4" x14ac:dyDescent="0.45">
      <c r="A12" s="1">
        <v>45303</v>
      </c>
      <c r="B12" s="2">
        <v>6</v>
      </c>
      <c r="C12" s="271"/>
      <c r="D12" s="298"/>
    </row>
    <row r="13" spans="1:4" x14ac:dyDescent="0.45">
      <c r="A13" s="1">
        <v>45304</v>
      </c>
      <c r="B13" s="2">
        <v>2</v>
      </c>
      <c r="C13" s="271"/>
      <c r="D13" s="298"/>
    </row>
    <row r="14" spans="1:4" x14ac:dyDescent="0.45">
      <c r="A14" s="1">
        <v>45305</v>
      </c>
      <c r="B14" s="2">
        <v>4</v>
      </c>
      <c r="C14" s="271"/>
      <c r="D14" s="298"/>
    </row>
    <row r="15" spans="1:4" x14ac:dyDescent="0.45">
      <c r="A15" s="1">
        <v>45306</v>
      </c>
      <c r="B15" s="2">
        <v>6</v>
      </c>
      <c r="C15" s="271"/>
      <c r="D15" s="298"/>
    </row>
    <row r="16" spans="1:4" x14ac:dyDescent="0.45">
      <c r="A16" s="1">
        <v>45307</v>
      </c>
      <c r="B16" s="2">
        <v>0</v>
      </c>
      <c r="C16" s="271"/>
      <c r="D16" s="298"/>
    </row>
    <row r="17" spans="1:19" ht="14.35" thickBot="1" x14ac:dyDescent="0.5">
      <c r="A17" s="1">
        <v>45308</v>
      </c>
      <c r="B17" s="2">
        <v>6</v>
      </c>
      <c r="C17" s="271"/>
      <c r="D17" s="29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1"/>
      <c r="D18" s="29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1"/>
      <c r="D19" s="29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4">
        <f>AVERAGE(K19:K22)</f>
        <v>4.9297923618835746</v>
      </c>
    </row>
    <row r="20" spans="1:19" x14ac:dyDescent="0.45">
      <c r="A20" s="1">
        <v>45311</v>
      </c>
      <c r="B20" s="2">
        <v>6</v>
      </c>
      <c r="C20" s="271"/>
      <c r="D20" s="29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1"/>
    </row>
    <row r="21" spans="1:19" x14ac:dyDescent="0.45">
      <c r="A21" s="1">
        <v>45312</v>
      </c>
      <c r="B21" s="2">
        <v>6</v>
      </c>
      <c r="C21" s="271"/>
      <c r="D21" s="29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1"/>
    </row>
    <row r="22" spans="1:19" x14ac:dyDescent="0.45">
      <c r="A22" s="1">
        <v>45313</v>
      </c>
      <c r="B22" s="2">
        <v>4</v>
      </c>
      <c r="C22" s="271"/>
      <c r="D22" s="29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1"/>
    </row>
    <row r="23" spans="1:19" ht="14.35" thickBot="1" x14ac:dyDescent="0.5">
      <c r="A23" s="1">
        <v>45314</v>
      </c>
      <c r="B23" s="2">
        <v>4</v>
      </c>
      <c r="C23" s="271"/>
      <c r="D23" s="29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1"/>
      <c r="D24" s="298"/>
      <c r="F24" s="277" t="s">
        <v>6</v>
      </c>
      <c r="G24" s="278"/>
      <c r="H24" s="17">
        <f>SUM(H18:H23)</f>
        <v>366</v>
      </c>
      <c r="J24" s="10" t="s">
        <v>13</v>
      </c>
      <c r="K24" s="29">
        <v>5.333333333333333</v>
      </c>
      <c r="L24" s="29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1"/>
    </row>
    <row r="25" spans="1:19" x14ac:dyDescent="0.45">
      <c r="A25" s="1">
        <v>45316</v>
      </c>
      <c r="B25" s="2">
        <v>6</v>
      </c>
      <c r="C25" s="271"/>
      <c r="D25" s="298"/>
      <c r="J25" s="10" t="s">
        <v>14</v>
      </c>
      <c r="K25" s="29">
        <v>5.032258064516129</v>
      </c>
      <c r="L25" s="29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1"/>
    </row>
    <row r="26" spans="1:19" x14ac:dyDescent="0.45">
      <c r="A26" s="1">
        <v>45317</v>
      </c>
      <c r="B26" s="2">
        <v>10</v>
      </c>
      <c r="C26" s="271"/>
      <c r="D26" s="298"/>
      <c r="J26" s="10" t="s">
        <v>15</v>
      </c>
      <c r="K26" s="29">
        <v>4.967741935483871</v>
      </c>
      <c r="L26" s="29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1"/>
    </row>
    <row r="27" spans="1:19" x14ac:dyDescent="0.45">
      <c r="A27" s="1">
        <v>45318</v>
      </c>
      <c r="B27" s="2">
        <v>10</v>
      </c>
      <c r="C27" s="271"/>
      <c r="D27" s="298"/>
      <c r="F27" s="293" t="s">
        <v>23</v>
      </c>
      <c r="G27" s="293"/>
      <c r="H27" s="293"/>
      <c r="J27" s="10" t="s">
        <v>16</v>
      </c>
      <c r="K27" s="29">
        <v>5.2666666666666666</v>
      </c>
      <c r="L27" s="29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4">
        <f>AVERAGE(K27:K30)</f>
        <v>5.2806451612903231</v>
      </c>
    </row>
    <row r="28" spans="1:19" x14ac:dyDescent="0.45">
      <c r="A28" s="1">
        <v>45319</v>
      </c>
      <c r="B28" s="2">
        <v>10</v>
      </c>
      <c r="C28" s="271"/>
      <c r="D28" s="298"/>
      <c r="F28" s="295">
        <v>2024</v>
      </c>
      <c r="G28" s="295"/>
      <c r="H28" s="295"/>
      <c r="J28" s="10" t="s">
        <v>17</v>
      </c>
      <c r="K28" s="29">
        <v>5.612903225806452</v>
      </c>
      <c r="L28" s="29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1"/>
    </row>
    <row r="29" spans="1:19" x14ac:dyDescent="0.45">
      <c r="A29" s="1">
        <v>45320</v>
      </c>
      <c r="B29" s="2">
        <v>4</v>
      </c>
      <c r="C29" s="271"/>
      <c r="D29" s="298"/>
      <c r="J29" s="10" t="s">
        <v>18</v>
      </c>
      <c r="K29" s="29">
        <v>5.5333333333333332</v>
      </c>
      <c r="L29" s="29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1"/>
    </row>
    <row r="30" spans="1:19" ht="14.35" thickBot="1" x14ac:dyDescent="0.5">
      <c r="A30" s="1">
        <v>45321</v>
      </c>
      <c r="B30" s="2">
        <v>4</v>
      </c>
      <c r="C30" s="271"/>
      <c r="D30" s="298"/>
      <c r="J30" s="18" t="s">
        <v>19</v>
      </c>
      <c r="K30" s="30">
        <v>4.709677419354839</v>
      </c>
      <c r="L30" s="29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1"/>
    </row>
    <row r="31" spans="1:19" x14ac:dyDescent="0.45">
      <c r="A31" s="1">
        <v>45322</v>
      </c>
      <c r="B31" s="2">
        <v>4</v>
      </c>
      <c r="C31" s="271"/>
      <c r="D31" s="298"/>
    </row>
    <row r="32" spans="1:19" x14ac:dyDescent="0.45">
      <c r="A32" s="1">
        <v>45323</v>
      </c>
      <c r="B32" s="2">
        <v>6</v>
      </c>
      <c r="C32" s="271">
        <f>AVERAGE(B32:B60)</f>
        <v>4.4137931034482758</v>
      </c>
      <c r="D32" s="298"/>
    </row>
    <row r="33" spans="1:4" x14ac:dyDescent="0.45">
      <c r="A33" s="1">
        <v>45324</v>
      </c>
      <c r="B33" s="2">
        <v>6</v>
      </c>
      <c r="C33" s="271"/>
      <c r="D33" s="298"/>
    </row>
    <row r="34" spans="1:4" x14ac:dyDescent="0.45">
      <c r="A34" s="1">
        <v>45325</v>
      </c>
      <c r="B34" s="2">
        <v>6</v>
      </c>
      <c r="C34" s="271"/>
      <c r="D34" s="298"/>
    </row>
    <row r="35" spans="1:4" x14ac:dyDescent="0.45">
      <c r="A35" s="1">
        <v>45326</v>
      </c>
      <c r="B35" s="2">
        <v>4</v>
      </c>
      <c r="C35" s="271"/>
      <c r="D35" s="298"/>
    </row>
    <row r="36" spans="1:4" x14ac:dyDescent="0.45">
      <c r="A36" s="1">
        <v>45327</v>
      </c>
      <c r="B36" s="2">
        <v>2</v>
      </c>
      <c r="C36" s="271"/>
      <c r="D36" s="298"/>
    </row>
    <row r="37" spans="1:4" x14ac:dyDescent="0.45">
      <c r="A37" s="1">
        <v>45328</v>
      </c>
      <c r="B37" s="2">
        <v>6</v>
      </c>
      <c r="C37" s="271"/>
      <c r="D37" s="298"/>
    </row>
    <row r="38" spans="1:4" x14ac:dyDescent="0.45">
      <c r="A38" s="1">
        <v>45329</v>
      </c>
      <c r="B38" s="2">
        <v>4</v>
      </c>
      <c r="C38" s="271"/>
      <c r="D38" s="298"/>
    </row>
    <row r="39" spans="1:4" x14ac:dyDescent="0.45">
      <c r="A39" s="1">
        <v>45330</v>
      </c>
      <c r="B39" s="2">
        <v>6</v>
      </c>
      <c r="C39" s="271"/>
      <c r="D39" s="298"/>
    </row>
    <row r="40" spans="1:4" x14ac:dyDescent="0.45">
      <c r="A40" s="1">
        <v>45331</v>
      </c>
      <c r="B40" s="2">
        <v>6</v>
      </c>
      <c r="C40" s="271"/>
      <c r="D40" s="298"/>
    </row>
    <row r="41" spans="1:4" x14ac:dyDescent="0.45">
      <c r="A41" s="1">
        <v>45332</v>
      </c>
      <c r="B41" s="2">
        <v>4</v>
      </c>
      <c r="C41" s="271"/>
      <c r="D41" s="298"/>
    </row>
    <row r="42" spans="1:4" x14ac:dyDescent="0.45">
      <c r="A42" s="1">
        <v>45333</v>
      </c>
      <c r="B42" s="2">
        <v>4</v>
      </c>
      <c r="C42" s="271"/>
      <c r="D42" s="298"/>
    </row>
    <row r="43" spans="1:4" x14ac:dyDescent="0.45">
      <c r="A43" s="1">
        <v>45334</v>
      </c>
      <c r="B43" s="2">
        <v>4</v>
      </c>
      <c r="C43" s="271"/>
      <c r="D43" s="298"/>
    </row>
    <row r="44" spans="1:4" x14ac:dyDescent="0.45">
      <c r="A44" s="1">
        <v>45335</v>
      </c>
      <c r="B44" s="2">
        <v>6</v>
      </c>
      <c r="C44" s="271"/>
      <c r="D44" s="298"/>
    </row>
    <row r="45" spans="1:4" x14ac:dyDescent="0.45">
      <c r="A45" s="1">
        <v>45336</v>
      </c>
      <c r="B45" s="2">
        <v>10</v>
      </c>
      <c r="C45" s="271"/>
      <c r="D45" s="298"/>
    </row>
    <row r="46" spans="1:4" x14ac:dyDescent="0.45">
      <c r="A46" s="1">
        <v>45337</v>
      </c>
      <c r="B46" s="2">
        <v>6</v>
      </c>
      <c r="C46" s="271"/>
      <c r="D46" s="298"/>
    </row>
    <row r="47" spans="1:4" x14ac:dyDescent="0.45">
      <c r="A47" s="1">
        <v>45338</v>
      </c>
      <c r="B47" s="2">
        <v>2</v>
      </c>
      <c r="C47" s="271"/>
      <c r="D47" s="298"/>
    </row>
    <row r="48" spans="1:4" x14ac:dyDescent="0.45">
      <c r="A48" s="1">
        <v>45339</v>
      </c>
      <c r="B48" s="2">
        <v>4</v>
      </c>
      <c r="C48" s="271"/>
      <c r="D48" s="298"/>
    </row>
    <row r="49" spans="1:4" x14ac:dyDescent="0.45">
      <c r="A49" s="1">
        <v>45340</v>
      </c>
      <c r="B49" s="2">
        <v>4</v>
      </c>
      <c r="C49" s="271"/>
      <c r="D49" s="298"/>
    </row>
    <row r="50" spans="1:4" x14ac:dyDescent="0.45">
      <c r="A50" s="1">
        <v>45341</v>
      </c>
      <c r="B50" s="2">
        <v>4</v>
      </c>
      <c r="C50" s="271"/>
      <c r="D50" s="298"/>
    </row>
    <row r="51" spans="1:4" x14ac:dyDescent="0.45">
      <c r="A51" s="1">
        <v>45342</v>
      </c>
      <c r="B51" s="2">
        <v>0</v>
      </c>
      <c r="C51" s="271"/>
      <c r="D51" s="298"/>
    </row>
    <row r="52" spans="1:4" x14ac:dyDescent="0.45">
      <c r="A52" s="1">
        <v>45343</v>
      </c>
      <c r="B52" s="2">
        <v>0</v>
      </c>
      <c r="C52" s="271"/>
      <c r="D52" s="298"/>
    </row>
    <row r="53" spans="1:4" x14ac:dyDescent="0.45">
      <c r="A53" s="1">
        <v>45344</v>
      </c>
      <c r="B53" s="2">
        <v>2</v>
      </c>
      <c r="C53" s="271"/>
      <c r="D53" s="298"/>
    </row>
    <row r="54" spans="1:4" x14ac:dyDescent="0.45">
      <c r="A54" s="1">
        <v>45345</v>
      </c>
      <c r="B54" s="2">
        <v>4</v>
      </c>
      <c r="C54" s="271"/>
      <c r="D54" s="298"/>
    </row>
    <row r="55" spans="1:4" x14ac:dyDescent="0.45">
      <c r="A55" s="1">
        <v>45346</v>
      </c>
      <c r="B55" s="2">
        <v>4</v>
      </c>
      <c r="C55" s="271"/>
      <c r="D55" s="298"/>
    </row>
    <row r="56" spans="1:4" x14ac:dyDescent="0.45">
      <c r="A56" s="1">
        <v>45347</v>
      </c>
      <c r="B56" s="2">
        <v>6</v>
      </c>
      <c r="C56" s="271"/>
      <c r="D56" s="298"/>
    </row>
    <row r="57" spans="1:4" x14ac:dyDescent="0.45">
      <c r="A57" s="1">
        <v>45348</v>
      </c>
      <c r="B57" s="2">
        <v>4</v>
      </c>
      <c r="C57" s="271"/>
      <c r="D57" s="298"/>
    </row>
    <row r="58" spans="1:4" x14ac:dyDescent="0.45">
      <c r="A58" s="1">
        <v>45349</v>
      </c>
      <c r="B58" s="2">
        <v>4</v>
      </c>
      <c r="C58" s="271"/>
      <c r="D58" s="298"/>
    </row>
    <row r="59" spans="1:4" x14ac:dyDescent="0.45">
      <c r="A59" s="1">
        <v>45350</v>
      </c>
      <c r="B59" s="2">
        <v>4</v>
      </c>
      <c r="C59" s="271"/>
      <c r="D59" s="298"/>
    </row>
    <row r="60" spans="1:4" x14ac:dyDescent="0.45">
      <c r="A60" s="1">
        <v>45351</v>
      </c>
      <c r="B60" s="2">
        <v>6</v>
      </c>
      <c r="C60" s="271"/>
      <c r="D60" s="298"/>
    </row>
    <row r="61" spans="1:4" x14ac:dyDescent="0.45">
      <c r="A61" s="1">
        <v>45352</v>
      </c>
      <c r="B61" s="2">
        <v>6</v>
      </c>
      <c r="C61" s="271">
        <f>AVERAGE(B61:B91)</f>
        <v>5.5483870967741939</v>
      </c>
      <c r="D61" s="298"/>
    </row>
    <row r="62" spans="1:4" x14ac:dyDescent="0.45">
      <c r="A62" s="1">
        <v>45353</v>
      </c>
      <c r="B62" s="2">
        <v>6</v>
      </c>
      <c r="C62" s="271"/>
      <c r="D62" s="298"/>
    </row>
    <row r="63" spans="1:4" x14ac:dyDescent="0.45">
      <c r="A63" s="1">
        <v>45354</v>
      </c>
      <c r="B63" s="2">
        <v>8</v>
      </c>
      <c r="C63" s="271"/>
      <c r="D63" s="298"/>
    </row>
    <row r="64" spans="1:4" x14ac:dyDescent="0.45">
      <c r="A64" s="1">
        <v>45355</v>
      </c>
      <c r="B64" s="2">
        <v>6</v>
      </c>
      <c r="C64" s="271"/>
      <c r="D64" s="298"/>
    </row>
    <row r="65" spans="1:4" x14ac:dyDescent="0.45">
      <c r="A65" s="1">
        <v>45356</v>
      </c>
      <c r="B65" s="2">
        <v>4</v>
      </c>
      <c r="C65" s="271"/>
      <c r="D65" s="298"/>
    </row>
    <row r="66" spans="1:4" x14ac:dyDescent="0.45">
      <c r="A66" s="1">
        <v>45357</v>
      </c>
      <c r="B66" s="2">
        <v>4</v>
      </c>
      <c r="C66" s="271"/>
      <c r="D66" s="298"/>
    </row>
    <row r="67" spans="1:4" x14ac:dyDescent="0.45">
      <c r="A67" s="1">
        <v>45358</v>
      </c>
      <c r="B67" s="2">
        <v>6</v>
      </c>
      <c r="C67" s="271"/>
      <c r="D67" s="298"/>
    </row>
    <row r="68" spans="1:4" x14ac:dyDescent="0.45">
      <c r="A68" s="1">
        <v>45359</v>
      </c>
      <c r="B68" s="2">
        <v>6</v>
      </c>
      <c r="C68" s="271"/>
      <c r="D68" s="298"/>
    </row>
    <row r="69" spans="1:4" x14ac:dyDescent="0.45">
      <c r="A69" s="1">
        <v>45360</v>
      </c>
      <c r="B69" s="2">
        <v>6</v>
      </c>
      <c r="C69" s="271"/>
      <c r="D69" s="298"/>
    </row>
    <row r="70" spans="1:4" x14ac:dyDescent="0.45">
      <c r="A70" s="1">
        <v>45361</v>
      </c>
      <c r="B70" s="2">
        <v>6</v>
      </c>
      <c r="C70" s="271"/>
      <c r="D70" s="298"/>
    </row>
    <row r="71" spans="1:4" x14ac:dyDescent="0.45">
      <c r="A71" s="1">
        <v>45362</v>
      </c>
      <c r="B71" s="2">
        <v>4</v>
      </c>
      <c r="C71" s="271"/>
      <c r="D71" s="298"/>
    </row>
    <row r="72" spans="1:4" x14ac:dyDescent="0.45">
      <c r="A72" s="1">
        <v>45363</v>
      </c>
      <c r="B72" s="2">
        <v>6</v>
      </c>
      <c r="C72" s="271"/>
      <c r="D72" s="298"/>
    </row>
    <row r="73" spans="1:4" x14ac:dyDescent="0.45">
      <c r="A73" s="1">
        <v>45364</v>
      </c>
      <c r="B73" s="2">
        <v>6</v>
      </c>
      <c r="C73" s="271"/>
      <c r="D73" s="298"/>
    </row>
    <row r="74" spans="1:4" x14ac:dyDescent="0.45">
      <c r="A74" s="1">
        <v>45365</v>
      </c>
      <c r="B74" s="2">
        <v>4</v>
      </c>
      <c r="C74" s="271"/>
      <c r="D74" s="298"/>
    </row>
    <row r="75" spans="1:4" x14ac:dyDescent="0.45">
      <c r="A75" s="1">
        <v>45366</v>
      </c>
      <c r="B75" s="2">
        <v>6</v>
      </c>
      <c r="C75" s="271"/>
      <c r="D75" s="298"/>
    </row>
    <row r="76" spans="1:4" x14ac:dyDescent="0.45">
      <c r="A76" s="1">
        <v>45367</v>
      </c>
      <c r="B76" s="2">
        <v>6</v>
      </c>
      <c r="C76" s="271"/>
      <c r="D76" s="298"/>
    </row>
    <row r="77" spans="1:4" x14ac:dyDescent="0.45">
      <c r="A77" s="1">
        <v>45368</v>
      </c>
      <c r="B77" s="2">
        <v>4</v>
      </c>
      <c r="C77" s="271"/>
      <c r="D77" s="298"/>
    </row>
    <row r="78" spans="1:4" x14ac:dyDescent="0.45">
      <c r="A78" s="1">
        <v>45369</v>
      </c>
      <c r="B78" s="2">
        <v>6</v>
      </c>
      <c r="C78" s="271"/>
      <c r="D78" s="298"/>
    </row>
    <row r="79" spans="1:4" x14ac:dyDescent="0.45">
      <c r="A79" s="1">
        <v>45370</v>
      </c>
      <c r="B79" s="2">
        <v>2</v>
      </c>
      <c r="C79" s="271"/>
      <c r="D79" s="298"/>
    </row>
    <row r="80" spans="1:4" x14ac:dyDescent="0.45">
      <c r="A80" s="1">
        <v>45371</v>
      </c>
      <c r="B80" s="2">
        <v>8</v>
      </c>
      <c r="C80" s="271"/>
      <c r="D80" s="298"/>
    </row>
    <row r="81" spans="1:4" x14ac:dyDescent="0.45">
      <c r="A81" s="1">
        <v>45372</v>
      </c>
      <c r="B81" s="2">
        <v>6</v>
      </c>
      <c r="C81" s="271"/>
      <c r="D81" s="298"/>
    </row>
    <row r="82" spans="1:4" x14ac:dyDescent="0.45">
      <c r="A82" s="1">
        <v>45373</v>
      </c>
      <c r="B82" s="2">
        <v>8</v>
      </c>
      <c r="C82" s="271"/>
      <c r="D82" s="298"/>
    </row>
    <row r="83" spans="1:4" x14ac:dyDescent="0.45">
      <c r="A83" s="1">
        <v>45374</v>
      </c>
      <c r="B83" s="2">
        <v>6</v>
      </c>
      <c r="C83" s="271"/>
      <c r="D83" s="298"/>
    </row>
    <row r="84" spans="1:4" x14ac:dyDescent="0.45">
      <c r="A84" s="1">
        <v>45375</v>
      </c>
      <c r="B84" s="2">
        <v>2</v>
      </c>
      <c r="C84" s="271"/>
      <c r="D84" s="298"/>
    </row>
    <row r="85" spans="1:4" x14ac:dyDescent="0.45">
      <c r="A85" s="1">
        <v>45376</v>
      </c>
      <c r="B85" s="2">
        <v>8</v>
      </c>
      <c r="C85" s="271"/>
      <c r="D85" s="298"/>
    </row>
    <row r="86" spans="1:4" x14ac:dyDescent="0.45">
      <c r="A86" s="1">
        <v>45377</v>
      </c>
      <c r="B86" s="2">
        <v>6</v>
      </c>
      <c r="C86" s="271"/>
      <c r="D86" s="298"/>
    </row>
    <row r="87" spans="1:4" x14ac:dyDescent="0.45">
      <c r="A87" s="1">
        <v>45378</v>
      </c>
      <c r="B87" s="2">
        <v>4</v>
      </c>
      <c r="C87" s="271"/>
      <c r="D87" s="298"/>
    </row>
    <row r="88" spans="1:4" x14ac:dyDescent="0.45">
      <c r="A88" s="1">
        <v>45379</v>
      </c>
      <c r="B88" s="2">
        <v>6</v>
      </c>
      <c r="C88" s="271"/>
      <c r="D88" s="298"/>
    </row>
    <row r="89" spans="1:4" x14ac:dyDescent="0.45">
      <c r="A89" s="1">
        <v>45380</v>
      </c>
      <c r="B89" s="2">
        <v>4</v>
      </c>
      <c r="C89" s="271"/>
      <c r="D89" s="298"/>
    </row>
    <row r="90" spans="1:4" x14ac:dyDescent="0.45">
      <c r="A90" s="1">
        <v>45381</v>
      </c>
      <c r="B90" s="2">
        <v>6</v>
      </c>
      <c r="C90" s="271"/>
      <c r="D90" s="298"/>
    </row>
    <row r="91" spans="1:4" x14ac:dyDescent="0.45">
      <c r="A91" s="1">
        <v>45382</v>
      </c>
      <c r="B91" s="2">
        <v>6</v>
      </c>
      <c r="C91" s="271"/>
      <c r="D91" s="298"/>
    </row>
    <row r="92" spans="1:4" x14ac:dyDescent="0.45">
      <c r="A92" s="1">
        <v>45383</v>
      </c>
      <c r="B92" s="2">
        <v>4</v>
      </c>
      <c r="C92" s="271">
        <f>AVERAGE(B92:B121)</f>
        <v>4.4666666666666668</v>
      </c>
      <c r="D92" s="298"/>
    </row>
    <row r="93" spans="1:4" x14ac:dyDescent="0.45">
      <c r="A93" s="1">
        <v>45384</v>
      </c>
      <c r="B93" s="2">
        <v>4</v>
      </c>
      <c r="C93" s="271"/>
      <c r="D93" s="298"/>
    </row>
    <row r="94" spans="1:4" x14ac:dyDescent="0.45">
      <c r="A94" s="1">
        <v>45385</v>
      </c>
      <c r="B94" s="2">
        <v>4</v>
      </c>
      <c r="C94" s="271"/>
      <c r="D94" s="298"/>
    </row>
    <row r="95" spans="1:4" x14ac:dyDescent="0.45">
      <c r="A95" s="1">
        <v>45386</v>
      </c>
      <c r="B95" s="2">
        <v>4</v>
      </c>
      <c r="C95" s="271"/>
      <c r="D95" s="298"/>
    </row>
    <row r="96" spans="1:4" x14ac:dyDescent="0.45">
      <c r="A96" s="1">
        <v>45387</v>
      </c>
      <c r="B96" s="2">
        <v>0</v>
      </c>
      <c r="C96" s="271"/>
      <c r="D96" s="298"/>
    </row>
    <row r="97" spans="1:10" x14ac:dyDescent="0.45">
      <c r="A97" s="1">
        <v>45388</v>
      </c>
      <c r="B97" s="2">
        <v>2</v>
      </c>
      <c r="C97" s="271"/>
      <c r="D97" s="298"/>
    </row>
    <row r="98" spans="1:10" x14ac:dyDescent="0.45">
      <c r="A98" s="1">
        <v>45389</v>
      </c>
      <c r="B98" s="2">
        <v>4</v>
      </c>
      <c r="C98" s="271"/>
      <c r="D98" s="298"/>
    </row>
    <row r="99" spans="1:10" x14ac:dyDescent="0.45">
      <c r="A99" s="1">
        <v>45390</v>
      </c>
      <c r="B99" s="2">
        <v>4</v>
      </c>
      <c r="C99" s="271"/>
      <c r="D99" s="298"/>
    </row>
    <row r="100" spans="1:10" x14ac:dyDescent="0.45">
      <c r="A100" s="1">
        <v>45391</v>
      </c>
      <c r="B100" s="2">
        <v>6</v>
      </c>
      <c r="C100" s="271"/>
      <c r="D100" s="298"/>
    </row>
    <row r="101" spans="1:10" x14ac:dyDescent="0.45">
      <c r="A101" s="1">
        <v>45392</v>
      </c>
      <c r="B101" s="2">
        <v>2</v>
      </c>
      <c r="C101" s="271"/>
      <c r="D101" s="298"/>
    </row>
    <row r="102" spans="1:10" x14ac:dyDescent="0.45">
      <c r="A102" s="1">
        <v>45393</v>
      </c>
      <c r="B102" s="2">
        <v>0</v>
      </c>
      <c r="C102" s="271"/>
      <c r="D102" s="298"/>
    </row>
    <row r="103" spans="1:10" x14ac:dyDescent="0.45">
      <c r="A103" s="1">
        <v>45394</v>
      </c>
      <c r="B103" s="2">
        <v>6</v>
      </c>
      <c r="C103" s="271"/>
      <c r="D103" s="298"/>
    </row>
    <row r="104" spans="1:10" x14ac:dyDescent="0.45">
      <c r="A104" s="1">
        <v>45395</v>
      </c>
      <c r="B104" s="2">
        <v>6</v>
      </c>
      <c r="C104" s="271"/>
      <c r="D104" s="298"/>
    </row>
    <row r="105" spans="1:10" x14ac:dyDescent="0.45">
      <c r="A105" s="1">
        <v>45396</v>
      </c>
      <c r="B105" s="2">
        <v>4</v>
      </c>
      <c r="C105" s="271"/>
      <c r="D105" s="298"/>
    </row>
    <row r="106" spans="1:10" x14ac:dyDescent="0.45">
      <c r="A106" s="1">
        <v>45397</v>
      </c>
      <c r="B106" s="2">
        <v>6</v>
      </c>
      <c r="C106" s="271"/>
      <c r="D106" s="298"/>
    </row>
    <row r="107" spans="1:10" x14ac:dyDescent="0.45">
      <c r="A107" s="1">
        <v>45398</v>
      </c>
      <c r="B107" s="2">
        <v>4</v>
      </c>
      <c r="C107" s="271"/>
      <c r="D107" s="298"/>
    </row>
    <row r="108" spans="1:10" x14ac:dyDescent="0.45">
      <c r="A108" s="1">
        <v>45399</v>
      </c>
      <c r="B108" s="2">
        <v>8</v>
      </c>
      <c r="C108" s="271"/>
      <c r="D108" s="298"/>
      <c r="J108" s="3" t="s">
        <v>22</v>
      </c>
    </row>
    <row r="109" spans="1:10" x14ac:dyDescent="0.45">
      <c r="A109" s="1">
        <v>45400</v>
      </c>
      <c r="B109" s="2">
        <v>6</v>
      </c>
      <c r="C109" s="271"/>
      <c r="D109" s="298"/>
    </row>
    <row r="110" spans="1:10" x14ac:dyDescent="0.45">
      <c r="A110" s="1">
        <v>45401</v>
      </c>
      <c r="B110" s="2">
        <v>6</v>
      </c>
      <c r="C110" s="271"/>
      <c r="D110" s="298"/>
    </row>
    <row r="111" spans="1:10" x14ac:dyDescent="0.45">
      <c r="A111" s="1">
        <v>45402</v>
      </c>
      <c r="B111" s="2">
        <v>4</v>
      </c>
      <c r="C111" s="271"/>
      <c r="D111" s="298"/>
    </row>
    <row r="112" spans="1:10" x14ac:dyDescent="0.45">
      <c r="A112" s="1">
        <v>45403</v>
      </c>
      <c r="B112" s="2">
        <v>6</v>
      </c>
      <c r="C112" s="271"/>
      <c r="D112" s="298"/>
    </row>
    <row r="113" spans="1:4" x14ac:dyDescent="0.45">
      <c r="A113" s="1">
        <v>45404</v>
      </c>
      <c r="B113" s="2">
        <v>6</v>
      </c>
      <c r="C113" s="271"/>
      <c r="D113" s="298"/>
    </row>
    <row r="114" spans="1:4" x14ac:dyDescent="0.45">
      <c r="A114" s="1">
        <v>45405</v>
      </c>
      <c r="B114" s="2">
        <v>4</v>
      </c>
      <c r="C114" s="271"/>
      <c r="D114" s="298"/>
    </row>
    <row r="115" spans="1:4" x14ac:dyDescent="0.45">
      <c r="A115" s="1">
        <v>45406</v>
      </c>
      <c r="B115" s="2">
        <v>6</v>
      </c>
      <c r="C115" s="271"/>
      <c r="D115" s="298"/>
    </row>
    <row r="116" spans="1:4" x14ac:dyDescent="0.45">
      <c r="A116" s="1">
        <v>45407</v>
      </c>
      <c r="B116" s="2">
        <v>4</v>
      </c>
      <c r="C116" s="271"/>
      <c r="D116" s="298"/>
    </row>
    <row r="117" spans="1:4" x14ac:dyDescent="0.45">
      <c r="A117" s="1">
        <v>45408</v>
      </c>
      <c r="B117" s="2">
        <v>4</v>
      </c>
      <c r="C117" s="271"/>
      <c r="D117" s="298"/>
    </row>
    <row r="118" spans="1:4" x14ac:dyDescent="0.45">
      <c r="A118" s="1">
        <v>45409</v>
      </c>
      <c r="B118" s="2">
        <v>4</v>
      </c>
      <c r="C118" s="271"/>
      <c r="D118" s="298"/>
    </row>
    <row r="119" spans="1:4" x14ac:dyDescent="0.45">
      <c r="A119" s="1">
        <v>45410</v>
      </c>
      <c r="B119" s="2">
        <v>4</v>
      </c>
      <c r="C119" s="271"/>
      <c r="D119" s="298"/>
    </row>
    <row r="120" spans="1:4" x14ac:dyDescent="0.45">
      <c r="A120" s="1">
        <v>45411</v>
      </c>
      <c r="B120" s="2">
        <v>6</v>
      </c>
      <c r="C120" s="271"/>
      <c r="D120" s="298"/>
    </row>
    <row r="121" spans="1:4" x14ac:dyDescent="0.45">
      <c r="A121" s="1">
        <v>45412</v>
      </c>
      <c r="B121" s="2">
        <v>6</v>
      </c>
      <c r="C121" s="271"/>
      <c r="D121" s="298"/>
    </row>
    <row r="122" spans="1:4" x14ac:dyDescent="0.45">
      <c r="A122" s="1">
        <v>45413</v>
      </c>
      <c r="B122" s="2">
        <v>8</v>
      </c>
      <c r="C122" s="299">
        <f>AVERAGE(B122:B152)</f>
        <v>6.129032258064516</v>
      </c>
      <c r="D122" s="298"/>
    </row>
    <row r="123" spans="1:4" x14ac:dyDescent="0.45">
      <c r="A123" s="1">
        <v>45414</v>
      </c>
      <c r="B123" s="2">
        <v>6</v>
      </c>
      <c r="C123" s="300"/>
      <c r="D123" s="298"/>
    </row>
    <row r="124" spans="1:4" x14ac:dyDescent="0.45">
      <c r="A124" s="1">
        <v>45415</v>
      </c>
      <c r="B124" s="2">
        <v>6</v>
      </c>
      <c r="C124" s="300"/>
      <c r="D124" s="298"/>
    </row>
    <row r="125" spans="1:4" x14ac:dyDescent="0.45">
      <c r="A125" s="1">
        <v>45416</v>
      </c>
      <c r="B125" s="2">
        <v>10</v>
      </c>
      <c r="C125" s="300"/>
      <c r="D125" s="298"/>
    </row>
    <row r="126" spans="1:4" x14ac:dyDescent="0.45">
      <c r="A126" s="1">
        <v>45417</v>
      </c>
      <c r="B126" s="2">
        <v>6</v>
      </c>
      <c r="C126" s="300"/>
      <c r="D126" s="298"/>
    </row>
    <row r="127" spans="1:4" x14ac:dyDescent="0.45">
      <c r="A127" s="1">
        <v>45418</v>
      </c>
      <c r="B127" s="2">
        <v>4</v>
      </c>
      <c r="C127" s="300"/>
      <c r="D127" s="298"/>
    </row>
    <row r="128" spans="1:4" x14ac:dyDescent="0.45">
      <c r="A128" s="1">
        <v>45419</v>
      </c>
      <c r="B128" s="2">
        <v>6</v>
      </c>
      <c r="C128" s="300"/>
      <c r="D128" s="298"/>
    </row>
    <row r="129" spans="1:4" x14ac:dyDescent="0.45">
      <c r="A129" s="1">
        <v>45420</v>
      </c>
      <c r="B129" s="2">
        <v>6</v>
      </c>
      <c r="C129" s="300"/>
      <c r="D129" s="298"/>
    </row>
    <row r="130" spans="1:4" x14ac:dyDescent="0.45">
      <c r="A130" s="1">
        <v>45421</v>
      </c>
      <c r="B130" s="2">
        <v>6</v>
      </c>
      <c r="C130" s="300"/>
      <c r="D130" s="298"/>
    </row>
    <row r="131" spans="1:4" x14ac:dyDescent="0.45">
      <c r="A131" s="1">
        <v>45422</v>
      </c>
      <c r="B131" s="2">
        <v>8</v>
      </c>
      <c r="C131" s="300"/>
      <c r="D131" s="298"/>
    </row>
    <row r="132" spans="1:4" x14ac:dyDescent="0.45">
      <c r="A132" s="1">
        <v>45423</v>
      </c>
      <c r="B132" s="2">
        <v>8</v>
      </c>
      <c r="C132" s="300"/>
      <c r="D132" s="298"/>
    </row>
    <row r="133" spans="1:4" x14ac:dyDescent="0.45">
      <c r="A133" s="1">
        <v>45424</v>
      </c>
      <c r="B133" s="2">
        <v>6</v>
      </c>
      <c r="C133" s="300"/>
      <c r="D133" s="298"/>
    </row>
    <row r="134" spans="1:4" x14ac:dyDescent="0.45">
      <c r="A134" s="1">
        <v>45425</v>
      </c>
      <c r="B134" s="2">
        <v>6</v>
      </c>
      <c r="C134" s="300"/>
      <c r="D134" s="298"/>
    </row>
    <row r="135" spans="1:4" x14ac:dyDescent="0.45">
      <c r="A135" s="1">
        <v>45426</v>
      </c>
      <c r="B135" s="2">
        <v>6</v>
      </c>
      <c r="C135" s="300"/>
      <c r="D135" s="298"/>
    </row>
    <row r="136" spans="1:4" x14ac:dyDescent="0.45">
      <c r="A136" s="1">
        <v>45427</v>
      </c>
      <c r="B136" s="2">
        <v>6</v>
      </c>
      <c r="C136" s="300"/>
      <c r="D136" s="298"/>
    </row>
    <row r="137" spans="1:4" x14ac:dyDescent="0.45">
      <c r="A137" s="1">
        <v>45428</v>
      </c>
      <c r="B137" s="2">
        <v>4</v>
      </c>
      <c r="C137" s="300"/>
      <c r="D137" s="298"/>
    </row>
    <row r="138" spans="1:4" x14ac:dyDescent="0.45">
      <c r="A138" s="1">
        <v>45429</v>
      </c>
      <c r="B138" s="2">
        <v>4</v>
      </c>
      <c r="C138" s="300"/>
      <c r="D138" s="298"/>
    </row>
    <row r="139" spans="1:4" x14ac:dyDescent="0.45">
      <c r="A139" s="1">
        <v>45430</v>
      </c>
      <c r="B139" s="2">
        <v>6</v>
      </c>
      <c r="C139" s="300"/>
      <c r="D139" s="298"/>
    </row>
    <row r="140" spans="1:4" x14ac:dyDescent="0.45">
      <c r="A140" s="1">
        <v>45431</v>
      </c>
      <c r="B140" s="2">
        <v>4</v>
      </c>
      <c r="C140" s="300"/>
      <c r="D140" s="298"/>
    </row>
    <row r="141" spans="1:4" x14ac:dyDescent="0.45">
      <c r="A141" s="1">
        <v>45432</v>
      </c>
      <c r="B141" s="2">
        <v>4</v>
      </c>
      <c r="C141" s="300"/>
      <c r="D141" s="298"/>
    </row>
    <row r="142" spans="1:4" x14ac:dyDescent="0.45">
      <c r="A142" s="1">
        <v>45433</v>
      </c>
      <c r="B142" s="2">
        <v>6</v>
      </c>
      <c r="C142" s="300"/>
      <c r="D142" s="298"/>
    </row>
    <row r="143" spans="1:4" x14ac:dyDescent="0.45">
      <c r="A143" s="1">
        <v>45434</v>
      </c>
      <c r="B143" s="2">
        <v>6</v>
      </c>
      <c r="C143" s="300"/>
      <c r="D143" s="298"/>
    </row>
    <row r="144" spans="1:4" x14ac:dyDescent="0.45">
      <c r="A144" s="1">
        <v>45435</v>
      </c>
      <c r="B144" s="2">
        <v>8</v>
      </c>
      <c r="C144" s="300"/>
      <c r="D144" s="298"/>
    </row>
    <row r="145" spans="1:4" x14ac:dyDescent="0.45">
      <c r="A145" s="1">
        <v>45436</v>
      </c>
      <c r="B145" s="2">
        <v>8</v>
      </c>
      <c r="C145" s="300"/>
      <c r="D145" s="298"/>
    </row>
    <row r="146" spans="1:4" x14ac:dyDescent="0.45">
      <c r="A146" s="1">
        <v>45437</v>
      </c>
      <c r="B146" s="2">
        <v>8</v>
      </c>
      <c r="C146" s="300"/>
      <c r="D146" s="298"/>
    </row>
    <row r="147" spans="1:4" x14ac:dyDescent="0.45">
      <c r="A147" s="1">
        <v>45438</v>
      </c>
      <c r="B147" s="2">
        <v>6</v>
      </c>
      <c r="C147" s="300"/>
      <c r="D147" s="298"/>
    </row>
    <row r="148" spans="1:4" x14ac:dyDescent="0.45">
      <c r="A148" s="1">
        <v>45439</v>
      </c>
      <c r="B148" s="2">
        <v>4</v>
      </c>
      <c r="C148" s="300"/>
      <c r="D148" s="298"/>
    </row>
    <row r="149" spans="1:4" x14ac:dyDescent="0.45">
      <c r="A149" s="1">
        <v>45440</v>
      </c>
      <c r="B149" s="2">
        <v>6</v>
      </c>
      <c r="C149" s="300"/>
      <c r="D149" s="298"/>
    </row>
    <row r="150" spans="1:4" x14ac:dyDescent="0.45">
      <c r="A150" s="1">
        <v>45441</v>
      </c>
      <c r="B150" s="2">
        <v>6</v>
      </c>
      <c r="C150" s="300"/>
      <c r="D150" s="298"/>
    </row>
    <row r="151" spans="1:4" x14ac:dyDescent="0.45">
      <c r="A151" s="1">
        <v>45442</v>
      </c>
      <c r="B151" s="2">
        <v>6</v>
      </c>
      <c r="C151" s="300"/>
      <c r="D151" s="298"/>
    </row>
    <row r="152" spans="1:4" x14ac:dyDescent="0.45">
      <c r="A152" s="1">
        <v>45443</v>
      </c>
      <c r="B152" s="2">
        <v>6</v>
      </c>
      <c r="C152" s="273"/>
      <c r="D152" s="298"/>
    </row>
    <row r="153" spans="1:4" x14ac:dyDescent="0.45">
      <c r="A153" s="1">
        <v>45444</v>
      </c>
      <c r="B153" s="2">
        <v>6</v>
      </c>
      <c r="C153" s="299">
        <f>AVERAGE(B153:B182)</f>
        <v>5.333333333333333</v>
      </c>
      <c r="D153" s="298"/>
    </row>
    <row r="154" spans="1:4" x14ac:dyDescent="0.45">
      <c r="A154" s="1">
        <v>45445</v>
      </c>
      <c r="B154" s="2">
        <v>6</v>
      </c>
      <c r="C154" s="300"/>
      <c r="D154" s="298"/>
    </row>
    <row r="155" spans="1:4" x14ac:dyDescent="0.45">
      <c r="A155" s="1">
        <v>45446</v>
      </c>
      <c r="B155" s="2">
        <v>4</v>
      </c>
      <c r="C155" s="300"/>
      <c r="D155" s="298"/>
    </row>
    <row r="156" spans="1:4" x14ac:dyDescent="0.45">
      <c r="A156" s="1">
        <v>45447</v>
      </c>
      <c r="B156" s="2">
        <v>8</v>
      </c>
      <c r="C156" s="300"/>
      <c r="D156" s="298"/>
    </row>
    <row r="157" spans="1:4" x14ac:dyDescent="0.45">
      <c r="A157" s="1">
        <v>45448</v>
      </c>
      <c r="B157" s="2">
        <v>10</v>
      </c>
      <c r="C157" s="300"/>
      <c r="D157" s="298"/>
    </row>
    <row r="158" spans="1:4" x14ac:dyDescent="0.45">
      <c r="A158" s="1">
        <v>45449</v>
      </c>
      <c r="B158" s="2">
        <v>6</v>
      </c>
      <c r="C158" s="300"/>
      <c r="D158" s="298"/>
    </row>
    <row r="159" spans="1:4" x14ac:dyDescent="0.45">
      <c r="A159" s="1">
        <v>45450</v>
      </c>
      <c r="B159" s="2">
        <v>4</v>
      </c>
      <c r="C159" s="300"/>
      <c r="D159" s="298"/>
    </row>
    <row r="160" spans="1:4" x14ac:dyDescent="0.45">
      <c r="A160" s="1">
        <v>45451</v>
      </c>
      <c r="B160" s="2">
        <v>6</v>
      </c>
      <c r="C160" s="300"/>
      <c r="D160" s="298"/>
    </row>
    <row r="161" spans="1:4" x14ac:dyDescent="0.45">
      <c r="A161" s="1">
        <v>45452</v>
      </c>
      <c r="B161" s="2">
        <v>6</v>
      </c>
      <c r="C161" s="300"/>
      <c r="D161" s="298"/>
    </row>
    <row r="162" spans="1:4" x14ac:dyDescent="0.45">
      <c r="A162" s="1">
        <v>45453</v>
      </c>
      <c r="B162" s="2">
        <v>6</v>
      </c>
      <c r="C162" s="300"/>
      <c r="D162" s="298"/>
    </row>
    <row r="163" spans="1:4" x14ac:dyDescent="0.45">
      <c r="A163" s="1">
        <v>45454</v>
      </c>
      <c r="B163" s="2">
        <v>0</v>
      </c>
      <c r="C163" s="300"/>
      <c r="D163" s="298"/>
    </row>
    <row r="164" spans="1:4" x14ac:dyDescent="0.45">
      <c r="A164" s="1">
        <v>45455</v>
      </c>
      <c r="B164" s="2">
        <v>4</v>
      </c>
      <c r="C164" s="300"/>
      <c r="D164" s="298"/>
    </row>
    <row r="165" spans="1:4" x14ac:dyDescent="0.45">
      <c r="A165" s="1">
        <v>45456</v>
      </c>
      <c r="B165" s="2">
        <v>4</v>
      </c>
      <c r="C165" s="300"/>
      <c r="D165" s="298"/>
    </row>
    <row r="166" spans="1:4" x14ac:dyDescent="0.45">
      <c r="A166" s="1">
        <v>45457</v>
      </c>
      <c r="B166" s="2">
        <v>4</v>
      </c>
      <c r="C166" s="300"/>
      <c r="D166" s="298"/>
    </row>
    <row r="167" spans="1:4" x14ac:dyDescent="0.45">
      <c r="A167" s="1">
        <v>45458</v>
      </c>
      <c r="B167" s="2">
        <v>6</v>
      </c>
      <c r="C167" s="300"/>
      <c r="D167" s="298"/>
    </row>
    <row r="168" spans="1:4" x14ac:dyDescent="0.45">
      <c r="A168" s="1">
        <v>45459</v>
      </c>
      <c r="B168" s="2">
        <v>6</v>
      </c>
      <c r="C168" s="300"/>
      <c r="D168" s="298"/>
    </row>
    <row r="169" spans="1:4" x14ac:dyDescent="0.45">
      <c r="A169" s="1">
        <v>45460</v>
      </c>
      <c r="B169" s="2">
        <v>4</v>
      </c>
      <c r="C169" s="300"/>
      <c r="D169" s="298"/>
    </row>
    <row r="170" spans="1:4" x14ac:dyDescent="0.45">
      <c r="A170" s="1">
        <v>45461</v>
      </c>
      <c r="B170" s="2">
        <v>4</v>
      </c>
      <c r="C170" s="300"/>
      <c r="D170" s="298"/>
    </row>
    <row r="171" spans="1:4" x14ac:dyDescent="0.45">
      <c r="A171" s="1">
        <v>45462</v>
      </c>
      <c r="B171" s="2">
        <v>10</v>
      </c>
      <c r="C171" s="300"/>
      <c r="D171" s="298"/>
    </row>
    <row r="172" spans="1:4" x14ac:dyDescent="0.45">
      <c r="A172" s="1">
        <v>45463</v>
      </c>
      <c r="B172" s="2">
        <v>2</v>
      </c>
      <c r="C172" s="300"/>
      <c r="D172" s="298"/>
    </row>
    <row r="173" spans="1:4" x14ac:dyDescent="0.45">
      <c r="A173" s="1">
        <v>45464</v>
      </c>
      <c r="B173" s="2">
        <v>2</v>
      </c>
      <c r="C173" s="300"/>
      <c r="D173" s="298"/>
    </row>
    <row r="174" spans="1:4" x14ac:dyDescent="0.45">
      <c r="A174" s="1">
        <v>45465</v>
      </c>
      <c r="B174" s="2">
        <v>4</v>
      </c>
      <c r="C174" s="300"/>
      <c r="D174" s="298"/>
    </row>
    <row r="175" spans="1:4" x14ac:dyDescent="0.45">
      <c r="A175" s="1">
        <v>45466</v>
      </c>
      <c r="B175" s="2">
        <v>4</v>
      </c>
      <c r="C175" s="300"/>
      <c r="D175" s="298"/>
    </row>
    <row r="176" spans="1:4" x14ac:dyDescent="0.45">
      <c r="A176" s="1">
        <v>45467</v>
      </c>
      <c r="B176" s="2">
        <v>6</v>
      </c>
      <c r="C176" s="300"/>
      <c r="D176" s="298"/>
    </row>
    <row r="177" spans="1:4" x14ac:dyDescent="0.45">
      <c r="A177" s="1">
        <v>45468</v>
      </c>
      <c r="B177" s="2">
        <v>4</v>
      </c>
      <c r="C177" s="300"/>
      <c r="D177" s="298"/>
    </row>
    <row r="178" spans="1:4" x14ac:dyDescent="0.45">
      <c r="A178" s="1">
        <v>45469</v>
      </c>
      <c r="B178" s="2">
        <v>4</v>
      </c>
      <c r="C178" s="300"/>
      <c r="D178" s="298"/>
    </row>
    <row r="179" spans="1:4" x14ac:dyDescent="0.45">
      <c r="A179" s="1">
        <v>45470</v>
      </c>
      <c r="B179" s="2">
        <v>6</v>
      </c>
      <c r="C179" s="300"/>
      <c r="D179" s="298"/>
    </row>
    <row r="180" spans="1:4" x14ac:dyDescent="0.45">
      <c r="A180" s="1">
        <v>45471</v>
      </c>
      <c r="B180" s="2">
        <v>10</v>
      </c>
      <c r="C180" s="300"/>
      <c r="D180" s="298"/>
    </row>
    <row r="181" spans="1:4" x14ac:dyDescent="0.45">
      <c r="A181" s="1">
        <v>45472</v>
      </c>
      <c r="B181" s="2">
        <v>8</v>
      </c>
      <c r="C181" s="300"/>
      <c r="D181" s="298"/>
    </row>
    <row r="182" spans="1:4" x14ac:dyDescent="0.45">
      <c r="A182" s="1">
        <v>45473</v>
      </c>
      <c r="B182" s="2">
        <v>6</v>
      </c>
      <c r="C182" s="273"/>
      <c r="D182" s="298"/>
    </row>
    <row r="183" spans="1:4" x14ac:dyDescent="0.45">
      <c r="A183" s="1">
        <v>45474</v>
      </c>
      <c r="B183" s="2">
        <v>6</v>
      </c>
      <c r="C183" s="299">
        <f>AVERAGE(B183:B213)</f>
        <v>5.032258064516129</v>
      </c>
      <c r="D183" s="298"/>
    </row>
    <row r="184" spans="1:4" x14ac:dyDescent="0.45">
      <c r="A184" s="1">
        <v>45475</v>
      </c>
      <c r="B184" s="2">
        <v>4</v>
      </c>
      <c r="C184" s="300"/>
      <c r="D184" s="298"/>
    </row>
    <row r="185" spans="1:4" x14ac:dyDescent="0.45">
      <c r="A185" s="1">
        <v>45476</v>
      </c>
      <c r="B185" s="2">
        <v>2</v>
      </c>
      <c r="C185" s="300"/>
      <c r="D185" s="298"/>
    </row>
    <row r="186" spans="1:4" x14ac:dyDescent="0.45">
      <c r="A186" s="1">
        <v>45477</v>
      </c>
      <c r="B186" s="2">
        <v>4</v>
      </c>
      <c r="C186" s="300"/>
      <c r="D186" s="298"/>
    </row>
    <row r="187" spans="1:4" x14ac:dyDescent="0.45">
      <c r="A187" s="1">
        <v>45478</v>
      </c>
      <c r="B187" s="2">
        <v>4</v>
      </c>
      <c r="C187" s="300"/>
      <c r="D187" s="298"/>
    </row>
    <row r="188" spans="1:4" x14ac:dyDescent="0.45">
      <c r="A188" s="1">
        <v>45479</v>
      </c>
      <c r="B188" s="2">
        <v>10</v>
      </c>
      <c r="C188" s="300"/>
      <c r="D188" s="298"/>
    </row>
    <row r="189" spans="1:4" x14ac:dyDescent="0.45">
      <c r="A189" s="1">
        <v>45480</v>
      </c>
      <c r="B189" s="2">
        <v>6</v>
      </c>
      <c r="C189" s="300"/>
      <c r="D189" s="298"/>
    </row>
    <row r="190" spans="1:4" x14ac:dyDescent="0.45">
      <c r="A190" s="1">
        <v>45481</v>
      </c>
      <c r="B190" s="2">
        <v>4</v>
      </c>
      <c r="C190" s="300"/>
      <c r="D190" s="298"/>
    </row>
    <row r="191" spans="1:4" x14ac:dyDescent="0.45">
      <c r="A191" s="1">
        <v>45482</v>
      </c>
      <c r="B191" s="2">
        <v>4</v>
      </c>
      <c r="C191" s="300"/>
      <c r="D191" s="298"/>
    </row>
    <row r="192" spans="1:4" x14ac:dyDescent="0.45">
      <c r="A192" s="1">
        <v>45483</v>
      </c>
      <c r="B192" s="2">
        <v>4</v>
      </c>
      <c r="C192" s="300"/>
      <c r="D192" s="298"/>
    </row>
    <row r="193" spans="1:4" x14ac:dyDescent="0.45">
      <c r="A193" s="1">
        <v>45484</v>
      </c>
      <c r="B193" s="2">
        <v>6</v>
      </c>
      <c r="C193" s="300"/>
      <c r="D193" s="298"/>
    </row>
    <row r="194" spans="1:4" x14ac:dyDescent="0.45">
      <c r="A194" s="1">
        <v>45485</v>
      </c>
      <c r="B194" s="2">
        <v>4</v>
      </c>
      <c r="C194" s="300"/>
      <c r="D194" s="298"/>
    </row>
    <row r="195" spans="1:4" x14ac:dyDescent="0.45">
      <c r="A195" s="1">
        <v>45486</v>
      </c>
      <c r="B195" s="2">
        <v>10</v>
      </c>
      <c r="C195" s="300"/>
      <c r="D195" s="298"/>
    </row>
    <row r="196" spans="1:4" x14ac:dyDescent="0.45">
      <c r="A196" s="1">
        <v>45487</v>
      </c>
      <c r="B196" s="2">
        <v>6</v>
      </c>
      <c r="C196" s="300"/>
      <c r="D196" s="298"/>
    </row>
    <row r="197" spans="1:4" x14ac:dyDescent="0.45">
      <c r="A197" s="1">
        <v>45488</v>
      </c>
      <c r="B197" s="2">
        <v>4</v>
      </c>
      <c r="C197" s="300"/>
      <c r="D197" s="298"/>
    </row>
    <row r="198" spans="1:4" x14ac:dyDescent="0.45">
      <c r="A198" s="1">
        <v>45489</v>
      </c>
      <c r="B198" s="2">
        <v>4</v>
      </c>
      <c r="C198" s="300"/>
      <c r="D198" s="298"/>
    </row>
    <row r="199" spans="1:4" x14ac:dyDescent="0.45">
      <c r="A199" s="1">
        <v>45490</v>
      </c>
      <c r="B199" s="2">
        <v>6</v>
      </c>
      <c r="C199" s="300"/>
      <c r="D199" s="298"/>
    </row>
    <row r="200" spans="1:4" x14ac:dyDescent="0.45">
      <c r="A200" s="1">
        <v>45491</v>
      </c>
      <c r="B200" s="2">
        <v>4</v>
      </c>
      <c r="C200" s="300"/>
      <c r="D200" s="298"/>
    </row>
    <row r="201" spans="1:4" x14ac:dyDescent="0.45">
      <c r="A201" s="1">
        <v>45492</v>
      </c>
      <c r="B201" s="2">
        <v>2</v>
      </c>
      <c r="C201" s="300"/>
      <c r="D201" s="298"/>
    </row>
    <row r="202" spans="1:4" x14ac:dyDescent="0.45">
      <c r="A202" s="1">
        <v>45493</v>
      </c>
      <c r="B202" s="2">
        <v>8</v>
      </c>
      <c r="C202" s="300"/>
      <c r="D202" s="298"/>
    </row>
    <row r="203" spans="1:4" x14ac:dyDescent="0.45">
      <c r="A203" s="1">
        <v>45494</v>
      </c>
      <c r="B203" s="2">
        <v>6</v>
      </c>
      <c r="C203" s="300"/>
      <c r="D203" s="298"/>
    </row>
    <row r="204" spans="1:4" x14ac:dyDescent="0.45">
      <c r="A204" s="1">
        <v>45495</v>
      </c>
      <c r="B204" s="2">
        <v>4</v>
      </c>
      <c r="C204" s="300"/>
      <c r="D204" s="298"/>
    </row>
    <row r="205" spans="1:4" x14ac:dyDescent="0.45">
      <c r="A205" s="1">
        <v>45496</v>
      </c>
      <c r="B205" s="2">
        <v>4</v>
      </c>
      <c r="C205" s="300"/>
      <c r="D205" s="298"/>
    </row>
    <row r="206" spans="1:4" x14ac:dyDescent="0.45">
      <c r="A206" s="1">
        <v>45497</v>
      </c>
      <c r="B206" s="2">
        <v>2</v>
      </c>
      <c r="C206" s="300"/>
      <c r="D206" s="298"/>
    </row>
    <row r="207" spans="1:4" x14ac:dyDescent="0.45">
      <c r="A207" s="1">
        <v>45498</v>
      </c>
      <c r="B207" s="2">
        <v>4</v>
      </c>
      <c r="C207" s="300"/>
      <c r="D207" s="298"/>
    </row>
    <row r="208" spans="1:4" x14ac:dyDescent="0.45">
      <c r="A208" s="1">
        <v>45499</v>
      </c>
      <c r="B208" s="2">
        <v>4</v>
      </c>
      <c r="C208" s="300"/>
      <c r="D208" s="298"/>
    </row>
    <row r="209" spans="1:4" x14ac:dyDescent="0.45">
      <c r="A209" s="1">
        <v>45500</v>
      </c>
      <c r="B209" s="2">
        <v>6</v>
      </c>
      <c r="C209" s="300"/>
      <c r="D209" s="298"/>
    </row>
    <row r="210" spans="1:4" x14ac:dyDescent="0.45">
      <c r="A210" s="1">
        <v>45501</v>
      </c>
      <c r="B210" s="2">
        <v>6</v>
      </c>
      <c r="C210" s="300"/>
      <c r="D210" s="298"/>
    </row>
    <row r="211" spans="1:4" x14ac:dyDescent="0.45">
      <c r="A211" s="1">
        <v>45502</v>
      </c>
      <c r="B211" s="2">
        <v>6</v>
      </c>
      <c r="C211" s="300"/>
      <c r="D211" s="298"/>
    </row>
    <row r="212" spans="1:4" x14ac:dyDescent="0.45">
      <c r="A212" s="1">
        <v>45503</v>
      </c>
      <c r="B212" s="2">
        <v>6</v>
      </c>
      <c r="C212" s="300"/>
      <c r="D212" s="298"/>
    </row>
    <row r="213" spans="1:4" x14ac:dyDescent="0.45">
      <c r="A213" s="1">
        <v>45504</v>
      </c>
      <c r="B213" s="2">
        <v>6</v>
      </c>
      <c r="C213" s="273"/>
      <c r="D213" s="298"/>
    </row>
    <row r="214" spans="1:4" x14ac:dyDescent="0.45">
      <c r="A214" s="1">
        <v>45505</v>
      </c>
      <c r="B214" s="2">
        <v>6</v>
      </c>
      <c r="C214" s="299">
        <f>AVERAGE(B214:B244)</f>
        <v>4.967741935483871</v>
      </c>
      <c r="D214" s="298"/>
    </row>
    <row r="215" spans="1:4" x14ac:dyDescent="0.45">
      <c r="A215" s="1">
        <v>45506</v>
      </c>
      <c r="B215" s="2">
        <v>6</v>
      </c>
      <c r="C215" s="300"/>
      <c r="D215" s="298"/>
    </row>
    <row r="216" spans="1:4" x14ac:dyDescent="0.45">
      <c r="A216" s="1">
        <v>45507</v>
      </c>
      <c r="B216" s="2">
        <v>6</v>
      </c>
      <c r="C216" s="300"/>
      <c r="D216" s="298"/>
    </row>
    <row r="217" spans="1:4" x14ac:dyDescent="0.45">
      <c r="A217" s="1">
        <v>45508</v>
      </c>
      <c r="B217" s="2">
        <v>8</v>
      </c>
      <c r="C217" s="300"/>
      <c r="D217" s="298"/>
    </row>
    <row r="218" spans="1:4" x14ac:dyDescent="0.45">
      <c r="A218" s="1">
        <v>45509</v>
      </c>
      <c r="B218" s="2">
        <v>4</v>
      </c>
      <c r="C218" s="300"/>
      <c r="D218" s="298"/>
    </row>
    <row r="219" spans="1:4" x14ac:dyDescent="0.45">
      <c r="A219" s="1">
        <v>45510</v>
      </c>
      <c r="B219" s="2">
        <v>4</v>
      </c>
      <c r="C219" s="300"/>
      <c r="D219" s="298"/>
    </row>
    <row r="220" spans="1:4" x14ac:dyDescent="0.45">
      <c r="A220" s="1">
        <v>45511</v>
      </c>
      <c r="B220" s="2">
        <v>6</v>
      </c>
      <c r="C220" s="300"/>
      <c r="D220" s="298"/>
    </row>
    <row r="221" spans="1:4" x14ac:dyDescent="0.45">
      <c r="A221" s="1">
        <v>45512</v>
      </c>
      <c r="B221" s="2">
        <v>4</v>
      </c>
      <c r="C221" s="300"/>
      <c r="D221" s="298"/>
    </row>
    <row r="222" spans="1:4" x14ac:dyDescent="0.45">
      <c r="A222" s="1">
        <v>45513</v>
      </c>
      <c r="B222" s="2">
        <v>6</v>
      </c>
      <c r="C222" s="300"/>
      <c r="D222" s="298"/>
    </row>
    <row r="223" spans="1:4" x14ac:dyDescent="0.45">
      <c r="A223" s="1">
        <v>45514</v>
      </c>
      <c r="B223" s="2">
        <v>6</v>
      </c>
      <c r="C223" s="300"/>
      <c r="D223" s="298"/>
    </row>
    <row r="224" spans="1:4" x14ac:dyDescent="0.45">
      <c r="A224" s="1">
        <v>45515</v>
      </c>
      <c r="B224" s="2">
        <v>6</v>
      </c>
      <c r="C224" s="300"/>
      <c r="D224" s="298"/>
    </row>
    <row r="225" spans="1:4" x14ac:dyDescent="0.45">
      <c r="A225" s="1">
        <v>45516</v>
      </c>
      <c r="B225" s="2">
        <v>6</v>
      </c>
      <c r="C225" s="300"/>
      <c r="D225" s="298"/>
    </row>
    <row r="226" spans="1:4" x14ac:dyDescent="0.45">
      <c r="A226" s="1">
        <v>45517</v>
      </c>
      <c r="B226" s="2">
        <v>4</v>
      </c>
      <c r="C226" s="300"/>
      <c r="D226" s="298"/>
    </row>
    <row r="227" spans="1:4" x14ac:dyDescent="0.45">
      <c r="A227" s="1">
        <v>45518</v>
      </c>
      <c r="B227" s="2">
        <v>2</v>
      </c>
      <c r="C227" s="300"/>
      <c r="D227" s="298"/>
    </row>
    <row r="228" spans="1:4" x14ac:dyDescent="0.45">
      <c r="A228" s="1">
        <v>45519</v>
      </c>
      <c r="B228" s="2">
        <v>2</v>
      </c>
      <c r="C228" s="300"/>
      <c r="D228" s="298"/>
    </row>
    <row r="229" spans="1:4" x14ac:dyDescent="0.45">
      <c r="A229" s="1">
        <v>45520</v>
      </c>
      <c r="B229" s="2">
        <v>4</v>
      </c>
      <c r="C229" s="300"/>
      <c r="D229" s="298"/>
    </row>
    <row r="230" spans="1:4" x14ac:dyDescent="0.45">
      <c r="A230" s="1">
        <v>45521</v>
      </c>
      <c r="B230" s="2">
        <v>6</v>
      </c>
      <c r="C230" s="300"/>
      <c r="D230" s="298"/>
    </row>
    <row r="231" spans="1:4" x14ac:dyDescent="0.45">
      <c r="A231" s="1">
        <v>45522</v>
      </c>
      <c r="B231" s="2">
        <v>8</v>
      </c>
      <c r="C231" s="300"/>
      <c r="D231" s="298"/>
    </row>
    <row r="232" spans="1:4" x14ac:dyDescent="0.45">
      <c r="A232" s="1">
        <v>45523</v>
      </c>
      <c r="B232" s="2">
        <v>4</v>
      </c>
      <c r="C232" s="300"/>
      <c r="D232" s="298"/>
    </row>
    <row r="233" spans="1:4" x14ac:dyDescent="0.45">
      <c r="A233" s="1">
        <v>45524</v>
      </c>
      <c r="B233" s="2">
        <v>4</v>
      </c>
      <c r="C233" s="300"/>
      <c r="D233" s="298"/>
    </row>
    <row r="234" spans="1:4" x14ac:dyDescent="0.45">
      <c r="A234" s="1">
        <v>45525</v>
      </c>
      <c r="B234" s="2">
        <v>4</v>
      </c>
      <c r="C234" s="300"/>
      <c r="D234" s="298"/>
    </row>
    <row r="235" spans="1:4" x14ac:dyDescent="0.45">
      <c r="A235" s="1">
        <v>45526</v>
      </c>
      <c r="B235" s="2">
        <v>4</v>
      </c>
      <c r="C235" s="300"/>
      <c r="D235" s="298"/>
    </row>
    <row r="236" spans="1:4" x14ac:dyDescent="0.45">
      <c r="A236" s="1">
        <v>45527</v>
      </c>
      <c r="B236" s="2">
        <v>6</v>
      </c>
      <c r="C236" s="300"/>
      <c r="D236" s="298"/>
    </row>
    <row r="237" spans="1:4" x14ac:dyDescent="0.45">
      <c r="A237" s="1">
        <v>45528</v>
      </c>
      <c r="B237" s="2">
        <v>4</v>
      </c>
      <c r="C237" s="300"/>
      <c r="D237" s="298"/>
    </row>
    <row r="238" spans="1:4" x14ac:dyDescent="0.45">
      <c r="A238" s="1">
        <v>45529</v>
      </c>
      <c r="B238" s="2">
        <v>4</v>
      </c>
      <c r="C238" s="300"/>
      <c r="D238" s="298"/>
    </row>
    <row r="239" spans="1:4" x14ac:dyDescent="0.45">
      <c r="A239" s="1">
        <v>45530</v>
      </c>
      <c r="B239" s="2">
        <v>6</v>
      </c>
      <c r="C239" s="300"/>
      <c r="D239" s="298"/>
    </row>
    <row r="240" spans="1:4" x14ac:dyDescent="0.45">
      <c r="A240" s="1">
        <v>45531</v>
      </c>
      <c r="B240" s="2">
        <v>2</v>
      </c>
      <c r="C240" s="300"/>
      <c r="D240" s="298"/>
    </row>
    <row r="241" spans="1:4" x14ac:dyDescent="0.45">
      <c r="A241" s="1">
        <v>45532</v>
      </c>
      <c r="B241" s="2">
        <v>6</v>
      </c>
      <c r="C241" s="300"/>
      <c r="D241" s="298"/>
    </row>
    <row r="242" spans="1:4" x14ac:dyDescent="0.45">
      <c r="A242" s="1">
        <v>45533</v>
      </c>
      <c r="B242" s="2">
        <v>6</v>
      </c>
      <c r="C242" s="300"/>
      <c r="D242" s="298"/>
    </row>
    <row r="243" spans="1:4" x14ac:dyDescent="0.45">
      <c r="A243" s="1">
        <v>45534</v>
      </c>
      <c r="B243" s="2">
        <v>4</v>
      </c>
      <c r="C243" s="300"/>
      <c r="D243" s="298"/>
    </row>
    <row r="244" spans="1:4" x14ac:dyDescent="0.45">
      <c r="A244" s="1">
        <v>45535</v>
      </c>
      <c r="B244" s="2">
        <v>6</v>
      </c>
      <c r="C244" s="273"/>
      <c r="D244" s="298"/>
    </row>
    <row r="245" spans="1:4" x14ac:dyDescent="0.45">
      <c r="A245" s="1">
        <v>45536</v>
      </c>
      <c r="B245" s="2">
        <v>4</v>
      </c>
      <c r="C245" s="299">
        <f>AVERAGE(B245:B274)</f>
        <v>5.2666666666666666</v>
      </c>
      <c r="D245" s="298"/>
    </row>
    <row r="246" spans="1:4" x14ac:dyDescent="0.45">
      <c r="A246" s="1">
        <v>45537</v>
      </c>
      <c r="B246" s="2">
        <v>4</v>
      </c>
      <c r="C246" s="300"/>
      <c r="D246" s="298"/>
    </row>
    <row r="247" spans="1:4" x14ac:dyDescent="0.45">
      <c r="A247" s="1">
        <v>45538</v>
      </c>
      <c r="B247" s="2">
        <v>6</v>
      </c>
      <c r="C247" s="300"/>
      <c r="D247" s="298"/>
    </row>
    <row r="248" spans="1:4" x14ac:dyDescent="0.45">
      <c r="A248" s="1">
        <v>45539</v>
      </c>
      <c r="B248" s="2">
        <v>4</v>
      </c>
      <c r="C248" s="300"/>
      <c r="D248" s="298"/>
    </row>
    <row r="249" spans="1:4" x14ac:dyDescent="0.45">
      <c r="A249" s="1">
        <v>45540</v>
      </c>
      <c r="B249" s="2">
        <v>6</v>
      </c>
      <c r="C249" s="300"/>
      <c r="D249" s="298"/>
    </row>
    <row r="250" spans="1:4" x14ac:dyDescent="0.45">
      <c r="A250" s="1">
        <v>45541</v>
      </c>
      <c r="B250" s="2">
        <v>4</v>
      </c>
      <c r="C250" s="300"/>
      <c r="D250" s="298"/>
    </row>
    <row r="251" spans="1:4" x14ac:dyDescent="0.45">
      <c r="A251" s="1">
        <v>45542</v>
      </c>
      <c r="B251" s="2">
        <v>4</v>
      </c>
      <c r="C251" s="300"/>
      <c r="D251" s="298"/>
    </row>
    <row r="252" spans="1:4" x14ac:dyDescent="0.45">
      <c r="A252" s="1">
        <v>45543</v>
      </c>
      <c r="B252" s="2">
        <v>6</v>
      </c>
      <c r="C252" s="300"/>
      <c r="D252" s="298"/>
    </row>
    <row r="253" spans="1:4" x14ac:dyDescent="0.45">
      <c r="A253" s="1">
        <v>45544</v>
      </c>
      <c r="B253" s="2">
        <v>4</v>
      </c>
      <c r="C253" s="300"/>
      <c r="D253" s="298"/>
    </row>
    <row r="254" spans="1:4" x14ac:dyDescent="0.45">
      <c r="A254" s="1">
        <v>45545</v>
      </c>
      <c r="B254" s="2">
        <v>4</v>
      </c>
      <c r="C254" s="300"/>
      <c r="D254" s="298"/>
    </row>
    <row r="255" spans="1:4" x14ac:dyDescent="0.45">
      <c r="A255" s="1">
        <v>45546</v>
      </c>
      <c r="B255" s="2">
        <v>6</v>
      </c>
      <c r="C255" s="300"/>
      <c r="D255" s="298"/>
    </row>
    <row r="256" spans="1:4" x14ac:dyDescent="0.45">
      <c r="A256" s="1">
        <v>45547</v>
      </c>
      <c r="B256" s="2">
        <v>6</v>
      </c>
      <c r="C256" s="300"/>
      <c r="D256" s="298"/>
    </row>
    <row r="257" spans="1:4" x14ac:dyDescent="0.45">
      <c r="A257" s="1">
        <v>45548</v>
      </c>
      <c r="B257" s="2">
        <v>10</v>
      </c>
      <c r="C257" s="300"/>
      <c r="D257" s="298"/>
    </row>
    <row r="258" spans="1:4" x14ac:dyDescent="0.45">
      <c r="A258" s="1">
        <v>45549</v>
      </c>
      <c r="B258" s="2">
        <v>8</v>
      </c>
      <c r="C258" s="300"/>
      <c r="D258" s="298"/>
    </row>
    <row r="259" spans="1:4" x14ac:dyDescent="0.45">
      <c r="A259" s="1">
        <v>45550</v>
      </c>
      <c r="B259" s="2">
        <v>6</v>
      </c>
      <c r="C259" s="300"/>
      <c r="D259" s="298"/>
    </row>
    <row r="260" spans="1:4" x14ac:dyDescent="0.45">
      <c r="A260" s="1">
        <v>45551</v>
      </c>
      <c r="B260" s="2">
        <v>6</v>
      </c>
      <c r="C260" s="300"/>
      <c r="D260" s="298"/>
    </row>
    <row r="261" spans="1:4" x14ac:dyDescent="0.45">
      <c r="A261" s="1">
        <v>45552</v>
      </c>
      <c r="B261" s="2">
        <v>4</v>
      </c>
      <c r="C261" s="300"/>
      <c r="D261" s="298"/>
    </row>
    <row r="262" spans="1:4" x14ac:dyDescent="0.45">
      <c r="A262" s="1">
        <v>45553</v>
      </c>
      <c r="B262" s="2">
        <v>2</v>
      </c>
      <c r="C262" s="300"/>
      <c r="D262" s="298"/>
    </row>
    <row r="263" spans="1:4" x14ac:dyDescent="0.45">
      <c r="A263" s="1">
        <v>45554</v>
      </c>
      <c r="B263" s="2">
        <v>4</v>
      </c>
      <c r="C263" s="300"/>
      <c r="D263" s="298"/>
    </row>
    <row r="264" spans="1:4" x14ac:dyDescent="0.45">
      <c r="A264" s="1">
        <v>45555</v>
      </c>
      <c r="B264" s="2">
        <v>4</v>
      </c>
      <c r="C264" s="300"/>
      <c r="D264" s="298"/>
    </row>
    <row r="265" spans="1:4" x14ac:dyDescent="0.45">
      <c r="A265" s="1">
        <v>45556</v>
      </c>
      <c r="B265" s="2">
        <v>6</v>
      </c>
      <c r="C265" s="300"/>
      <c r="D265" s="298"/>
    </row>
    <row r="266" spans="1:4" x14ac:dyDescent="0.45">
      <c r="A266" s="1">
        <v>45557</v>
      </c>
      <c r="B266" s="2">
        <v>6</v>
      </c>
      <c r="C266" s="300"/>
      <c r="D266" s="298"/>
    </row>
    <row r="267" spans="1:4" x14ac:dyDescent="0.45">
      <c r="A267" s="1">
        <v>45558</v>
      </c>
      <c r="B267" s="2">
        <v>4</v>
      </c>
      <c r="C267" s="300"/>
      <c r="D267" s="298"/>
    </row>
    <row r="268" spans="1:4" x14ac:dyDescent="0.45">
      <c r="A268" s="1">
        <v>45559</v>
      </c>
      <c r="B268" s="2">
        <v>2</v>
      </c>
      <c r="C268" s="300"/>
      <c r="D268" s="298"/>
    </row>
    <row r="269" spans="1:4" x14ac:dyDescent="0.45">
      <c r="A269" s="1">
        <v>45560</v>
      </c>
      <c r="B269" s="2">
        <v>6</v>
      </c>
      <c r="C269" s="300"/>
      <c r="D269" s="298"/>
    </row>
    <row r="270" spans="1:4" x14ac:dyDescent="0.45">
      <c r="A270" s="1">
        <v>45561</v>
      </c>
      <c r="B270" s="2">
        <v>8</v>
      </c>
      <c r="C270" s="300"/>
      <c r="D270" s="298"/>
    </row>
    <row r="271" spans="1:4" x14ac:dyDescent="0.45">
      <c r="A271" s="1">
        <v>45562</v>
      </c>
      <c r="B271" s="2">
        <v>4</v>
      </c>
      <c r="C271" s="300"/>
      <c r="D271" s="298"/>
    </row>
    <row r="272" spans="1:4" x14ac:dyDescent="0.45">
      <c r="A272" s="1">
        <v>45563</v>
      </c>
      <c r="B272" s="2">
        <v>6</v>
      </c>
      <c r="C272" s="300"/>
      <c r="D272" s="298"/>
    </row>
    <row r="273" spans="1:4" x14ac:dyDescent="0.45">
      <c r="A273" s="1">
        <v>45564</v>
      </c>
      <c r="B273" s="2">
        <v>8</v>
      </c>
      <c r="C273" s="300"/>
      <c r="D273" s="298"/>
    </row>
    <row r="274" spans="1:4" x14ac:dyDescent="0.45">
      <c r="A274" s="1">
        <v>45565</v>
      </c>
      <c r="B274" s="2">
        <v>6</v>
      </c>
      <c r="C274" s="273"/>
      <c r="D274" s="298"/>
    </row>
    <row r="275" spans="1:4" x14ac:dyDescent="0.45">
      <c r="A275" s="1">
        <v>45566</v>
      </c>
      <c r="B275" s="2">
        <v>4</v>
      </c>
      <c r="C275" s="299">
        <f>AVERAGE(B275:B305)</f>
        <v>5.612903225806452</v>
      </c>
      <c r="D275" s="298"/>
    </row>
    <row r="276" spans="1:4" x14ac:dyDescent="0.45">
      <c r="A276" s="1">
        <v>45567</v>
      </c>
      <c r="B276" s="2">
        <v>6</v>
      </c>
      <c r="C276" s="300"/>
      <c r="D276" s="298"/>
    </row>
    <row r="277" spans="1:4" x14ac:dyDescent="0.45">
      <c r="A277" s="1">
        <v>45568</v>
      </c>
      <c r="B277" s="2">
        <v>6</v>
      </c>
      <c r="C277" s="300"/>
      <c r="D277" s="298"/>
    </row>
    <row r="278" spans="1:4" x14ac:dyDescent="0.45">
      <c r="A278" s="1">
        <v>45569</v>
      </c>
      <c r="B278" s="2">
        <v>6</v>
      </c>
      <c r="C278" s="300"/>
      <c r="D278" s="298"/>
    </row>
    <row r="279" spans="1:4" x14ac:dyDescent="0.45">
      <c r="A279" s="1">
        <v>45570</v>
      </c>
      <c r="B279" s="2">
        <v>2</v>
      </c>
      <c r="C279" s="300"/>
      <c r="D279" s="298"/>
    </row>
    <row r="280" spans="1:4" x14ac:dyDescent="0.45">
      <c r="A280" s="1">
        <v>45571</v>
      </c>
      <c r="B280" s="2">
        <v>4</v>
      </c>
      <c r="C280" s="300"/>
      <c r="D280" s="298"/>
    </row>
    <row r="281" spans="1:4" x14ac:dyDescent="0.45">
      <c r="A281" s="1">
        <v>45572</v>
      </c>
      <c r="B281" s="2">
        <v>0</v>
      </c>
      <c r="C281" s="300"/>
      <c r="D281" s="298"/>
    </row>
    <row r="282" spans="1:4" x14ac:dyDescent="0.45">
      <c r="A282" s="1">
        <v>45573</v>
      </c>
      <c r="B282" s="2">
        <v>2</v>
      </c>
      <c r="C282" s="300"/>
      <c r="D282" s="298"/>
    </row>
    <row r="283" spans="1:4" x14ac:dyDescent="0.45">
      <c r="A283" s="1">
        <v>45574</v>
      </c>
      <c r="B283" s="2">
        <v>6</v>
      </c>
      <c r="C283" s="300"/>
      <c r="D283" s="298"/>
    </row>
    <row r="284" spans="1:4" x14ac:dyDescent="0.45">
      <c r="A284" s="1">
        <v>45575</v>
      </c>
      <c r="B284" s="2">
        <v>6</v>
      </c>
      <c r="C284" s="300"/>
      <c r="D284" s="298"/>
    </row>
    <row r="285" spans="1:4" x14ac:dyDescent="0.45">
      <c r="A285" s="1">
        <v>45576</v>
      </c>
      <c r="B285" s="2">
        <v>8</v>
      </c>
      <c r="C285" s="300"/>
      <c r="D285" s="298"/>
    </row>
    <row r="286" spans="1:4" x14ac:dyDescent="0.45">
      <c r="A286" s="1">
        <v>45577</v>
      </c>
      <c r="B286" s="2">
        <v>8</v>
      </c>
      <c r="C286" s="300"/>
      <c r="D286" s="298"/>
    </row>
    <row r="287" spans="1:4" x14ac:dyDescent="0.45">
      <c r="A287" s="1">
        <v>45578</v>
      </c>
      <c r="B287" s="2">
        <v>6</v>
      </c>
      <c r="C287" s="300"/>
      <c r="D287" s="298"/>
    </row>
    <row r="288" spans="1:4" x14ac:dyDescent="0.45">
      <c r="A288" s="1">
        <v>45579</v>
      </c>
      <c r="B288" s="2">
        <v>6</v>
      </c>
      <c r="C288" s="300"/>
      <c r="D288" s="298"/>
    </row>
    <row r="289" spans="1:4" x14ac:dyDescent="0.45">
      <c r="A289" s="1">
        <v>45580</v>
      </c>
      <c r="B289" s="2">
        <v>6</v>
      </c>
      <c r="C289" s="300"/>
      <c r="D289" s="298"/>
    </row>
    <row r="290" spans="1:4" x14ac:dyDescent="0.45">
      <c r="A290" s="1">
        <v>45581</v>
      </c>
      <c r="B290" s="2">
        <v>4</v>
      </c>
      <c r="C290" s="300"/>
      <c r="D290" s="298"/>
    </row>
    <row r="291" spans="1:4" x14ac:dyDescent="0.45">
      <c r="A291" s="1">
        <v>45582</v>
      </c>
      <c r="B291" s="2">
        <v>6</v>
      </c>
      <c r="C291" s="300"/>
      <c r="D291" s="298"/>
    </row>
    <row r="292" spans="1:4" x14ac:dyDescent="0.45">
      <c r="A292" s="1">
        <v>45583</v>
      </c>
      <c r="B292" s="2">
        <v>8</v>
      </c>
      <c r="C292" s="300"/>
      <c r="D292" s="298"/>
    </row>
    <row r="293" spans="1:4" x14ac:dyDescent="0.45">
      <c r="A293" s="1">
        <v>45584</v>
      </c>
      <c r="B293" s="2">
        <v>6</v>
      </c>
      <c r="C293" s="300"/>
      <c r="D293" s="298"/>
    </row>
    <row r="294" spans="1:4" x14ac:dyDescent="0.45">
      <c r="A294" s="1">
        <v>45585</v>
      </c>
      <c r="B294" s="2">
        <v>6</v>
      </c>
      <c r="C294" s="300"/>
      <c r="D294" s="298"/>
    </row>
    <row r="295" spans="1:4" x14ac:dyDescent="0.45">
      <c r="A295" s="1">
        <v>45586</v>
      </c>
      <c r="B295" s="2">
        <v>6</v>
      </c>
      <c r="C295" s="300"/>
      <c r="D295" s="298"/>
    </row>
    <row r="296" spans="1:4" x14ac:dyDescent="0.45">
      <c r="A296" s="1">
        <v>45587</v>
      </c>
      <c r="B296" s="2">
        <v>6</v>
      </c>
      <c r="C296" s="300"/>
      <c r="D296" s="298"/>
    </row>
    <row r="297" spans="1:4" x14ac:dyDescent="0.45">
      <c r="A297" s="1">
        <v>45588</v>
      </c>
      <c r="B297" s="2">
        <v>4</v>
      </c>
      <c r="C297" s="300"/>
      <c r="D297" s="298"/>
    </row>
    <row r="298" spans="1:4" x14ac:dyDescent="0.45">
      <c r="A298" s="1">
        <v>45589</v>
      </c>
      <c r="B298" s="2">
        <v>4</v>
      </c>
      <c r="C298" s="300"/>
      <c r="D298" s="298"/>
    </row>
    <row r="299" spans="1:4" x14ac:dyDescent="0.45">
      <c r="A299" s="1">
        <v>45590</v>
      </c>
      <c r="B299" s="2">
        <v>6</v>
      </c>
      <c r="C299" s="300"/>
      <c r="D299" s="298"/>
    </row>
    <row r="300" spans="1:4" x14ac:dyDescent="0.45">
      <c r="A300" s="1">
        <v>45591</v>
      </c>
      <c r="B300" s="2">
        <v>6</v>
      </c>
      <c r="C300" s="300"/>
      <c r="D300" s="298"/>
    </row>
    <row r="301" spans="1:4" x14ac:dyDescent="0.45">
      <c r="A301" s="1">
        <v>45592</v>
      </c>
      <c r="B301" s="2">
        <v>4</v>
      </c>
      <c r="C301" s="300"/>
      <c r="D301" s="298"/>
    </row>
    <row r="302" spans="1:4" x14ac:dyDescent="0.45">
      <c r="A302" s="1">
        <v>45593</v>
      </c>
      <c r="B302" s="2">
        <v>6</v>
      </c>
      <c r="C302" s="300"/>
      <c r="D302" s="298"/>
    </row>
    <row r="303" spans="1:4" x14ac:dyDescent="0.45">
      <c r="A303" s="1">
        <v>45594</v>
      </c>
      <c r="B303" s="2">
        <v>8</v>
      </c>
      <c r="C303" s="300"/>
      <c r="D303" s="298"/>
    </row>
    <row r="304" spans="1:4" x14ac:dyDescent="0.45">
      <c r="A304" s="1">
        <v>45595</v>
      </c>
      <c r="B304" s="2">
        <v>8</v>
      </c>
      <c r="C304" s="300"/>
      <c r="D304" s="298"/>
    </row>
    <row r="305" spans="1:15" x14ac:dyDescent="0.45">
      <c r="A305" s="1">
        <v>45596</v>
      </c>
      <c r="B305" s="2">
        <v>10</v>
      </c>
      <c r="C305" s="273"/>
      <c r="D305" s="298"/>
    </row>
    <row r="306" spans="1:15" x14ac:dyDescent="0.45">
      <c r="A306" s="1">
        <v>45597</v>
      </c>
      <c r="B306" s="2">
        <v>6</v>
      </c>
      <c r="C306" s="299">
        <f>AVERAGE(B306:B335)</f>
        <v>5.5333333333333332</v>
      </c>
      <c r="D306" s="298"/>
    </row>
    <row r="307" spans="1:15" x14ac:dyDescent="0.45">
      <c r="A307" s="1">
        <v>45598</v>
      </c>
      <c r="B307" s="2">
        <v>2</v>
      </c>
      <c r="C307" s="300"/>
      <c r="D307" s="298"/>
    </row>
    <row r="308" spans="1:15" x14ac:dyDescent="0.45">
      <c r="A308" s="1">
        <v>45599</v>
      </c>
      <c r="B308" s="2">
        <v>0</v>
      </c>
      <c r="C308" s="300"/>
      <c r="D308" s="298"/>
    </row>
    <row r="309" spans="1:15" x14ac:dyDescent="0.45">
      <c r="A309" s="1">
        <v>45600</v>
      </c>
      <c r="B309" s="2">
        <v>4</v>
      </c>
      <c r="C309" s="300"/>
      <c r="D309" s="298"/>
    </row>
    <row r="310" spans="1:15" x14ac:dyDescent="0.45">
      <c r="A310" s="1">
        <v>45601</v>
      </c>
      <c r="B310" s="2">
        <v>6</v>
      </c>
      <c r="C310" s="300"/>
      <c r="D310" s="298"/>
    </row>
    <row r="311" spans="1:15" x14ac:dyDescent="0.45">
      <c r="A311" s="1">
        <v>45602</v>
      </c>
      <c r="B311" s="2">
        <v>6</v>
      </c>
      <c r="C311" s="300"/>
      <c r="D311" s="298"/>
    </row>
    <row r="312" spans="1:15" x14ac:dyDescent="0.45">
      <c r="A312" s="1">
        <v>45603</v>
      </c>
      <c r="B312" s="2">
        <v>6</v>
      </c>
      <c r="C312" s="300"/>
      <c r="D312" s="298"/>
    </row>
    <row r="313" spans="1:15" x14ac:dyDescent="0.45">
      <c r="A313" s="1">
        <v>45604</v>
      </c>
      <c r="B313" s="2">
        <v>8</v>
      </c>
      <c r="C313" s="300"/>
      <c r="D313" s="298"/>
    </row>
    <row r="314" spans="1:15" x14ac:dyDescent="0.45">
      <c r="A314" s="1">
        <v>45605</v>
      </c>
      <c r="B314" s="2">
        <v>6</v>
      </c>
      <c r="C314" s="300"/>
      <c r="D314" s="298"/>
    </row>
    <row r="315" spans="1:15" x14ac:dyDescent="0.45">
      <c r="A315" s="1">
        <v>45606</v>
      </c>
      <c r="B315" s="2">
        <v>8</v>
      </c>
      <c r="C315" s="300"/>
      <c r="D315" s="298"/>
    </row>
    <row r="316" spans="1:15" x14ac:dyDescent="0.45">
      <c r="A316" s="1">
        <v>45607</v>
      </c>
      <c r="B316" s="2">
        <v>8</v>
      </c>
      <c r="C316" s="300"/>
      <c r="D316" s="298"/>
      <c r="M316" s="3"/>
      <c r="O316" s="3"/>
    </row>
    <row r="317" spans="1:15" x14ac:dyDescent="0.45">
      <c r="A317" s="1">
        <v>45608</v>
      </c>
      <c r="B317" s="2">
        <v>2</v>
      </c>
      <c r="C317" s="300"/>
      <c r="D317" s="298"/>
      <c r="M317" s="3"/>
      <c r="O317" s="3"/>
    </row>
    <row r="318" spans="1:15" x14ac:dyDescent="0.45">
      <c r="A318" s="1">
        <v>45609</v>
      </c>
      <c r="B318" s="2">
        <v>6</v>
      </c>
      <c r="C318" s="300"/>
      <c r="D318" s="298"/>
      <c r="M318" s="3"/>
      <c r="O318" s="3"/>
    </row>
    <row r="319" spans="1:15" x14ac:dyDescent="0.45">
      <c r="A319" s="1">
        <v>45610</v>
      </c>
      <c r="B319" s="2">
        <v>8</v>
      </c>
      <c r="C319" s="300"/>
      <c r="D319" s="298"/>
    </row>
    <row r="320" spans="1:15" x14ac:dyDescent="0.45">
      <c r="A320" s="1">
        <v>45611</v>
      </c>
      <c r="B320" s="2">
        <v>8</v>
      </c>
      <c r="C320" s="300"/>
      <c r="D320" s="298"/>
    </row>
    <row r="321" spans="1:4" x14ac:dyDescent="0.45">
      <c r="A321" s="1">
        <v>45612</v>
      </c>
      <c r="B321" s="2">
        <v>6</v>
      </c>
      <c r="C321" s="300"/>
      <c r="D321" s="298"/>
    </row>
    <row r="322" spans="1:4" x14ac:dyDescent="0.45">
      <c r="A322" s="1">
        <v>45613</v>
      </c>
      <c r="B322" s="2">
        <v>6</v>
      </c>
      <c r="C322" s="300"/>
      <c r="D322" s="298"/>
    </row>
    <row r="323" spans="1:4" x14ac:dyDescent="0.45">
      <c r="A323" s="1">
        <v>45614</v>
      </c>
      <c r="B323" s="2">
        <v>4</v>
      </c>
      <c r="C323" s="300"/>
      <c r="D323" s="298"/>
    </row>
    <row r="324" spans="1:4" x14ac:dyDescent="0.45">
      <c r="A324" s="1">
        <v>45615</v>
      </c>
      <c r="B324" s="2">
        <v>8</v>
      </c>
      <c r="C324" s="300"/>
      <c r="D324" s="298"/>
    </row>
    <row r="325" spans="1:4" x14ac:dyDescent="0.45">
      <c r="A325" s="1">
        <v>45616</v>
      </c>
      <c r="B325" s="2">
        <v>6</v>
      </c>
      <c r="C325" s="300"/>
      <c r="D325" s="298"/>
    </row>
    <row r="326" spans="1:4" x14ac:dyDescent="0.45">
      <c r="A326" s="1">
        <v>45617</v>
      </c>
      <c r="B326" s="2">
        <v>4</v>
      </c>
      <c r="C326" s="300"/>
      <c r="D326" s="298"/>
    </row>
    <row r="327" spans="1:4" x14ac:dyDescent="0.45">
      <c r="A327" s="1">
        <v>45618</v>
      </c>
      <c r="B327" s="2">
        <v>4</v>
      </c>
      <c r="C327" s="300"/>
      <c r="D327" s="298"/>
    </row>
    <row r="328" spans="1:4" x14ac:dyDescent="0.45">
      <c r="A328" s="1">
        <v>45619</v>
      </c>
      <c r="B328" s="2">
        <v>6</v>
      </c>
      <c r="C328" s="300"/>
      <c r="D328" s="298"/>
    </row>
    <row r="329" spans="1:4" x14ac:dyDescent="0.45">
      <c r="A329" s="1">
        <v>45620</v>
      </c>
      <c r="B329" s="2">
        <v>8</v>
      </c>
      <c r="C329" s="300"/>
      <c r="D329" s="298"/>
    </row>
    <row r="330" spans="1:4" x14ac:dyDescent="0.45">
      <c r="A330" s="1">
        <v>45621</v>
      </c>
      <c r="B330" s="2">
        <v>4</v>
      </c>
      <c r="C330" s="300"/>
      <c r="D330" s="298"/>
    </row>
    <row r="331" spans="1:4" x14ac:dyDescent="0.45">
      <c r="A331" s="1">
        <v>45622</v>
      </c>
      <c r="B331" s="2">
        <v>6</v>
      </c>
      <c r="C331" s="300"/>
      <c r="D331" s="298"/>
    </row>
    <row r="332" spans="1:4" x14ac:dyDescent="0.45">
      <c r="A332" s="1">
        <v>45623</v>
      </c>
      <c r="B332" s="2">
        <v>6</v>
      </c>
      <c r="C332" s="300"/>
      <c r="D332" s="298"/>
    </row>
    <row r="333" spans="1:4" x14ac:dyDescent="0.45">
      <c r="A333" s="1">
        <v>45624</v>
      </c>
      <c r="B333" s="2">
        <v>2</v>
      </c>
      <c r="C333" s="300"/>
      <c r="D333" s="298"/>
    </row>
    <row r="334" spans="1:4" x14ac:dyDescent="0.45">
      <c r="A334" s="1">
        <v>45625</v>
      </c>
      <c r="B334" s="2">
        <v>6</v>
      </c>
      <c r="C334" s="300"/>
      <c r="D334" s="298"/>
    </row>
    <row r="335" spans="1:4" x14ac:dyDescent="0.45">
      <c r="A335" s="1">
        <v>45626</v>
      </c>
      <c r="B335" s="2">
        <v>6</v>
      </c>
      <c r="C335" s="273"/>
      <c r="D335" s="298"/>
    </row>
    <row r="336" spans="1:4" x14ac:dyDescent="0.45">
      <c r="A336" s="1">
        <v>45627</v>
      </c>
      <c r="B336" s="2">
        <v>6</v>
      </c>
      <c r="C336" s="299">
        <f>AVERAGE(B336:B366)</f>
        <v>4.709677419354839</v>
      </c>
      <c r="D336" s="298"/>
    </row>
    <row r="337" spans="1:4" x14ac:dyDescent="0.45">
      <c r="A337" s="1">
        <v>45628</v>
      </c>
      <c r="B337" s="2">
        <v>4</v>
      </c>
      <c r="C337" s="300"/>
      <c r="D337" s="298"/>
    </row>
    <row r="338" spans="1:4" x14ac:dyDescent="0.45">
      <c r="A338" s="1">
        <v>45629</v>
      </c>
      <c r="B338" s="2">
        <v>4</v>
      </c>
      <c r="C338" s="300"/>
      <c r="D338" s="298"/>
    </row>
    <row r="339" spans="1:4" x14ac:dyDescent="0.45">
      <c r="A339" s="1">
        <v>45630</v>
      </c>
      <c r="B339" s="2">
        <v>6</v>
      </c>
      <c r="C339" s="300"/>
      <c r="D339" s="298"/>
    </row>
    <row r="340" spans="1:4" x14ac:dyDescent="0.45">
      <c r="A340" s="1">
        <v>45631</v>
      </c>
      <c r="B340" s="2">
        <v>6</v>
      </c>
      <c r="C340" s="300"/>
      <c r="D340" s="298"/>
    </row>
    <row r="341" spans="1:4" x14ac:dyDescent="0.45">
      <c r="A341" s="1">
        <v>45632</v>
      </c>
      <c r="B341" s="2">
        <v>6</v>
      </c>
      <c r="C341" s="300"/>
      <c r="D341" s="298"/>
    </row>
    <row r="342" spans="1:4" x14ac:dyDescent="0.45">
      <c r="A342" s="1">
        <v>45633</v>
      </c>
      <c r="B342" s="2">
        <v>6</v>
      </c>
      <c r="C342" s="300"/>
      <c r="D342" s="298"/>
    </row>
    <row r="343" spans="1:4" x14ac:dyDescent="0.45">
      <c r="A343" s="1">
        <v>45634</v>
      </c>
      <c r="B343" s="2">
        <v>4</v>
      </c>
      <c r="C343" s="300"/>
      <c r="D343" s="298"/>
    </row>
    <row r="344" spans="1:4" x14ac:dyDescent="0.45">
      <c r="A344" s="1">
        <v>45635</v>
      </c>
      <c r="B344" s="2">
        <v>4</v>
      </c>
      <c r="C344" s="300"/>
      <c r="D344" s="298"/>
    </row>
    <row r="345" spans="1:4" x14ac:dyDescent="0.45">
      <c r="A345" s="1">
        <v>45636</v>
      </c>
      <c r="B345" s="2">
        <v>4</v>
      </c>
      <c r="C345" s="300"/>
      <c r="D345" s="298"/>
    </row>
    <row r="346" spans="1:4" x14ac:dyDescent="0.45">
      <c r="A346" s="1">
        <v>45637</v>
      </c>
      <c r="B346" s="2">
        <v>4</v>
      </c>
      <c r="C346" s="300"/>
      <c r="D346" s="298"/>
    </row>
    <row r="347" spans="1:4" x14ac:dyDescent="0.45">
      <c r="A347" s="1">
        <v>45638</v>
      </c>
      <c r="B347" s="2">
        <v>6</v>
      </c>
      <c r="C347" s="300"/>
      <c r="D347" s="298"/>
    </row>
    <row r="348" spans="1:4" x14ac:dyDescent="0.45">
      <c r="A348" s="1">
        <v>45639</v>
      </c>
      <c r="B348" s="2">
        <v>4</v>
      </c>
      <c r="C348" s="300"/>
      <c r="D348" s="298"/>
    </row>
    <row r="349" spans="1:4" x14ac:dyDescent="0.45">
      <c r="A349" s="1">
        <v>45640</v>
      </c>
      <c r="B349" s="2">
        <v>6</v>
      </c>
      <c r="C349" s="300"/>
      <c r="D349" s="298"/>
    </row>
    <row r="350" spans="1:4" x14ac:dyDescent="0.45">
      <c r="A350" s="1">
        <v>45641</v>
      </c>
      <c r="B350" s="2">
        <v>4</v>
      </c>
      <c r="C350" s="300"/>
      <c r="D350" s="298"/>
    </row>
    <row r="351" spans="1:4" x14ac:dyDescent="0.45">
      <c r="A351" s="1">
        <v>45642</v>
      </c>
      <c r="B351" s="2">
        <v>4</v>
      </c>
      <c r="C351" s="300"/>
      <c r="D351" s="298"/>
    </row>
    <row r="352" spans="1:4" x14ac:dyDescent="0.45">
      <c r="A352" s="1">
        <v>45643</v>
      </c>
      <c r="B352" s="2">
        <v>2</v>
      </c>
      <c r="C352" s="300"/>
      <c r="D352" s="298"/>
    </row>
    <row r="353" spans="1:4" x14ac:dyDescent="0.45">
      <c r="A353" s="1">
        <v>45644</v>
      </c>
      <c r="B353" s="2">
        <v>4</v>
      </c>
      <c r="C353" s="300"/>
      <c r="D353" s="298"/>
    </row>
    <row r="354" spans="1:4" x14ac:dyDescent="0.45">
      <c r="A354" s="1">
        <v>45645</v>
      </c>
      <c r="B354" s="2">
        <v>2</v>
      </c>
      <c r="C354" s="300"/>
      <c r="D354" s="298"/>
    </row>
    <row r="355" spans="1:4" x14ac:dyDescent="0.45">
      <c r="A355" s="1">
        <v>45646</v>
      </c>
      <c r="B355" s="2">
        <v>4</v>
      </c>
      <c r="C355" s="300"/>
      <c r="D355" s="298"/>
    </row>
    <row r="356" spans="1:4" x14ac:dyDescent="0.45">
      <c r="A356" s="1">
        <v>45647</v>
      </c>
      <c r="B356" s="2">
        <v>4</v>
      </c>
      <c r="C356" s="300"/>
      <c r="D356" s="298"/>
    </row>
    <row r="357" spans="1:4" x14ac:dyDescent="0.45">
      <c r="A357" s="1">
        <v>45648</v>
      </c>
      <c r="B357" s="2">
        <v>4</v>
      </c>
      <c r="C357" s="300"/>
      <c r="D357" s="298"/>
    </row>
    <row r="358" spans="1:4" x14ac:dyDescent="0.45">
      <c r="A358" s="1">
        <v>45649</v>
      </c>
      <c r="B358" s="2">
        <v>4</v>
      </c>
      <c r="C358" s="300"/>
      <c r="D358" s="298"/>
    </row>
    <row r="359" spans="1:4" x14ac:dyDescent="0.45">
      <c r="A359" s="1">
        <v>45650</v>
      </c>
      <c r="B359" s="2">
        <v>10</v>
      </c>
      <c r="C359" s="300"/>
      <c r="D359" s="298"/>
    </row>
    <row r="360" spans="1:4" x14ac:dyDescent="0.45">
      <c r="A360" s="1">
        <v>45651</v>
      </c>
      <c r="B360" s="2">
        <v>6</v>
      </c>
      <c r="C360" s="300"/>
      <c r="D360" s="298"/>
    </row>
    <row r="361" spans="1:4" x14ac:dyDescent="0.45">
      <c r="A361" s="1">
        <v>45652</v>
      </c>
      <c r="B361" s="2">
        <v>4</v>
      </c>
      <c r="C361" s="300"/>
      <c r="D361" s="298"/>
    </row>
    <row r="362" spans="1:4" x14ac:dyDescent="0.45">
      <c r="A362" s="1">
        <v>45653</v>
      </c>
      <c r="B362" s="2">
        <v>4</v>
      </c>
      <c r="C362" s="300"/>
      <c r="D362" s="298"/>
    </row>
    <row r="363" spans="1:4" x14ac:dyDescent="0.45">
      <c r="A363" s="1">
        <v>45654</v>
      </c>
      <c r="B363" s="2">
        <v>4</v>
      </c>
      <c r="C363" s="300"/>
      <c r="D363" s="298"/>
    </row>
    <row r="364" spans="1:4" x14ac:dyDescent="0.45">
      <c r="A364" s="1">
        <v>45655</v>
      </c>
      <c r="B364" s="2">
        <v>6</v>
      </c>
      <c r="C364" s="300"/>
      <c r="D364" s="298"/>
    </row>
    <row r="365" spans="1:4" x14ac:dyDescent="0.45">
      <c r="A365" s="1">
        <v>45656</v>
      </c>
      <c r="B365" s="2">
        <v>4</v>
      </c>
      <c r="C365" s="300"/>
      <c r="D365" s="298"/>
    </row>
    <row r="366" spans="1:4" x14ac:dyDescent="0.45">
      <c r="A366" s="1">
        <v>45657</v>
      </c>
      <c r="B366" s="2">
        <v>6</v>
      </c>
      <c r="C366" s="273"/>
      <c r="D366" s="298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2" t="s">
        <v>52</v>
      </c>
      <c r="B1" s="302"/>
      <c r="C1" s="302"/>
      <c r="D1" s="302"/>
      <c r="E1" s="91"/>
      <c r="G1" s="301" t="s">
        <v>53</v>
      </c>
      <c r="H1" s="301"/>
      <c r="I1" s="30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J32" sqref="J32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3" t="s">
        <v>55</v>
      </c>
      <c r="B1" s="303"/>
      <c r="C1" s="303"/>
      <c r="D1" s="303"/>
      <c r="E1" s="305" t="s">
        <v>56</v>
      </c>
      <c r="F1" s="305"/>
      <c r="G1" s="305"/>
      <c r="H1" s="305"/>
      <c r="I1" s="64"/>
      <c r="J1" s="61" t="s">
        <v>26</v>
      </c>
      <c r="K1" s="62" t="s">
        <v>183</v>
      </c>
      <c r="O1" s="303" t="s">
        <v>55</v>
      </c>
      <c r="P1" s="303"/>
      <c r="Q1" s="303"/>
      <c r="R1" s="303"/>
      <c r="S1" s="305" t="s">
        <v>56</v>
      </c>
      <c r="T1" s="305"/>
      <c r="U1" s="305"/>
      <c r="V1" s="305"/>
      <c r="X1" s="61" t="s">
        <v>26</v>
      </c>
      <c r="Y1" s="62" t="s">
        <v>183</v>
      </c>
    </row>
    <row r="2" spans="1:25" x14ac:dyDescent="0.5">
      <c r="A2" s="34" t="s">
        <v>26</v>
      </c>
      <c r="B2" s="304" t="s">
        <v>27</v>
      </c>
      <c r="C2" s="304"/>
      <c r="D2" s="65" t="s">
        <v>187</v>
      </c>
      <c r="E2" s="35" t="s">
        <v>57</v>
      </c>
      <c r="F2" s="304" t="s">
        <v>27</v>
      </c>
      <c r="G2" s="304"/>
      <c r="H2" s="75" t="s">
        <v>187</v>
      </c>
      <c r="J2" s="31" t="s">
        <v>454</v>
      </c>
      <c r="K2" s="31">
        <v>1</v>
      </c>
      <c r="O2" s="34" t="s">
        <v>26</v>
      </c>
      <c r="P2" s="304" t="s">
        <v>27</v>
      </c>
      <c r="Q2" s="304"/>
      <c r="R2" s="65" t="s">
        <v>187</v>
      </c>
      <c r="S2" s="35" t="s">
        <v>57</v>
      </c>
      <c r="T2" s="304" t="s">
        <v>27</v>
      </c>
      <c r="U2" s="30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76" t="s">
        <v>612</v>
      </c>
      <c r="B8" s="31">
        <v>9.4</v>
      </c>
      <c r="C8" s="31"/>
      <c r="D8" s="63">
        <v>46236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583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584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585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171" t="s">
        <v>586</v>
      </c>
      <c r="F31" s="171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171" t="s">
        <v>587</v>
      </c>
      <c r="F32" s="171">
        <v>7.1</v>
      </c>
      <c r="H32" s="172">
        <v>46228</v>
      </c>
      <c r="S32" s="31" t="s">
        <v>353</v>
      </c>
      <c r="T32" s="31">
        <v>8</v>
      </c>
      <c r="U32" s="31"/>
      <c r="V32" s="63">
        <v>45891</v>
      </c>
    </row>
    <row r="33" spans="19:22" x14ac:dyDescent="0.5">
      <c r="S33" s="31" t="s">
        <v>362</v>
      </c>
      <c r="T33" s="31">
        <v>8</v>
      </c>
      <c r="U33" s="31"/>
      <c r="V33" s="63">
        <v>45912</v>
      </c>
    </row>
    <row r="34" spans="19:22" x14ac:dyDescent="0.5">
      <c r="S34" s="31" t="s">
        <v>361</v>
      </c>
      <c r="T34" s="31">
        <v>7.4</v>
      </c>
      <c r="U34" s="31"/>
      <c r="V34" s="63">
        <v>45915</v>
      </c>
    </row>
    <row r="35" spans="19:22" x14ac:dyDescent="0.5">
      <c r="S35" s="31" t="s">
        <v>363</v>
      </c>
      <c r="T35" s="31">
        <v>8.1999999999999993</v>
      </c>
      <c r="U35" s="31"/>
      <c r="V35" s="63">
        <v>45918</v>
      </c>
    </row>
    <row r="36" spans="19:22" x14ac:dyDescent="0.5">
      <c r="S36" s="31" t="s">
        <v>409</v>
      </c>
      <c r="T36" s="31">
        <v>8.3000000000000007</v>
      </c>
      <c r="U36" s="31"/>
      <c r="V36" s="63">
        <v>45921</v>
      </c>
    </row>
    <row r="37" spans="19:22" x14ac:dyDescent="0.5">
      <c r="S37" s="31" t="s">
        <v>377</v>
      </c>
      <c r="T37" s="31">
        <v>8.1999999999999993</v>
      </c>
      <c r="U37" s="31"/>
      <c r="V37" s="63">
        <v>45923</v>
      </c>
    </row>
    <row r="38" spans="19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9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9:22" x14ac:dyDescent="0.5">
      <c r="S40" s="171" t="s">
        <v>420</v>
      </c>
      <c r="T40" s="171">
        <v>7.7</v>
      </c>
      <c r="V40" s="172">
        <v>46003</v>
      </c>
    </row>
    <row r="41" spans="19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9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9:22" x14ac:dyDescent="0.5">
      <c r="S43" s="171" t="s">
        <v>424</v>
      </c>
      <c r="T43" s="171">
        <v>8.1999999999999993</v>
      </c>
      <c r="V43" s="172">
        <v>46016</v>
      </c>
    </row>
    <row r="44" spans="19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3" t="s">
        <v>55</v>
      </c>
      <c r="B1" s="303"/>
      <c r="C1" s="303"/>
      <c r="D1" s="305" t="s">
        <v>56</v>
      </c>
      <c r="E1" s="305"/>
      <c r="F1" s="305"/>
    </row>
    <row r="2" spans="1:6" x14ac:dyDescent="0.5">
      <c r="A2" s="34" t="s">
        <v>26</v>
      </c>
      <c r="B2" s="304" t="s">
        <v>27</v>
      </c>
      <c r="C2" s="304"/>
      <c r="D2" s="35" t="s">
        <v>57</v>
      </c>
      <c r="E2" s="304" t="s">
        <v>27</v>
      </c>
      <c r="F2" s="30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topLeftCell="A26"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9" t="s">
        <v>107</v>
      </c>
      <c r="C1" s="309"/>
      <c r="D1" s="309"/>
      <c r="E1" s="309"/>
      <c r="F1" s="309"/>
      <c r="G1" s="30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3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4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7">
        <v>17</v>
      </c>
      <c r="B19" s="316">
        <v>45941</v>
      </c>
      <c r="C19" s="41" t="s">
        <v>114</v>
      </c>
      <c r="D19" s="41" t="s">
        <v>366</v>
      </c>
      <c r="E19" s="311" t="s">
        <v>123</v>
      </c>
      <c r="F19" s="98" t="s">
        <v>118</v>
      </c>
      <c r="G19" s="307">
        <v>11466</v>
      </c>
      <c r="H19" s="314"/>
      <c r="I19" s="43">
        <v>1756</v>
      </c>
      <c r="J19" s="41" t="s">
        <v>367</v>
      </c>
      <c r="K19" s="307" t="s">
        <v>144</v>
      </c>
      <c r="L19" s="179" t="s">
        <v>368</v>
      </c>
    </row>
    <row r="20" spans="1:12" x14ac:dyDescent="0.5">
      <c r="A20" s="308"/>
      <c r="B20" s="317"/>
      <c r="C20" s="41" t="s">
        <v>366</v>
      </c>
      <c r="D20" s="41" t="s">
        <v>115</v>
      </c>
      <c r="E20" s="312"/>
      <c r="F20" s="98" t="s">
        <v>118</v>
      </c>
      <c r="G20" s="308"/>
      <c r="H20" s="314"/>
      <c r="I20" s="43">
        <v>517</v>
      </c>
      <c r="J20" s="41" t="s">
        <v>131</v>
      </c>
      <c r="K20" s="308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1" t="s">
        <v>557</v>
      </c>
      <c r="F26" s="255" t="s">
        <v>558</v>
      </c>
      <c r="G26" s="148">
        <v>7781</v>
      </c>
      <c r="H26" s="314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2"/>
      <c r="F27" s="255" t="s">
        <v>558</v>
      </c>
      <c r="G27" s="148">
        <v>7781</v>
      </c>
      <c r="H27" s="315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613</v>
      </c>
      <c r="F28" s="98" t="s">
        <v>118</v>
      </c>
      <c r="G28" s="148">
        <v>9914</v>
      </c>
      <c r="H28" s="256"/>
      <c r="I28" s="43">
        <v>1710</v>
      </c>
      <c r="J28" s="41" t="s">
        <v>615</v>
      </c>
      <c r="K28" s="148" t="s">
        <v>144</v>
      </c>
      <c r="L28" s="179" t="s">
        <v>614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616</v>
      </c>
      <c r="F29" s="98" t="s">
        <v>118</v>
      </c>
      <c r="G29" s="148">
        <v>10300</v>
      </c>
      <c r="H29" s="256"/>
      <c r="I29" s="43">
        <v>1710</v>
      </c>
      <c r="J29" s="41" t="s">
        <v>617</v>
      </c>
      <c r="K29" s="148" t="s">
        <v>139</v>
      </c>
      <c r="L29" s="178">
        <v>6E-176</v>
      </c>
    </row>
    <row r="30" spans="1:12" x14ac:dyDescent="0.5">
      <c r="A30" s="43"/>
      <c r="B30" s="310" t="s">
        <v>121</v>
      </c>
      <c r="C30" s="310"/>
      <c r="D30" s="310"/>
      <c r="E30" s="310"/>
      <c r="F30" s="310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6" t="s">
        <v>474</v>
      </c>
      <c r="R39" s="306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8" t="s">
        <v>556</v>
      </c>
      <c r="F1" s="319"/>
      <c r="G1" s="319"/>
      <c r="H1" s="319"/>
      <c r="I1" s="319"/>
      <c r="J1" s="319"/>
      <c r="K1" s="320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6"/>
      <c r="F2" s="330" t="s">
        <v>156</v>
      </c>
      <c r="G2" s="330"/>
      <c r="H2" s="306"/>
      <c r="I2" s="306"/>
      <c r="J2" s="321"/>
      <c r="K2" s="322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6"/>
      <c r="F3" s="330"/>
      <c r="G3" s="330"/>
      <c r="H3" s="306"/>
      <c r="I3" s="30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6"/>
      <c r="F4" s="331">
        <f>D9/B9</f>
        <v>10</v>
      </c>
      <c r="G4" s="331"/>
      <c r="H4" s="306"/>
      <c r="I4" s="30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6"/>
      <c r="F5" s="331"/>
      <c r="G5" s="331"/>
      <c r="H5" s="306"/>
      <c r="I5" s="30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6"/>
      <c r="F6" s="336" t="s">
        <v>157</v>
      </c>
      <c r="G6" s="337"/>
      <c r="H6" s="306"/>
      <c r="I6" s="30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6"/>
      <c r="F7" s="338"/>
      <c r="G7" s="339"/>
      <c r="H7" s="306"/>
      <c r="I7" s="30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6"/>
      <c r="F8" s="332">
        <f>M12/L12</f>
        <v>9.741236559139784</v>
      </c>
      <c r="G8" s="333"/>
      <c r="H8" s="306"/>
      <c r="I8" s="30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6"/>
      <c r="F9" s="334"/>
      <c r="G9" s="335"/>
      <c r="H9" s="306"/>
      <c r="I9" s="30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4"/>
      <c r="B10" s="325"/>
      <c r="C10" s="325"/>
      <c r="D10" s="325"/>
      <c r="E10" s="306"/>
      <c r="F10" s="325"/>
      <c r="G10" s="325"/>
      <c r="H10" s="306"/>
      <c r="I10" s="30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6"/>
      <c r="B11" s="306"/>
      <c r="C11" s="306"/>
      <c r="D11" s="306"/>
      <c r="E11" s="306"/>
      <c r="F11" s="306"/>
      <c r="G11" s="306"/>
      <c r="H11" s="306"/>
      <c r="I11" s="30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6"/>
      <c r="B12" s="306"/>
      <c r="C12" s="306"/>
      <c r="D12" s="306"/>
      <c r="E12" s="306"/>
      <c r="F12" s="306" t="s">
        <v>271</v>
      </c>
      <c r="G12" s="306">
        <v>9.74</v>
      </c>
      <c r="H12" s="306"/>
      <c r="I12" s="30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6"/>
      <c r="B13" s="306"/>
      <c r="C13" s="306"/>
      <c r="D13" s="306"/>
      <c r="E13" s="306"/>
      <c r="F13" s="306"/>
      <c r="G13" s="306"/>
      <c r="H13" s="306"/>
      <c r="I13" s="306"/>
      <c r="J13" s="325"/>
      <c r="K13" s="32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7"/>
      <c r="B14" s="323"/>
      <c r="C14" s="323"/>
      <c r="D14" s="323"/>
      <c r="E14" s="323"/>
      <c r="F14" s="85" t="s">
        <v>272</v>
      </c>
      <c r="G14" s="85">
        <f>(G12-F8)*100/G12</f>
        <v>-1.2695679053221987E-2</v>
      </c>
      <c r="H14" s="323"/>
      <c r="I14" s="323"/>
      <c r="J14" s="323"/>
      <c r="K14" s="32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0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1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2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3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4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5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6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7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8"/>
      <c r="B9" s="127" t="s">
        <v>237</v>
      </c>
      <c r="C9" s="128"/>
      <c r="D9" s="128"/>
      <c r="E9" s="128"/>
      <c r="F9" s="128"/>
      <c r="G9" s="129"/>
    </row>
    <row r="10" spans="1:7" x14ac:dyDescent="0.5">
      <c r="A10" s="349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0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1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2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2026-08-09T16:39:19Z</dcterms:modified>
</cp:coreProperties>
</file>