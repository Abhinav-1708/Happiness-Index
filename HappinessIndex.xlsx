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8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47783F1B-442E-4984-9875-E72D78F845DD}" xr6:coauthVersionLast="47" xr6:coauthVersionMax="47" xr10:uidLastSave="{00000000-0000-0000-0000-000000000000}"/>
  <bookViews>
    <workbookView xWindow="-93" yWindow="-93" windowWidth="19386" windowHeight="12186" tabRatio="917" activeTab="9" xr2:uid="{00000000-000D-0000-FFFF-FFFF00000000}"/>
  </bookViews>
  <sheets>
    <sheet name="HI2026" sheetId="11" r:id="rId1"/>
    <sheet name="Sheet3" sheetId="12" r:id="rId2"/>
    <sheet name="HI2025" sheetId="7" r:id="rId3"/>
    <sheet name="HI2024" sheetId="1" r:id="rId4"/>
    <sheet name="Friends" sheetId="3" r:id="rId5"/>
    <sheet name="Movies2025" sheetId="8" r:id="rId6"/>
    <sheet name="Movies2024" sheetId="4" r:id="rId7"/>
    <sheet name="FlightDetails" sheetId="5" r:id="rId8"/>
    <sheet name="Sheet1" sheetId="6" r:id="rId9"/>
    <sheet name="Sheet2" sheetId="10" r:id="rId10"/>
    <sheet name="Table1" sheetId="9" r:id="rId11"/>
    <sheet name="Sheet4" sheetId="13" r:id="rId12"/>
  </sheets>
  <definedNames>
    <definedName name="_xlnm._FilterDatabase" localSheetId="4" hidden="1">Friends!$G$2:$J$2</definedName>
    <definedName name="_xlnm._FilterDatabase" localSheetId="6" hidden="1">Movies2024!$A$2:$C$2</definedName>
    <definedName name="_xlnm._FilterDatabase" localSheetId="8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2" l="1"/>
  <c r="B4" i="12"/>
  <c r="B5" i="12"/>
  <c r="B6" i="12"/>
  <c r="B7" i="12"/>
  <c r="B8" i="12"/>
  <c r="B9" i="12"/>
  <c r="B10" i="12"/>
  <c r="B11" i="12"/>
  <c r="B12" i="12"/>
  <c r="B13" i="12"/>
  <c r="K33" i="12" s="1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T9" i="11"/>
  <c r="B2" i="12"/>
  <c r="AG18" i="11"/>
  <c r="AG17" i="11"/>
  <c r="D122" i="11"/>
  <c r="O9" i="11" s="1"/>
  <c r="W9" i="11" s="1"/>
  <c r="T8" i="11"/>
  <c r="AG16" i="11"/>
  <c r="D92" i="11"/>
  <c r="O8" i="11" s="1"/>
  <c r="D2" i="11"/>
  <c r="T7" i="11"/>
  <c r="AG15" i="11"/>
  <c r="D61" i="11"/>
  <c r="O7" i="11" s="1"/>
  <c r="H3" i="5"/>
  <c r="G26" i="5"/>
  <c r="R34" i="11"/>
  <c r="I26" i="5"/>
  <c r="T6" i="11"/>
  <c r="D33" i="11"/>
  <c r="O6" i="11" s="1"/>
  <c r="U5" i="11"/>
  <c r="T5" i="11"/>
  <c r="C8" i="6"/>
  <c r="C7" i="6"/>
  <c r="C6" i="6"/>
  <c r="C5" i="6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L305" i="11"/>
  <c r="BC304" i="11"/>
  <c r="BB304" i="11"/>
  <c r="BA304" i="11"/>
  <c r="AZ304" i="11"/>
  <c r="AL304" i="11"/>
  <c r="BC303" i="11"/>
  <c r="BB303" i="11"/>
  <c r="BA303" i="11"/>
  <c r="AZ303" i="11"/>
  <c r="AL303" i="11"/>
  <c r="BC302" i="11"/>
  <c r="BB302" i="11"/>
  <c r="BA302" i="11"/>
  <c r="AZ302" i="11"/>
  <c r="AL302" i="11"/>
  <c r="BC301" i="11"/>
  <c r="BB301" i="11"/>
  <c r="BA301" i="11"/>
  <c r="AZ301" i="11"/>
  <c r="AL301" i="11"/>
  <c r="BC300" i="11"/>
  <c r="BB300" i="11"/>
  <c r="BA300" i="11"/>
  <c r="AZ300" i="11"/>
  <c r="AL300" i="11"/>
  <c r="BC299" i="11"/>
  <c r="BB299" i="11"/>
  <c r="BA299" i="11"/>
  <c r="AZ299" i="11"/>
  <c r="AL299" i="11"/>
  <c r="BC298" i="11"/>
  <c r="BB298" i="11"/>
  <c r="BA298" i="11"/>
  <c r="AZ298" i="11"/>
  <c r="AL298" i="11"/>
  <c r="BC297" i="11"/>
  <c r="BB297" i="11"/>
  <c r="BA297" i="11"/>
  <c r="AZ297" i="11"/>
  <c r="AL297" i="11"/>
  <c r="BC296" i="11"/>
  <c r="BB296" i="11"/>
  <c r="BA296" i="11"/>
  <c r="AZ296" i="11"/>
  <c r="AL296" i="11"/>
  <c r="BC295" i="11"/>
  <c r="BB295" i="11"/>
  <c r="BA295" i="11"/>
  <c r="AZ295" i="11"/>
  <c r="AL295" i="11"/>
  <c r="BC294" i="11"/>
  <c r="BB294" i="11"/>
  <c r="BA294" i="11"/>
  <c r="AZ294" i="11"/>
  <c r="AL294" i="11"/>
  <c r="BC293" i="11"/>
  <c r="BB293" i="11"/>
  <c r="BA293" i="11"/>
  <c r="AZ293" i="11"/>
  <c r="AL293" i="11"/>
  <c r="BC292" i="11"/>
  <c r="BB292" i="11"/>
  <c r="BA292" i="11"/>
  <c r="AZ292" i="11"/>
  <c r="AL292" i="11"/>
  <c r="BC291" i="11"/>
  <c r="BB291" i="11"/>
  <c r="BA291" i="11"/>
  <c r="AZ291" i="11"/>
  <c r="AL291" i="11"/>
  <c r="BC290" i="11"/>
  <c r="BB290" i="11"/>
  <c r="BA290" i="11"/>
  <c r="AZ290" i="11"/>
  <c r="AL290" i="11"/>
  <c r="BC289" i="11"/>
  <c r="BB289" i="11"/>
  <c r="BA289" i="11"/>
  <c r="AZ289" i="11"/>
  <c r="AL289" i="11"/>
  <c r="BC288" i="11"/>
  <c r="BB288" i="11"/>
  <c r="BA288" i="11"/>
  <c r="AZ288" i="11"/>
  <c r="AL288" i="11"/>
  <c r="BC287" i="11"/>
  <c r="BB287" i="11"/>
  <c r="BA287" i="11"/>
  <c r="AZ287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V12" i="11"/>
  <c r="U12" i="11"/>
  <c r="S12" i="11"/>
  <c r="R12" i="11"/>
  <c r="Q12" i="11"/>
  <c r="AQ11" i="11"/>
  <c r="AP11" i="11"/>
  <c r="V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K34" i="12" l="1"/>
  <c r="K37" i="12"/>
  <c r="K35" i="12"/>
  <c r="K36" i="12"/>
  <c r="W5" i="11"/>
  <c r="L11" i="11"/>
  <c r="L13" i="11" s="1"/>
  <c r="P5" i="11"/>
  <c r="U13" i="7"/>
  <c r="X12" i="10"/>
  <c r="X13" i="10" s="1"/>
  <c r="D9" i="10"/>
  <c r="F4" i="10" s="1"/>
  <c r="K11" i="10" s="1"/>
  <c r="N5" i="7"/>
  <c r="J11" i="7"/>
  <c r="J13" i="7" s="1"/>
  <c r="S27" i="1"/>
  <c r="L19" i="1"/>
  <c r="H24" i="1"/>
  <c r="M11" i="10" l="1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<sst xmlns="http://schemas.openxmlformats.org/spreadsheetml/2006/main" count="2195" uniqueCount="557">
  <si>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</si>
  <si>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</si>
  <si>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</si>
  <si>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</si>
  <si>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</si>
  <si>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</si>
  <si>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</si>
  <si>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</si>
  <si>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</si>
  <si>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</si>
  <si>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</si>
  <si>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</si>
  <si>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</si>
  <si>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</si>
  <si>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</si>
  <si>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</si>
  <si>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</si>
  <si>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</si>
  <si>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</si>
  <si>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</si>
  <si>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</si>
  <si>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</si>
  <si>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</si>
  <si>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</si>
  <si>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</si>
  <si>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</si>
  <si>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</si>
  <si>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</si>
  <si>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</si>
  <si>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</si>
  <si>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</si>
  <si>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</si>
  <si>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</si>
  <si>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</si>
  <si>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</si>
  <si>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</si>
  <si>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</si>
  <si>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</si>
  <si>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</si>
  <si>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</si>
  <si>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</si>
  <si>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</si>
  <si>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</si>
  <si>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</si>
  <si>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</si>
  <si>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</si>
  <si>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</si>
  <si>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</si>
  <si>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</si>
  <si>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</si>
  <si>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</si>
  <si>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</si>
  <si>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</si>
  <si>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</si>
  <si>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</si>
  <si>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</si>
  <si>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</si>
  <si>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</si>
  <si>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</si>
  <si>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</si>
  <si>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</si>
  <si>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</si>
  <si>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</si>
  <si>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</si>
  <si>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</si>
  <si>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</si>
  <si>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</si>
  <si>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</si>
  <si>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</si>
  <si>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</si>
  <si>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</si>
  <si>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</si>
  <si>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</si>
  <si>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</si>
  <si>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</si>
  <si>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</si>
  <si>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</si>
  <si>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</si>
  <si>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</si>
  <si>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</si>
  <si>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</si>
  <si>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</si>
  <si>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</si>
  <si>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</si>
  <si>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</si>
  <si>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</si>
  <si>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</si>
  <si>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</si>
  <si>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</si>
  <si>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</si>
  <si>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</si>
  <si>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</si>
  <si>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</si>
  <si>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</si>
  <si>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</si>
  <si>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</si>
  <si>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</si>
  <si>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</si>
  <si>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</si>
  <si>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</si>
  <si>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</si>
  <si>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</si>
  <si>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</si>
  <si>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</si>
  <si>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</si>
  <si>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</si>
  <si>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</si>
  <si>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</si>
  <si>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</si>
  <si>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</si>
  <si>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</si>
  <si>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</si>
  <si>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</si>
  <si>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</si>
  <si>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</si>
  <si>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</si>
  <si>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</si>
  <si>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</si>
  <si>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</si>
  <si>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</si>
  <si>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</si>
  <si>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</si>
  <si>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</si>
  <si>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</si>
  <si>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</si>
  <si>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</si>
  <si>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</si>
  <si>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</si>
  <si>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</si>
  <si>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</si>
  <si>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</si>
  <si>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</si>
  <si>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</si>
  <si>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</si>
  <si>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</si>
  <si>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</si>
  <si>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</si>
  <si>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</si>
  <si>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</si>
  <si>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</si>
  <si>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</si>
  <si>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</si>
  <si>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</si>
  <si>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</si>
  <si>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</si>
  <si>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</si>
  <si>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</si>
  <si>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</si>
  <si>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</si>
  <si>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</si>
  <si>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</si>
  <si>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</si>
  <si>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</si>
  <si>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</si>
  <si>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</si>
  <si>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</si>
  <si>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</si>
  <si>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</si>
  <si>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</si>
  <si>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</si>
  <si>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</si>
  <si>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</si>
  <si>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</si>
  <si>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</si>
  <si>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</si>
  <si>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</si>
  <si>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</si>
  <si>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</si>
  <si>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</si>
  <si>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</si>
  <si>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</si>
  <si>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</si>
  <si>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</si>
  <si>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</si>
  <si>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</si>
  <si>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</si>
  <si>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</si>
  <si>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</si>
  <si>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</si>
  <si>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</si>
  <si>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</si>
  <si>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</si>
  <si>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</si>
  <si>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</si>
  <si>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</si>
  <si>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</si>
  <si>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</si>
  <si>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</si>
  <si>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</si>
  <si>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</si>
  <si>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</si>
  <si>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</si>
  <si>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</si>
  <si>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</si>
  <si>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</si>
  <si>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</si>
  <si>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</si>
  <si>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</si>
  <si>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</si>
  <si>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</si>
  <si>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</si>
  <si>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</si>
  <si>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</si>
  <si>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</si>
  <si>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</si>
  <si>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</si>
  <si>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</si>
  <si>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</si>
  <si>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</si>
  <si>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</si>
  <si>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</si>
  <si>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</si>
  <si>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</si>
  <si>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</si>
  <si>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</si>
  <si>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</si>
  <si>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</si>
  <si>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</si>
  <si>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</si>
  <si>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</si>
  <si>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</si>
  <si>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</si>
  <si>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</si>
  <si>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</si>
  <si>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</si>
  <si>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</si>
  <si>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</si>
  <si>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</si>
  <si>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</si>
  <si>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</si>
  <si>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</si>
  <si>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</si>
  <si>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</si>
  <si>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</si>
  <si>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</si>
  <si>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</si>
  <si>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</si>
  <si>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</si>
  <si>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</si>
  <si>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</si>
  <si>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</si>
  <si>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</si>
  <si>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</si>
  <si>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</si>
  <si>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</si>
  <si>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</si>
  <si>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</si>
  <si>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</si>
  <si>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</si>
  <si>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</si>
  <si>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</si>
  <si>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</si>
  <si>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</si>
  <si>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</si>
  <si>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</si>
  <si>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</si>
  <si>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</si>
  <si>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</si>
  <si>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</si>
  <si>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</si>
  <si>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</si>
  <si>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</si>
  <si>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</si>
  <si>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</si>
  <si>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</si>
  <si>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</si>
  <si>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</si>
  <si>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</si>
  <si>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</si>
  <si>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</si>
  <si>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</si>
  <si>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</si>
  <si>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</si>
  <si>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</si>
  <si>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</si>
  <si>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</si>
  <si>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</si>
  <si>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</si>
  <si>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</si>
  <si>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</si>
  <si>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</si>
  <si>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</si>
  <si>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</si>
  <si>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</si>
  <si>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</si>
  <si>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</si>
  <si>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</si>
  <si>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</si>
  <si>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</si>
  <si>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</si>
  <si>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</si>
  <si>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</si>
  <si>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</si>
  <si>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</si>
  <si>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</si>
  <si>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</si>
  <si>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</si>
  <si>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</si>
  <si>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</si>
  <si>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</si>
  <si>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</si>
  <si>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</si>
  <si>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</si>
  <si>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</si>
  <si>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</si>
  <si>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</si>
  <si>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</si>
  <si>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</si>
  <si>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</si>
  <si>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</si>
  <si>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</si>
  <si>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</si>
  <si>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</si>
  <si>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</si>
  <si>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</si>
  <si>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</si>
  <si>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</si>
  <si>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</si>
  <si>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</si>
  <si>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</si>
  <si>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</si>
  <si>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</si>
  <si>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</si>
  <si>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</si>
  <si>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</si>
  <si>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</si>
  <si>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</si>
  <si>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</si>
  <si>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</si>
  <si>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</si>
  <si>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</si>
  <si>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</si>
  <si>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</si>
  <si>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</si>
  <si>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</si>
  <si>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</si>
  <si>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</si>
  <si>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</si>
  <si>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</si>
  <si>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</si>
  <si>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</si>
  <si>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</si>
  <si>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</si>
  <si>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</si>
  <si>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</si>
  <si>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</si>
  <si>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</si>
  <si>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</si>
  <si>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</si>
  <si>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</si>
  <si>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</si>
  <si>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</si>
  <si>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</si>
  <si>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</si>
  <si>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</si>
  <si>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</si>
  <si>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</si>
  <si>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</si>
  <si>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</si>
  <si>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</si>
  <si>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</si>
  <si>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</si>
  <si>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</si>
  <si>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</si>
  <si>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</si>
  <si>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</si>
  <si>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</si>
  <si>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</si>
  <si>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</si>
  <si>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</si>
  <si>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</si>
  <si>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</si>
  <si>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</si>
  <si>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</si>
  <si>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</si>
  <si>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</si>
  <si>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</si>
  <si>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</si>
  <si>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</si>
  <si>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</si>
  <si>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</si>
  <si>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</si>
  <si>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</si>
  <si>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</si>
  <si>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</si>
  <si>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</si>
  <si>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</si>
  <si>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</si>
  <si>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</si>
  <si>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</si>
  <si>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</si>
  <si>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</si>
  <si>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</si>
  <si>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</si>
  <si>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</si>
  <si>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</si>
  <si>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</si>
  <si>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</si>
  <si>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</si>
  <si>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</si>
  <si>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</si>
  <si>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</si>
  <si>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</si>
  <si>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</si>
  <si>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</si>
  <si>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</si>
  <si>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</si>
  <si>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</si>
  <si>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</si>
  <si>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</si>
  <si>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</si>
  <si>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</si>
  <si>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</si>
  <si>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</si>
  <si>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</si>
  <si>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</si>
  <si>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</si>
  <si>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</si>
  <si>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</si>
  <si>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</si>
  <si>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</si>
  <si>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</si>
  <si>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</si>
  <si>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</si>
  <si>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</si>
  <si>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</si>
  <si>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</si>
  <si>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</si>
  <si>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</si>
  <si>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</si>
  <si>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</si>
  <si>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</si>
  <si>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</si>
  <si>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</si>
  <si>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</si>
  <si>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</si>
  <si>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</si>
  <si>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</si>
  <si>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</si>
  <si>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</si>
  <si>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</si>
  <si>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</si>
  <si>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</si>
  <si>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</si>
  <si>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</si>
  <si>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</si>
  <si>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</si>
  <si>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</si>
  <si>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</si>
  <si>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</si>
  <si>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</si>
  <si>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</si>
  <si>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</si>
  <si>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</si>
  <si>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</si>
  <si>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</si>
  <si>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</si>
  <si>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</si>
  <si>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</si>
  <si>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</si>
  <si>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</si>
  <si>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</si>
  <si>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</si>
  <si>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</si>
  <si>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</si>
  <si>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</si>
  <si>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</si>
  <si>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</si>
  <si>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</si>
  <si>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</si>
  <si>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</si>
  <si>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</si>
  <si>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</si>
  <si>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</si>
  <si>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</si>
  <si>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</si>
  <si>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</si>
  <si>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</si>
  <si>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</si>
  <si>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</si>
  <si>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</si>
  <si>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</si>
  <si>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</si>
  <si>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</si>
  <si>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</si>
  <si>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</si>
  <si>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</si>
  <si>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</si>
  <si>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</si>
  <si>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</si>
  <si>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</si>
  <si>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</si>
  <si>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</si>
  <si>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</si>
  <si>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</si>
  <si>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</si>
  <si>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</si>
  <si>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</si>
  <si>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</si>
  <si>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</si>
  <si>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</si>
  <si>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</si>
  <si>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</si>
  <si>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</si>
  <si>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</si>
  <si>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</si>
  <si>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</si>
  <si>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</si>
  <si>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</si>
  <si>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</si>
  <si>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</si>
  <si>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</si>
  <si>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</si>
  <si>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</si>
  <si>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</si>
  <si>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</si>
  <si>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</si>
  <si>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</si>
  <si>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</si>
  <si>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</si>
  <si>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</si>
  <si>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</si>
  <si>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</si>
  <si>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</si>
  <si>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</si>
  <si>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</si>
  <si>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</si>
  <si>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</si>
  <si>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</si>
  <si>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</si>
  <si>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</si>
  <si>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</si>
  <si>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</si>
  <si>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</si>
  <si>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</si>
  <si>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</si>
  <si>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</si>
  <si>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</si>
  <si>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</si>
  <si>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</si>
  <si>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</si>
  <si>
    <t>Sita Ramam</t>
  </si>
  <si>
    <t>Hridayam</t>
  </si>
  <si>
    <t>Meghana Biryani</t>
  </si>
  <si>
    <t>Total Score</t>
  </si>
  <si>
    <t>Career Prep</t>
  </si>
  <si>
    <t>Technical Growth</t>
  </si>
  <si>
    <t>Fitness and Physical Growth</t>
  </si>
  <si>
    <t>Discipine and Control</t>
  </si>
  <si>
    <t>Reflection and planning</t>
  </si>
  <si>
    <t>Count</t>
  </si>
  <si>
    <t>Weak</t>
  </si>
  <si>
    <t>Acceptable</t>
  </si>
  <si>
    <t>Strong</t>
  </si>
  <si>
    <t>Excellent</t>
  </si>
  <si>
    <t>Elite</t>
  </si>
  <si>
    <t>Sem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</si>
</sst>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1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8" borderId="1" xfId="0" applyFill="1" applyBorder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0" borderId="0" xfId="0" applyFont="1" applyAlignment="1">
      <alignment wrapText="1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6.1333333333333337</c:v>
                </c:pt>
                <c:pt idx="4">
                  <c:v>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2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  <c:pt idx="128">
                  <c:v>6.5</c:v>
                </c:pt>
                <c:pt idx="129">
                  <c:v>6.2</c:v>
                </c:pt>
                <c:pt idx="130">
                  <c:v>6.9</c:v>
                </c:pt>
                <c:pt idx="131">
                  <c:v>5.2</c:v>
                </c:pt>
                <c:pt idx="132">
                  <c:v>5.8</c:v>
                </c:pt>
                <c:pt idx="133">
                  <c:v>5.5</c:v>
                </c:pt>
                <c:pt idx="134">
                  <c:v>5.2</c:v>
                </c:pt>
                <c:pt idx="135">
                  <c:v>5.4</c:v>
                </c:pt>
                <c:pt idx="136">
                  <c:v>5.6</c:v>
                </c:pt>
                <c:pt idx="137">
                  <c:v>5.2</c:v>
                </c:pt>
                <c:pt idx="138">
                  <c:v>6.2</c:v>
                </c:pt>
                <c:pt idx="139">
                  <c:v>5.8</c:v>
                </c:pt>
                <c:pt idx="140">
                  <c:v>5.4</c:v>
                </c:pt>
                <c:pt idx="141">
                  <c:v>5.5</c:v>
                </c:pt>
                <c:pt idx="142">
                  <c:v>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67.741935483870961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67.741935483870961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3</c:v>
                </c:pt>
                <c:pt idx="1">
                  <c:v>8</c:v>
                </c:pt>
                <c:pt idx="2">
                  <c:v>67</c:v>
                </c:pt>
                <c:pt idx="3">
                  <c:v>63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105833</xdr:rowOff>
    </xdr:from>
    <xdr:to>
      <xdr:col>30</xdr:col>
      <xdr:colOff>613401</xdr:colOff>
      <xdr:row>31</xdr:row>
      <xdr:rowOff>76654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620889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10325</xdr:colOff>
      <xdr:row>1</xdr:row>
      <xdr:rowOff>25813</xdr:rowOff>
    </xdr:from>
    <xdr:to>
      <xdr:col>14</xdr:col>
      <xdr:colOff>598861</xdr:colOff>
      <xdr:row>13</xdr:row>
      <xdr:rowOff>73337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92799-DDC6-4F5F-FBBC-D7F85AA5E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9675" y="753740"/>
          <a:ext cx="3851301" cy="2215817"/>
        </a:xfrm>
        <a:prstGeom prst="rect">
          <a:avLst/>
        </a:prstGeom>
      </xdr:spPr>
    </xdr:pic>
    <xdr:clientData/>
  </xdr:twoCellAnchor>
  <xdr:twoCellAnchor editAs="oneCell">
    <xdr:from>
      <xdr:col>9</xdr:col>
      <xdr:colOff>25813</xdr:colOff>
      <xdr:row>13</xdr:row>
      <xdr:rowOff>175529</xdr:rowOff>
    </xdr:from>
    <xdr:to>
      <xdr:col>14</xdr:col>
      <xdr:colOff>604601</xdr:colOff>
      <xdr:row>22</xdr:row>
      <xdr:rowOff>98090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2C32697-6F87-1C10-4B83-23F79FB74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5163" y="3071749"/>
          <a:ext cx="3841553" cy="1548780"/>
        </a:xfrm>
        <a:prstGeom prst="rect">
          <a:avLst/>
        </a:prstGeom>
      </xdr:spPr>
    </xdr:pic>
    <xdr:clientData/>
  </xdr:twoCellAnchor>
  <xdr:twoCellAnchor editAs="oneCell">
    <xdr:from>
      <xdr:col>9</xdr:col>
      <xdr:colOff>36139</xdr:colOff>
      <xdr:row>23</xdr:row>
      <xdr:rowOff>5164</xdr:rowOff>
    </xdr:from>
    <xdr:to>
      <xdr:col>14</xdr:col>
      <xdr:colOff>592592</xdr:colOff>
      <xdr:row>29</xdr:row>
      <xdr:rowOff>5163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E715783-77F5-AB62-3CDE-D08D5B141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5489" y="4708294"/>
          <a:ext cx="3819218" cy="108414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139390</xdr:colOff>
      <xdr:row>1</xdr:row>
      <xdr:rowOff>36137</xdr:rowOff>
    </xdr:from>
    <xdr:to>
      <xdr:col>23</xdr:col>
      <xdr:colOff>444045</xdr:colOff>
      <xdr:row>13</xdr:row>
      <xdr:rowOff>46463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0F15E9-EE25-DCE1-74DA-F6A6D3B4B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40691" y="764064"/>
          <a:ext cx="5467256" cy="2178619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139389</xdr:colOff>
      <xdr:row>14</xdr:row>
      <xdr:rowOff>10325</xdr:rowOff>
    </xdr:from>
    <xdr:to>
      <xdr:col>23</xdr:col>
      <xdr:colOff>273272</xdr:colOff>
      <xdr:row>22</xdr:row>
      <xdr:rowOff>88965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B81775-86A4-33C7-17B7-12DC7D7FE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40690" y="3087236"/>
          <a:ext cx="5296484" cy="152416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638960</xdr:colOff>
      <xdr:row>12</xdr:row>
      <xdr:rowOff>27065</xdr:rowOff>
    </xdr:from>
    <xdr:to>
      <xdr:col>17</xdr:col>
      <xdr:colOff>0</xdr:colOff>
      <xdr:row>29</xdr:row>
      <xdr:rowOff>5897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zoomScale="53" zoomScaleNormal="100" workbookViewId="0">
      <selection activeCell="C145" sqref="C145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29296875" style="58" customWidth="1"/>
    <col min="7" max="7" width="10.703125" style="38" customWidth="1"/>
    <col min="8" max="8" width="8.76171875" style="38" customWidth="1"/>
    <col min="9" max="9" width="4.52734375" style="38" customWidth="1"/>
    <col min="10" max="10" width="11.52734375" bestFit="1" customWidth="1"/>
    <col min="12" max="12" width="13.76171875" customWidth="1"/>
    <col min="13" max="13" width="8.9375" customWidth="1"/>
    <col min="14" max="14" width="9.3515625" bestFit="1" customWidth="1"/>
    <col min="15" max="15" width="9.29296875" bestFit="1" customWidth="1"/>
    <col min="16" max="16" width="11.1171875" customWidth="1"/>
    <col min="17" max="17" width="12.117187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70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43" ht="29" thickBot="1" x14ac:dyDescent="0.55000000000000004">
      <c r="A1" s="250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71" t="s">
        <v>175</v>
      </c>
      <c r="K1" s="272"/>
      <c r="L1" s="272"/>
      <c r="AM1" t="s">
        <v>208</v>
      </c>
      <c r="AN1">
        <v>2025</v>
      </c>
      <c r="AO1">
        <v>2024</v>
      </c>
    </row>
    <row r="2" spans="1:43" x14ac:dyDescent="0.5">
      <c r="A2" t="s">
        <v>432</v>
      </c>
      <c r="B2" s="71">
        <v>46023</v>
      </c>
      <c r="C2" s="72">
        <v>6</v>
      </c>
      <c r="D2" s="275">
        <f>AVERAGE(C2:C32)</f>
        <v>5.9290322580645176</v>
      </c>
      <c r="E2" s="278">
        <f>AVERAGE(C2:C366)</f>
        <v>6.1734265734265739</v>
      </c>
      <c r="F2" s="58">
        <v>1</v>
      </c>
      <c r="G2" s="38" t="s">
        <v>194</v>
      </c>
      <c r="I2" s="38">
        <v>0</v>
      </c>
      <c r="J2" s="273"/>
      <c r="K2" s="274"/>
      <c r="L2" s="274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</row>
    <row r="3" spans="1:43" ht="14.7" thickBot="1" x14ac:dyDescent="0.55000000000000004">
      <c r="A3" t="s">
        <v>433</v>
      </c>
      <c r="B3" s="53">
        <v>46024</v>
      </c>
      <c r="C3" s="2">
        <v>4.5</v>
      </c>
      <c r="D3" s="276"/>
      <c r="E3" s="279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</row>
    <row r="4" spans="1:43" ht="14.7" thickBot="1" x14ac:dyDescent="0.55000000000000004">
      <c r="A4" t="s">
        <v>434</v>
      </c>
      <c r="B4" s="71">
        <v>46025</v>
      </c>
      <c r="C4" s="2">
        <v>7.8</v>
      </c>
      <c r="D4" s="276"/>
      <c r="E4" s="279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</row>
    <row r="5" spans="1:43" ht="14.7" thickBot="1" x14ac:dyDescent="0.55000000000000004">
      <c r="A5" t="s">
        <v>435</v>
      </c>
      <c r="B5" s="53">
        <v>46026</v>
      </c>
      <c r="C5" s="2">
        <v>5.8</v>
      </c>
      <c r="D5" s="276"/>
      <c r="E5" s="279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3</v>
      </c>
      <c r="N5" s="160" t="s">
        <v>8</v>
      </c>
      <c r="O5" s="191">
        <f>D2</f>
        <v>5.9290322580645176</v>
      </c>
      <c r="P5" s="267">
        <f>AVERAGE(O5:O16)</f>
        <v>6.154984639016897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55">
        <f>AVERAGE(O5:O8)</f>
        <v>6.2687307987711218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</row>
    <row r="6" spans="1:43" x14ac:dyDescent="0.5">
      <c r="A6" t="s">
        <v>436</v>
      </c>
      <c r="B6" s="71">
        <v>46027</v>
      </c>
      <c r="C6" s="2">
        <v>5.9</v>
      </c>
      <c r="D6" s="276"/>
      <c r="E6" s="279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8</v>
      </c>
      <c r="N6" s="157" t="s">
        <v>9</v>
      </c>
      <c r="O6" s="192">
        <f>D33</f>
        <v>6.4964285714285719</v>
      </c>
      <c r="P6" s="267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55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</row>
    <row r="7" spans="1:43" ht="14.7" thickBot="1" x14ac:dyDescent="0.55000000000000004">
      <c r="A7" t="s">
        <v>437</v>
      </c>
      <c r="B7" s="53">
        <v>46028</v>
      </c>
      <c r="C7" s="2">
        <v>7.5</v>
      </c>
      <c r="D7" s="276"/>
      <c r="E7" s="279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67</v>
      </c>
      <c r="N7" s="157" t="s">
        <v>10</v>
      </c>
      <c r="O7" s="192">
        <f>D61</f>
        <v>6.5161290322580649</v>
      </c>
      <c r="P7" s="267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55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</row>
    <row r="8" spans="1:43" x14ac:dyDescent="0.5">
      <c r="A8" t="s">
        <v>438</v>
      </c>
      <c r="B8" s="71">
        <v>46029</v>
      </c>
      <c r="C8" s="2">
        <v>4.8</v>
      </c>
      <c r="D8" s="276"/>
      <c r="E8" s="279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63</v>
      </c>
      <c r="N8" s="157" t="s">
        <v>11</v>
      </c>
      <c r="O8" s="192">
        <f>D92</f>
        <v>6.1333333333333337</v>
      </c>
      <c r="P8" s="267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1</v>
      </c>
      <c r="V8" s="57">
        <f>COUNTIFS(C92:C121,"&gt;=0", C92:C121,"&lt;2")</f>
        <v>0</v>
      </c>
      <c r="W8" s="256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</row>
    <row r="9" spans="1:43" ht="14.7" thickBot="1" x14ac:dyDescent="0.55000000000000004">
      <c r="A9" t="s">
        <v>432</v>
      </c>
      <c r="B9" s="53">
        <v>46030</v>
      </c>
      <c r="C9" s="2">
        <v>4.5</v>
      </c>
      <c r="D9" s="276"/>
      <c r="E9" s="279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2</v>
      </c>
      <c r="N9" s="157" t="s">
        <v>12</v>
      </c>
      <c r="O9" s="192">
        <f>D122</f>
        <v>5.7</v>
      </c>
      <c r="P9" s="267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8</v>
      </c>
      <c r="T9" s="57">
        <f>COUNTIFS(C122:C152,"&gt;=4", C122:C152,"&lt;6")</f>
        <v>15</v>
      </c>
      <c r="U9" s="57">
        <f>COUNTIFS(C122:C152,"&gt;=2", C122:C152,"&lt;4")</f>
        <v>0</v>
      </c>
      <c r="V9" s="57">
        <f>COUNTIFS(C122:C152,"&gt;=0", C122:C152,"&lt;2")</f>
        <v>0</v>
      </c>
      <c r="W9" s="257">
        <f>AVERAGE(O9:O12)</f>
        <v>5.7</v>
      </c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</row>
    <row r="10" spans="1:43" ht="14.7" thickBot="1" x14ac:dyDescent="0.55000000000000004">
      <c r="A10" t="s">
        <v>433</v>
      </c>
      <c r="B10" s="71">
        <v>46031</v>
      </c>
      <c r="C10" s="2">
        <v>6.5</v>
      </c>
      <c r="D10" s="276"/>
      <c r="E10" s="279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192"/>
      <c r="P10" s="267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255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</row>
    <row r="11" spans="1:43" ht="14.7" thickBot="1" x14ac:dyDescent="0.55000000000000004">
      <c r="A11" t="s">
        <v>434</v>
      </c>
      <c r="B11" s="53">
        <v>46032</v>
      </c>
      <c r="C11" s="2">
        <v>5.0999999999999996</v>
      </c>
      <c r="D11" s="276"/>
      <c r="E11" s="279"/>
      <c r="F11" s="58">
        <v>1</v>
      </c>
      <c r="G11" s="69" t="s">
        <v>194</v>
      </c>
      <c r="I11" s="38">
        <v>1</v>
      </c>
      <c r="J11" s="258" t="s">
        <v>6</v>
      </c>
      <c r="K11" s="259"/>
      <c r="L11" s="17">
        <f>SUM(L5:L10)</f>
        <v>143</v>
      </c>
      <c r="N11" s="157" t="s">
        <v>14</v>
      </c>
      <c r="O11" s="192"/>
      <c r="P11" s="267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255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</row>
    <row r="12" spans="1:43" ht="14.7" thickBot="1" x14ac:dyDescent="0.55000000000000004">
      <c r="A12" t="s">
        <v>435</v>
      </c>
      <c r="B12" s="71">
        <v>46033</v>
      </c>
      <c r="C12" s="2">
        <v>6</v>
      </c>
      <c r="D12" s="276"/>
      <c r="E12" s="279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/>
      <c r="P12" s="267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56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</row>
    <row r="13" spans="1:43" ht="14.7" thickBot="1" x14ac:dyDescent="0.55000000000000004">
      <c r="A13" t="s">
        <v>436</v>
      </c>
      <c r="B13" s="53">
        <v>46034</v>
      </c>
      <c r="C13" s="2">
        <v>3.9</v>
      </c>
      <c r="D13" s="276"/>
      <c r="E13" s="279"/>
      <c r="F13" s="58">
        <v>1</v>
      </c>
      <c r="G13" s="69" t="s">
        <v>176</v>
      </c>
      <c r="H13" s="38" t="s">
        <v>446</v>
      </c>
      <c r="I13" s="38">
        <v>0</v>
      </c>
      <c r="J13" s="260" t="s">
        <v>174</v>
      </c>
      <c r="K13" s="261"/>
      <c r="L13" s="264">
        <f>L11/3.65</f>
        <v>39.178082191780824</v>
      </c>
      <c r="N13" s="157" t="s">
        <v>16</v>
      </c>
      <c r="O13" s="192"/>
      <c r="P13" s="267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66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</row>
    <row r="14" spans="1:43" ht="14.7" thickBot="1" x14ac:dyDescent="0.55000000000000004">
      <c r="A14" t="s">
        <v>437</v>
      </c>
      <c r="B14" s="71">
        <v>46035</v>
      </c>
      <c r="C14" s="2">
        <v>4.4000000000000004</v>
      </c>
      <c r="D14" s="276"/>
      <c r="E14" s="279"/>
      <c r="F14" s="58">
        <v>0</v>
      </c>
      <c r="G14" s="69" t="s">
        <v>176</v>
      </c>
      <c r="H14" s="38" t="s">
        <v>113</v>
      </c>
      <c r="I14" s="38">
        <v>0</v>
      </c>
      <c r="J14" s="262"/>
      <c r="K14" s="263"/>
      <c r="L14" s="265"/>
      <c r="N14" s="157" t="s">
        <v>17</v>
      </c>
      <c r="O14" s="192"/>
      <c r="P14" s="267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55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3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</row>
    <row r="15" spans="1:43" ht="14.7" thickBot="1" x14ac:dyDescent="0.55000000000000004">
      <c r="A15" t="s">
        <v>438</v>
      </c>
      <c r="B15" s="53">
        <v>46036</v>
      </c>
      <c r="C15" s="2">
        <v>5.3</v>
      </c>
      <c r="D15" s="276"/>
      <c r="E15" s="279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67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55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8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</row>
    <row r="16" spans="1:43" x14ac:dyDescent="0.5">
      <c r="A16" t="s">
        <v>432</v>
      </c>
      <c r="B16" s="71">
        <v>46037</v>
      </c>
      <c r="C16" s="2">
        <v>5.4</v>
      </c>
      <c r="D16" s="276"/>
      <c r="E16" s="279"/>
      <c r="F16" s="58">
        <v>0</v>
      </c>
      <c r="G16" s="69" t="s">
        <v>176</v>
      </c>
      <c r="I16" s="38">
        <v>0</v>
      </c>
      <c r="N16" s="157" t="s">
        <v>19</v>
      </c>
      <c r="O16" s="192"/>
      <c r="P16" s="268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56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67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</row>
    <row r="17" spans="1:43" ht="14.7" thickBot="1" x14ac:dyDescent="0.55000000000000004">
      <c r="A17" t="s">
        <v>433</v>
      </c>
      <c r="B17" s="53">
        <v>46038</v>
      </c>
      <c r="C17" s="2">
        <v>6</v>
      </c>
      <c r="D17" s="276"/>
      <c r="E17" s="279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63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</row>
    <row r="18" spans="1:43" x14ac:dyDescent="0.5">
      <c r="A18" t="s">
        <v>434</v>
      </c>
      <c r="B18" s="71">
        <v>46039</v>
      </c>
      <c r="C18" s="2">
        <v>6.9</v>
      </c>
      <c r="D18" s="276"/>
      <c r="E18" s="279"/>
      <c r="F18" s="58">
        <v>0</v>
      </c>
      <c r="G18" s="69" t="s">
        <v>176</v>
      </c>
      <c r="I18" s="38">
        <v>0.6</v>
      </c>
      <c r="AF18" s="31" t="s">
        <v>12</v>
      </c>
      <c r="AG18" s="31">
        <f>AVERAGE(F122:F152)*100</f>
        <v>67.741935483870961</v>
      </c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2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</row>
    <row r="19" spans="1:43" ht="14.7" thickBot="1" x14ac:dyDescent="0.55000000000000004">
      <c r="A19" t="s">
        <v>435</v>
      </c>
      <c r="B19" s="53">
        <v>46040</v>
      </c>
      <c r="C19" s="2">
        <v>7.6</v>
      </c>
      <c r="D19" s="276"/>
      <c r="E19" s="279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</row>
    <row r="20" spans="1:43" x14ac:dyDescent="0.5">
      <c r="A20" t="s">
        <v>436</v>
      </c>
      <c r="B20" s="71">
        <v>46041</v>
      </c>
      <c r="C20" s="2">
        <v>6.5</v>
      </c>
      <c r="D20" s="276"/>
      <c r="E20" s="279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</row>
    <row r="21" spans="1:43" ht="14.7" thickBot="1" x14ac:dyDescent="0.55000000000000004">
      <c r="A21" t="s">
        <v>437</v>
      </c>
      <c r="B21" s="53">
        <v>46042</v>
      </c>
      <c r="C21" s="2">
        <v>6</v>
      </c>
      <c r="D21" s="276"/>
      <c r="E21" s="279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</row>
    <row r="22" spans="1:43" x14ac:dyDescent="0.5">
      <c r="A22" t="s">
        <v>438</v>
      </c>
      <c r="B22" s="71">
        <v>46043</v>
      </c>
      <c r="C22" s="2">
        <v>6.7</v>
      </c>
      <c r="D22" s="276"/>
      <c r="E22" s="279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</row>
    <row r="23" spans="1:43" ht="14.7" thickBot="1" x14ac:dyDescent="0.55000000000000004">
      <c r="A23" t="s">
        <v>432</v>
      </c>
      <c r="B23" s="53">
        <v>46044</v>
      </c>
      <c r="C23" s="2">
        <v>5.8</v>
      </c>
      <c r="D23" s="276"/>
      <c r="E23" s="279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</row>
    <row r="24" spans="1:43" x14ac:dyDescent="0.5">
      <c r="A24" t="s">
        <v>433</v>
      </c>
      <c r="B24" s="71">
        <v>46045</v>
      </c>
      <c r="C24" s="2">
        <v>7</v>
      </c>
      <c r="D24" s="276"/>
      <c r="E24" s="279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61.589403973509938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</row>
    <row r="25" spans="1:43" ht="14.7" thickBot="1" x14ac:dyDescent="0.55000000000000004">
      <c r="A25" t="s">
        <v>434</v>
      </c>
      <c r="B25" s="53">
        <v>46046</v>
      </c>
      <c r="C25" s="2">
        <v>7</v>
      </c>
      <c r="D25" s="276"/>
      <c r="E25" s="279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</row>
    <row r="26" spans="1:43" x14ac:dyDescent="0.5">
      <c r="A26" t="s">
        <v>435</v>
      </c>
      <c r="B26" s="71">
        <v>46047</v>
      </c>
      <c r="C26" s="2">
        <v>6</v>
      </c>
      <c r="D26" s="276"/>
      <c r="E26" s="279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</row>
    <row r="27" spans="1:43" ht="14.7" thickBot="1" x14ac:dyDescent="0.55000000000000004">
      <c r="A27" t="s">
        <v>436</v>
      </c>
      <c r="B27" s="53">
        <v>46048</v>
      </c>
      <c r="C27" s="2">
        <v>5.0999999999999996</v>
      </c>
      <c r="D27" s="276"/>
      <c r="E27" s="279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</row>
    <row r="28" spans="1:43" x14ac:dyDescent="0.5">
      <c r="A28" t="s">
        <v>437</v>
      </c>
      <c r="B28" s="71">
        <v>46049</v>
      </c>
      <c r="C28" s="2">
        <v>5.3</v>
      </c>
      <c r="D28" s="276"/>
      <c r="E28" s="279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</row>
    <row r="29" spans="1:43" ht="14.7" thickBot="1" x14ac:dyDescent="0.55000000000000004">
      <c r="A29" t="s">
        <v>438</v>
      </c>
      <c r="B29" s="53">
        <v>46050</v>
      </c>
      <c r="C29" s="2">
        <v>5</v>
      </c>
      <c r="D29" s="276"/>
      <c r="E29" s="279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</row>
    <row r="30" spans="1:43" x14ac:dyDescent="0.5">
      <c r="A30" t="s">
        <v>432</v>
      </c>
      <c r="B30" s="71">
        <v>46051</v>
      </c>
      <c r="C30" s="2">
        <v>8</v>
      </c>
      <c r="D30" s="276"/>
      <c r="E30" s="279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</row>
    <row r="31" spans="1:43" ht="14.7" thickBot="1" x14ac:dyDescent="0.55000000000000004">
      <c r="A31" t="s">
        <v>433</v>
      </c>
      <c r="B31" s="53">
        <v>46052</v>
      </c>
      <c r="C31" s="2">
        <v>7</v>
      </c>
      <c r="D31" s="276"/>
      <c r="E31" s="279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</row>
    <row r="32" spans="1:43" ht="14.7" thickBot="1" x14ac:dyDescent="0.55000000000000004">
      <c r="A32" t="s">
        <v>434</v>
      </c>
      <c r="B32" s="71">
        <v>46053</v>
      </c>
      <c r="C32" s="55">
        <v>4.5</v>
      </c>
      <c r="D32" s="277"/>
      <c r="E32" s="279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82">
        <f>AVERAGE(C33:C60)</f>
        <v>6.4964285714285719</v>
      </c>
      <c r="E33" s="280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254"/>
      <c r="E34" s="280"/>
      <c r="F34" s="58">
        <v>0</v>
      </c>
      <c r="G34" s="69" t="s">
        <v>176</v>
      </c>
      <c r="I34" s="38">
        <v>0</v>
      </c>
      <c r="M34" s="38"/>
      <c r="Q34" s="269" t="s">
        <v>479</v>
      </c>
      <c r="R34" s="270">
        <f>SUM(I2:I366)/3.65</f>
        <v>2.6109589041095886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254"/>
      <c r="E35" s="280"/>
      <c r="F35" s="58">
        <v>1</v>
      </c>
      <c r="G35" s="69" t="s">
        <v>176</v>
      </c>
      <c r="I35" s="38">
        <v>0</v>
      </c>
      <c r="M35" s="38"/>
      <c r="Q35" s="269"/>
      <c r="R35" s="270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254"/>
      <c r="E36" s="280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254"/>
      <c r="E37" s="280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ht="14.7" thickBot="1" x14ac:dyDescent="0.55000000000000004">
      <c r="A38" t="s">
        <v>433</v>
      </c>
      <c r="B38" s="71">
        <v>46059</v>
      </c>
      <c r="C38" s="2">
        <v>10</v>
      </c>
      <c r="D38" s="254"/>
      <c r="E38" s="280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254"/>
      <c r="E39" s="280"/>
      <c r="F39" s="58">
        <v>1</v>
      </c>
      <c r="G39" s="69" t="s">
        <v>469</v>
      </c>
      <c r="I39" s="38">
        <v>0</v>
      </c>
      <c r="M39" s="38"/>
      <c r="S39" s="200"/>
      <c r="T39" s="201"/>
      <c r="U39" s="221"/>
      <c r="V39" s="235"/>
      <c r="W39" s="235"/>
      <c r="X39" s="221"/>
      <c r="Y39" s="200"/>
      <c r="Z39" s="201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ht="14.7" thickBot="1" x14ac:dyDescent="0.55000000000000004">
      <c r="A40" t="s">
        <v>435</v>
      </c>
      <c r="B40" s="71">
        <v>46061</v>
      </c>
      <c r="C40" s="2">
        <v>6</v>
      </c>
      <c r="D40" s="254"/>
      <c r="E40" s="280"/>
      <c r="F40" s="58">
        <v>1</v>
      </c>
      <c r="G40" s="69" t="s">
        <v>342</v>
      </c>
      <c r="I40" s="38">
        <v>0</v>
      </c>
      <c r="M40" s="38"/>
      <c r="S40" s="202"/>
      <c r="T40" s="203"/>
      <c r="U40" s="222"/>
      <c r="V40" s="193"/>
      <c r="W40" s="194"/>
      <c r="X40" s="222"/>
      <c r="Y40" s="202"/>
      <c r="Z40" s="203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254"/>
      <c r="E41" s="280"/>
      <c r="F41" s="58">
        <v>0</v>
      </c>
      <c r="G41" s="69" t="s">
        <v>176</v>
      </c>
      <c r="I41" s="38">
        <v>0.5</v>
      </c>
      <c r="M41" s="38"/>
      <c r="S41" s="204"/>
      <c r="T41" s="205"/>
      <c r="U41" s="222"/>
      <c r="V41" s="239"/>
      <c r="W41" s="239"/>
      <c r="X41" s="222"/>
      <c r="Y41" s="204"/>
      <c r="Z41" s="205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ht="14.7" thickBot="1" x14ac:dyDescent="0.55000000000000004">
      <c r="A42" t="s">
        <v>437</v>
      </c>
      <c r="B42" s="71">
        <v>46063</v>
      </c>
      <c r="C42" s="2">
        <v>5.6</v>
      </c>
      <c r="D42" s="254"/>
      <c r="E42" s="280"/>
      <c r="F42" s="58">
        <v>1</v>
      </c>
      <c r="G42" s="69" t="s">
        <v>176</v>
      </c>
      <c r="I42" s="38">
        <v>0.4</v>
      </c>
      <c r="M42" s="38"/>
      <c r="S42" s="226"/>
      <c r="T42" s="222"/>
      <c r="U42" s="222"/>
      <c r="V42" s="238"/>
      <c r="W42" s="238"/>
      <c r="X42" s="222"/>
      <c r="Y42" s="222"/>
      <c r="Z42" s="22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254"/>
      <c r="E43" s="280"/>
      <c r="F43" s="58">
        <v>0</v>
      </c>
      <c r="G43" s="69" t="s">
        <v>176</v>
      </c>
      <c r="I43" s="38">
        <v>0.4</v>
      </c>
      <c r="M43" s="38"/>
      <c r="S43" s="198"/>
      <c r="T43" s="232"/>
      <c r="U43" s="209"/>
      <c r="V43" s="210"/>
      <c r="W43" s="211"/>
      <c r="X43" s="212"/>
      <c r="Y43" s="232"/>
      <c r="Z43" s="19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ht="14.7" thickBot="1" x14ac:dyDescent="0.55000000000000004">
      <c r="A44" t="s">
        <v>432</v>
      </c>
      <c r="B44" s="71">
        <v>46065</v>
      </c>
      <c r="C44" s="2">
        <v>5</v>
      </c>
      <c r="D44" s="254"/>
      <c r="E44" s="280"/>
      <c r="F44" s="58">
        <v>1</v>
      </c>
      <c r="G44" s="69" t="s">
        <v>176</v>
      </c>
      <c r="I44" s="38">
        <v>0.33</v>
      </c>
      <c r="M44" s="38"/>
      <c r="S44" s="199"/>
      <c r="T44" s="232"/>
      <c r="U44" s="213"/>
      <c r="V44" s="215"/>
      <c r="W44" s="216"/>
      <c r="X44" s="214"/>
      <c r="Y44" s="232"/>
      <c r="Z44" s="199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254"/>
      <c r="E45" s="280"/>
      <c r="F45" s="58">
        <v>1</v>
      </c>
      <c r="G45" s="69" t="s">
        <v>176</v>
      </c>
      <c r="I45" s="38">
        <v>0</v>
      </c>
      <c r="M45" s="38"/>
      <c r="S45" s="226"/>
      <c r="T45" s="222"/>
      <c r="U45" s="227"/>
      <c r="V45" s="222"/>
      <c r="W45" s="222"/>
      <c r="X45" s="222"/>
      <c r="Y45" s="222"/>
      <c r="Z45" s="22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ht="14.7" thickBot="1" x14ac:dyDescent="0.55000000000000004">
      <c r="A46" t="s">
        <v>434</v>
      </c>
      <c r="B46" s="71">
        <v>46067</v>
      </c>
      <c r="C46" s="2">
        <v>5.5</v>
      </c>
      <c r="D46" s="254"/>
      <c r="E46" s="280"/>
      <c r="F46" s="58">
        <v>0</v>
      </c>
      <c r="G46" s="69" t="s">
        <v>176</v>
      </c>
      <c r="I46" s="38">
        <v>0</v>
      </c>
      <c r="M46" s="38"/>
      <c r="S46" s="234"/>
      <c r="T46" s="232"/>
      <c r="U46" s="217"/>
      <c r="V46" s="230"/>
      <c r="W46" s="231"/>
      <c r="X46" s="219"/>
      <c r="Y46" s="232"/>
      <c r="Z46" s="233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254"/>
      <c r="E47" s="280"/>
      <c r="F47" s="58">
        <v>1</v>
      </c>
      <c r="G47" s="69" t="s">
        <v>176</v>
      </c>
      <c r="I47" s="38">
        <v>0</v>
      </c>
      <c r="M47" s="38"/>
      <c r="S47" s="234"/>
      <c r="T47" s="197"/>
      <c r="U47" s="218"/>
      <c r="V47" s="251"/>
      <c r="W47" s="252"/>
      <c r="X47" s="220"/>
      <c r="Y47" s="197"/>
      <c r="Z47" s="23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ht="14.7" thickBot="1" x14ac:dyDescent="0.55000000000000004">
      <c r="A48" t="s">
        <v>436</v>
      </c>
      <c r="B48" s="71">
        <v>46069</v>
      </c>
      <c r="C48" s="2">
        <v>4</v>
      </c>
      <c r="D48" s="254"/>
      <c r="E48" s="280"/>
      <c r="F48" s="58">
        <v>1</v>
      </c>
      <c r="G48" s="69" t="s">
        <v>176</v>
      </c>
      <c r="I48" s="38">
        <v>0</v>
      </c>
      <c r="M48" s="38"/>
      <c r="S48" s="234"/>
      <c r="T48" s="232"/>
      <c r="U48" s="217"/>
      <c r="V48" s="230"/>
      <c r="W48" s="231"/>
      <c r="X48" s="219"/>
      <c r="Y48" s="232"/>
      <c r="Z48" s="233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254"/>
      <c r="E49" s="280"/>
      <c r="F49" s="58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7"/>
      <c r="V49" s="222"/>
      <c r="W49" s="222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ht="14.7" thickBot="1" x14ac:dyDescent="0.55000000000000004">
      <c r="A50" t="s">
        <v>438</v>
      </c>
      <c r="B50" s="71">
        <v>46071</v>
      </c>
      <c r="C50" s="2">
        <v>6.8</v>
      </c>
      <c r="D50" s="254"/>
      <c r="E50" s="280"/>
      <c r="F50" s="58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254"/>
      <c r="E51" s="280"/>
      <c r="F51" s="58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4"/>
      <c r="W51" s="213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ht="14.7" thickBot="1" x14ac:dyDescent="0.55000000000000004">
      <c r="A52" t="s">
        <v>433</v>
      </c>
      <c r="B52" s="71">
        <v>46073</v>
      </c>
      <c r="C52" s="2">
        <v>7.2</v>
      </c>
      <c r="D52" s="254"/>
      <c r="E52" s="280"/>
      <c r="F52" s="58">
        <v>1</v>
      </c>
      <c r="G52" s="69" t="s">
        <v>176</v>
      </c>
      <c r="I52" s="38">
        <v>0</v>
      </c>
      <c r="S52" s="226"/>
      <c r="T52" s="222"/>
      <c r="U52" s="222"/>
      <c r="V52" s="237"/>
      <c r="W52" s="237"/>
      <c r="X52" s="223"/>
      <c r="Y52" s="229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254"/>
      <c r="E53" s="280"/>
      <c r="F53" s="58">
        <v>1</v>
      </c>
      <c r="G53" s="69" t="s">
        <v>176</v>
      </c>
      <c r="I53" s="38">
        <v>0</v>
      </c>
      <c r="S53" s="200"/>
      <c r="T53" s="201"/>
      <c r="U53" s="222"/>
      <c r="V53" s="240"/>
      <c r="W53" s="240"/>
      <c r="X53" s="223"/>
      <c r="Y53" s="206"/>
      <c r="Z53" s="2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ht="14.7" thickBot="1" x14ac:dyDescent="0.55000000000000004">
      <c r="A54" t="s">
        <v>435</v>
      </c>
      <c r="B54" s="71">
        <v>46075</v>
      </c>
      <c r="C54" s="2">
        <v>7.6</v>
      </c>
      <c r="D54" s="254"/>
      <c r="E54" s="280"/>
      <c r="F54" s="58">
        <v>0</v>
      </c>
      <c r="G54" s="38" t="s">
        <v>478</v>
      </c>
      <c r="I54" s="38">
        <v>0</v>
      </c>
      <c r="S54" s="202"/>
      <c r="T54" s="203"/>
      <c r="U54" s="222"/>
      <c r="V54" s="195"/>
      <c r="W54" s="196"/>
      <c r="X54" s="223"/>
      <c r="Y54" s="207"/>
      <c r="Z54" s="20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254"/>
      <c r="E55" s="280"/>
      <c r="F55" s="58">
        <v>1</v>
      </c>
      <c r="G55" s="38" t="s">
        <v>463</v>
      </c>
      <c r="I55" s="38">
        <v>0</v>
      </c>
      <c r="S55" s="204"/>
      <c r="T55" s="205"/>
      <c r="U55" s="225"/>
      <c r="V55" s="236"/>
      <c r="W55" s="236"/>
      <c r="X55" s="224"/>
      <c r="Y55" s="208"/>
      <c r="Z55" s="205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>
        <v>5.5</v>
      </c>
      <c r="D56" s="254"/>
      <c r="E56" s="280"/>
      <c r="F56" s="58">
        <v>0</v>
      </c>
      <c r="G56" s="38" t="s">
        <v>463</v>
      </c>
      <c r="I56" s="38">
        <v>0</v>
      </c>
      <c r="V56" s="38"/>
      <c r="W56" s="38"/>
      <c r="X56" s="176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254"/>
      <c r="E57" s="280"/>
      <c r="F57" s="58">
        <v>1</v>
      </c>
      <c r="G57" s="38" t="s">
        <v>463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>
        <v>6</v>
      </c>
      <c r="D58" s="254"/>
      <c r="E58" s="280"/>
      <c r="F58" s="58">
        <v>0</v>
      </c>
      <c r="G58" s="38" t="s">
        <v>463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254"/>
      <c r="E59" s="280"/>
      <c r="F59" s="58">
        <v>1</v>
      </c>
      <c r="G59" s="38" t="s">
        <v>463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>
        <v>7.3</v>
      </c>
      <c r="D60" s="254"/>
      <c r="E60" s="280"/>
      <c r="F60" s="58">
        <v>1</v>
      </c>
      <c r="G60" s="38" t="s">
        <v>463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254">
        <f>AVERAGE(C61:C91)</f>
        <v>6.5161290322580649</v>
      </c>
      <c r="E61" s="280"/>
      <c r="F61" s="58">
        <v>0</v>
      </c>
      <c r="G61" s="38" t="s">
        <v>463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>
        <v>6</v>
      </c>
      <c r="D62" s="254"/>
      <c r="E62" s="280"/>
      <c r="F62" s="58">
        <v>1</v>
      </c>
      <c r="G62" s="38" t="s">
        <v>463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254"/>
      <c r="E63" s="280"/>
      <c r="F63" s="58">
        <v>0</v>
      </c>
      <c r="G63" s="38" t="s">
        <v>463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254"/>
      <c r="E64" s="280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254"/>
      <c r="E65" s="280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254"/>
      <c r="E66" s="280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254"/>
      <c r="E67" s="280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254"/>
      <c r="E68" s="280"/>
      <c r="F68" s="58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>
        <v>5.3</v>
      </c>
      <c r="D69" s="254"/>
      <c r="E69" s="280"/>
      <c r="F69" s="58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>
        <v>5.8</v>
      </c>
      <c r="D70" s="254"/>
      <c r="E70" s="280"/>
      <c r="F70" s="58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>
        <v>5.5</v>
      </c>
      <c r="D71" s="254"/>
      <c r="E71" s="280"/>
      <c r="F71" s="58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>
        <v>5.6</v>
      </c>
      <c r="D72" s="254"/>
      <c r="E72" s="280"/>
      <c r="F72" s="58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>
        <v>8.5</v>
      </c>
      <c r="D73" s="254"/>
      <c r="E73" s="280"/>
      <c r="F73" s="58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>
        <v>7.8</v>
      </c>
      <c r="D74" s="254"/>
      <c r="E74" s="280"/>
      <c r="F74" s="58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>
        <v>10</v>
      </c>
      <c r="D75" s="254"/>
      <c r="E75" s="280"/>
      <c r="F75" s="58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>
        <v>7.5</v>
      </c>
      <c r="D76" s="254"/>
      <c r="E76" s="280"/>
      <c r="F76" s="58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>
        <v>6.2</v>
      </c>
      <c r="D77" s="254"/>
      <c r="E77" s="280"/>
      <c r="F77" s="58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>
        <v>6.2</v>
      </c>
      <c r="D78" s="254"/>
      <c r="E78" s="280"/>
      <c r="F78" s="58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>
        <v>8</v>
      </c>
      <c r="D79" s="254"/>
      <c r="E79" s="280"/>
      <c r="F79" s="58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>
        <v>4</v>
      </c>
      <c r="D80" s="254"/>
      <c r="E80" s="280"/>
      <c r="F80" s="58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>
        <v>5</v>
      </c>
      <c r="D81" s="254"/>
      <c r="E81" s="280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>
        <v>5.9</v>
      </c>
      <c r="D82" s="254"/>
      <c r="E82" s="280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>
        <v>6</v>
      </c>
      <c r="D83" s="254"/>
      <c r="E83" s="280"/>
      <c r="F83" s="58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>
        <v>7</v>
      </c>
      <c r="D84" s="254"/>
      <c r="E84" s="280"/>
      <c r="F84" s="58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>
        <v>6.5</v>
      </c>
      <c r="D85" s="254"/>
      <c r="E85" s="280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>
        <v>5.9</v>
      </c>
      <c r="D86" s="254"/>
      <c r="E86" s="280"/>
      <c r="F86" s="58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>
        <v>6.2</v>
      </c>
      <c r="D87" s="254"/>
      <c r="E87" s="280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>
        <v>5.5</v>
      </c>
      <c r="D88" s="254"/>
      <c r="E88" s="280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>
        <v>5.5</v>
      </c>
      <c r="D89" s="254"/>
      <c r="E89" s="280"/>
      <c r="F89" s="58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>
        <v>8</v>
      </c>
      <c r="D90" s="254"/>
      <c r="E90" s="280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>
        <v>7</v>
      </c>
      <c r="D91" s="254"/>
      <c r="E91" s="280"/>
      <c r="F91" s="58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>
        <v>5.5</v>
      </c>
      <c r="D92" s="254">
        <f>AVERAGE(C92:C121)</f>
        <v>6.1333333333333337</v>
      </c>
      <c r="E92" s="280"/>
      <c r="F92" s="58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>
        <v>5</v>
      </c>
      <c r="D93" s="254"/>
      <c r="E93" s="280"/>
      <c r="F93" s="58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>
        <v>5.8</v>
      </c>
      <c r="D94" s="254"/>
      <c r="E94" s="280"/>
      <c r="F94" s="58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>
        <v>5.5</v>
      </c>
      <c r="D95" s="254"/>
      <c r="E95" s="280"/>
      <c r="F95" s="58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>
        <v>6</v>
      </c>
      <c r="D96" s="254"/>
      <c r="E96" s="280"/>
      <c r="F96" s="58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>
        <v>6.6</v>
      </c>
      <c r="D97" s="254"/>
      <c r="E97" s="280"/>
      <c r="F97" s="58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>
        <v>5.8</v>
      </c>
      <c r="D98" s="254"/>
      <c r="E98" s="280"/>
      <c r="F98" s="58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>
        <v>5.9</v>
      </c>
      <c r="D99" s="254"/>
      <c r="E99" s="280"/>
      <c r="F99" s="58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>
        <v>6</v>
      </c>
      <c r="D100" s="254"/>
      <c r="E100" s="280"/>
      <c r="F100" s="58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>
        <v>6.2</v>
      </c>
      <c r="D101" s="254"/>
      <c r="E101" s="280"/>
      <c r="F101" s="58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>
        <v>7.5</v>
      </c>
      <c r="D102" s="254"/>
      <c r="E102" s="280"/>
      <c r="F102" s="58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>
        <v>6.3</v>
      </c>
      <c r="D103" s="254"/>
      <c r="E103" s="280"/>
      <c r="F103" s="58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>
        <v>6.5</v>
      </c>
      <c r="D104" s="254"/>
      <c r="E104" s="280"/>
      <c r="F104" s="58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>
        <v>5</v>
      </c>
      <c r="D105" s="254"/>
      <c r="E105" s="280"/>
      <c r="F105" s="58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>
        <v>5.7</v>
      </c>
      <c r="D106" s="254"/>
      <c r="E106" s="280"/>
      <c r="F106" s="58">
        <v>0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>
        <v>6</v>
      </c>
      <c r="D107" s="254"/>
      <c r="E107" s="280"/>
      <c r="F107" s="58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>
        <v>5.9</v>
      </c>
      <c r="D108" s="254"/>
      <c r="E108" s="280"/>
      <c r="F108" s="58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>
        <v>5.8</v>
      </c>
      <c r="D109" s="254"/>
      <c r="E109" s="280"/>
      <c r="F109" s="58">
        <v>0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>
        <v>7.2</v>
      </c>
      <c r="D110" s="254"/>
      <c r="E110" s="280"/>
      <c r="F110" s="58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>
        <v>5.5</v>
      </c>
      <c r="D111" s="254"/>
      <c r="E111" s="280"/>
      <c r="F111" s="58">
        <v>0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>
        <v>6.3</v>
      </c>
      <c r="D112" s="254"/>
      <c r="E112" s="280"/>
      <c r="F112" s="58">
        <v>0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>
        <v>2</v>
      </c>
      <c r="D113" s="254"/>
      <c r="E113" s="280"/>
      <c r="F113" s="58">
        <v>1</v>
      </c>
      <c r="G113" s="38" t="s">
        <v>176</v>
      </c>
      <c r="H113" s="38" t="s">
        <v>538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>
        <v>7</v>
      </c>
      <c r="D114" s="254"/>
      <c r="E114" s="280"/>
      <c r="F114" s="58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>
        <v>10</v>
      </c>
      <c r="D115" s="254"/>
      <c r="E115" s="280"/>
      <c r="F115" s="58">
        <v>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>
        <v>9</v>
      </c>
      <c r="D116" s="254"/>
      <c r="E116" s="280"/>
      <c r="F116" s="58">
        <v>0</v>
      </c>
      <c r="G116" s="38" t="s">
        <v>534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>
        <v>6.3</v>
      </c>
      <c r="D117" s="254"/>
      <c r="E117" s="280"/>
      <c r="F117" s="58">
        <v>1</v>
      </c>
      <c r="G117" s="38" t="s">
        <v>535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>
        <v>6.2</v>
      </c>
      <c r="D118" s="254"/>
      <c r="E118" s="280"/>
      <c r="F118" s="58">
        <v>1</v>
      </c>
      <c r="G118" s="38" t="s">
        <v>176</v>
      </c>
      <c r="H118" s="38" t="s">
        <v>536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>
        <v>5.7</v>
      </c>
      <c r="D119" s="254"/>
      <c r="E119" s="280"/>
      <c r="F119" s="58">
        <v>1</v>
      </c>
      <c r="G119" s="38" t="s">
        <v>521</v>
      </c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>
        <v>4.8</v>
      </c>
      <c r="D120" s="254"/>
      <c r="E120" s="280"/>
      <c r="F120" s="58">
        <v>0</v>
      </c>
      <c r="G120" s="38" t="s">
        <v>463</v>
      </c>
      <c r="H120" s="38" t="s">
        <v>537</v>
      </c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>
        <v>7</v>
      </c>
      <c r="D121" s="254"/>
      <c r="E121" s="280"/>
      <c r="F121" s="58">
        <v>1</v>
      </c>
      <c r="G121" s="38" t="s">
        <v>463</v>
      </c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>
        <v>6.2</v>
      </c>
      <c r="D122" s="254">
        <f>AVERAGE(C122:C151)</f>
        <v>5.7</v>
      </c>
      <c r="E122" s="280"/>
      <c r="F122" s="58">
        <v>0</v>
      </c>
      <c r="G122" s="38" t="s">
        <v>463</v>
      </c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>
        <v>5.6</v>
      </c>
      <c r="D123" s="254"/>
      <c r="E123" s="280"/>
      <c r="F123" s="58">
        <v>1</v>
      </c>
      <c r="G123" s="38" t="s">
        <v>463</v>
      </c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>
        <v>5.4</v>
      </c>
      <c r="D124" s="254"/>
      <c r="E124" s="280"/>
      <c r="F124" s="58">
        <v>1</v>
      </c>
      <c r="G124" s="38" t="s">
        <v>463</v>
      </c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>
        <v>4.8</v>
      </c>
      <c r="D125" s="254"/>
      <c r="E125" s="280"/>
      <c r="F125" s="58">
        <v>1</v>
      </c>
      <c r="G125" s="38" t="s">
        <v>463</v>
      </c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>
        <v>4.5</v>
      </c>
      <c r="D126" s="254"/>
      <c r="E126" s="280"/>
      <c r="F126" s="58">
        <v>0</v>
      </c>
      <c r="G126" s="38" t="s">
        <v>463</v>
      </c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>
        <v>6</v>
      </c>
      <c r="D127" s="254"/>
      <c r="E127" s="280"/>
      <c r="F127" s="58">
        <v>0</v>
      </c>
      <c r="G127" s="38" t="s">
        <v>463</v>
      </c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>
        <v>7</v>
      </c>
      <c r="D128" s="254"/>
      <c r="E128" s="280"/>
      <c r="F128" s="58">
        <v>0</v>
      </c>
      <c r="G128" s="38" t="s">
        <v>463</v>
      </c>
      <c r="I128" s="38">
        <v>0.3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>
        <v>4.8</v>
      </c>
      <c r="D129" s="254"/>
      <c r="E129" s="280"/>
      <c r="F129" s="58">
        <v>1</v>
      </c>
      <c r="G129" s="38" t="s">
        <v>463</v>
      </c>
      <c r="I129" s="38">
        <v>0.5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>
        <v>6.5</v>
      </c>
      <c r="D130" s="254"/>
      <c r="E130" s="280"/>
      <c r="F130" s="58">
        <v>1</v>
      </c>
      <c r="G130" s="38" t="s">
        <v>463</v>
      </c>
      <c r="I130" s="38">
        <v>0.2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>
        <v>6.2</v>
      </c>
      <c r="D131" s="254"/>
      <c r="E131" s="280"/>
      <c r="F131" s="58">
        <v>1</v>
      </c>
      <c r="G131" s="38" t="s">
        <v>463</v>
      </c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>
        <v>6.9</v>
      </c>
      <c r="D132" s="254"/>
      <c r="E132" s="280"/>
      <c r="F132" s="58">
        <v>0</v>
      </c>
      <c r="G132" s="38" t="s">
        <v>463</v>
      </c>
      <c r="H132" s="38" t="s">
        <v>543</v>
      </c>
      <c r="I132" s="38">
        <v>0.1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>
        <v>5.2</v>
      </c>
      <c r="D133" s="254"/>
      <c r="E133" s="280"/>
      <c r="F133" s="58">
        <v>1</v>
      </c>
      <c r="G133" s="38" t="s">
        <v>463</v>
      </c>
      <c r="I133" s="38">
        <v>0.2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>
        <v>5.8</v>
      </c>
      <c r="D134" s="254"/>
      <c r="E134" s="280"/>
      <c r="F134" s="58">
        <v>1</v>
      </c>
      <c r="G134" s="38" t="s">
        <v>463</v>
      </c>
      <c r="I134" s="38">
        <v>0.2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>
        <v>5.5</v>
      </c>
      <c r="D135" s="254"/>
      <c r="E135" s="280"/>
      <c r="F135" s="58">
        <v>1</v>
      </c>
      <c r="G135" s="38" t="s">
        <v>463</v>
      </c>
      <c r="I135" s="38">
        <v>0.2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>
        <v>5.2</v>
      </c>
      <c r="D136" s="254"/>
      <c r="E136" s="280"/>
      <c r="F136" s="58">
        <v>0</v>
      </c>
      <c r="G136" s="38" t="s">
        <v>463</v>
      </c>
      <c r="I136" s="38">
        <v>0.1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>
        <v>5.4</v>
      </c>
      <c r="D137" s="254"/>
      <c r="E137" s="280"/>
      <c r="F137" s="58">
        <v>0</v>
      </c>
      <c r="G137" s="38" t="s">
        <v>463</v>
      </c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>
        <v>5.6</v>
      </c>
      <c r="D138" s="254"/>
      <c r="E138" s="280"/>
      <c r="F138" s="58">
        <v>1</v>
      </c>
      <c r="G138" s="38" t="s">
        <v>463</v>
      </c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>
        <v>5.2</v>
      </c>
      <c r="D139" s="254"/>
      <c r="E139" s="280"/>
      <c r="F139" s="58">
        <v>1</v>
      </c>
      <c r="G139" s="38" t="s">
        <v>463</v>
      </c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>
        <v>6.2</v>
      </c>
      <c r="D140" s="254"/>
      <c r="E140" s="280"/>
      <c r="F140" s="58">
        <v>0</v>
      </c>
      <c r="G140" s="38" t="s">
        <v>463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>
        <v>5.8</v>
      </c>
      <c r="D141" s="254"/>
      <c r="E141" s="280"/>
      <c r="F141" s="58">
        <v>0</v>
      </c>
      <c r="G141" s="38" t="s">
        <v>463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>
        <v>5.4</v>
      </c>
      <c r="D142" s="254"/>
      <c r="E142" s="280"/>
      <c r="F142" s="58">
        <v>0</v>
      </c>
      <c r="G142" s="38" t="s">
        <v>463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>
        <v>5.5</v>
      </c>
      <c r="D143" s="254"/>
      <c r="E143" s="280"/>
      <c r="F143" s="58">
        <v>1</v>
      </c>
      <c r="G143" s="38" t="s">
        <v>463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>
        <v>6.4</v>
      </c>
      <c r="D144" s="254"/>
      <c r="E144" s="280"/>
      <c r="F144" s="58">
        <v>1</v>
      </c>
      <c r="G144" s="38" t="s">
        <v>463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254"/>
      <c r="E145" s="280"/>
      <c r="F145" s="58">
        <v>1</v>
      </c>
      <c r="G145" s="38" t="s">
        <v>463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254"/>
      <c r="E146" s="280"/>
      <c r="F146" s="58">
        <v>1</v>
      </c>
      <c r="G146" s="38" t="s">
        <v>463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254"/>
      <c r="E147" s="280"/>
      <c r="F147" s="58">
        <v>1</v>
      </c>
      <c r="G147" s="38" t="s">
        <v>463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254"/>
      <c r="E148" s="280"/>
      <c r="F148" s="58">
        <v>1</v>
      </c>
      <c r="G148" s="38" t="s">
        <v>463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254"/>
      <c r="E149" s="280"/>
      <c r="F149" s="58">
        <v>1</v>
      </c>
      <c r="G149" s="38" t="s">
        <v>463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254"/>
      <c r="E150" s="280"/>
      <c r="F150" s="58">
        <v>1</v>
      </c>
      <c r="G150" s="38" t="s">
        <v>463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254"/>
      <c r="E151" s="280"/>
      <c r="F151" s="58">
        <v>1</v>
      </c>
      <c r="G151" s="38" t="s">
        <v>463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254"/>
      <c r="E152" s="280"/>
      <c r="F152" s="58">
        <v>1</v>
      </c>
      <c r="G152" s="38" t="s">
        <v>463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254"/>
      <c r="E153" s="280"/>
      <c r="G153" s="38" t="s">
        <v>463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254"/>
      <c r="E154" s="280"/>
      <c r="G154" s="38" t="s">
        <v>463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254"/>
      <c r="E155" s="280"/>
      <c r="G155" s="38" t="s">
        <v>463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254"/>
      <c r="E156" s="280"/>
      <c r="G156" s="38" t="s">
        <v>463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254"/>
      <c r="E157" s="280"/>
      <c r="G157" s="38" t="s">
        <v>463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254"/>
      <c r="E158" s="280"/>
      <c r="G158" s="38" t="s">
        <v>463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254"/>
      <c r="E159" s="280"/>
      <c r="G159" s="38" t="s">
        <v>463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254"/>
      <c r="E160" s="280"/>
      <c r="G160" s="38" t="s">
        <v>463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254"/>
      <c r="E161" s="280"/>
      <c r="G161" s="38" t="s">
        <v>463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254"/>
      <c r="E162" s="280"/>
      <c r="G162" s="38" t="s">
        <v>463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254"/>
      <c r="E163" s="280"/>
      <c r="G163" s="38" t="s">
        <v>463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254"/>
      <c r="E164" s="280"/>
      <c r="G164" s="38" t="s">
        <v>463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254"/>
      <c r="E165" s="280"/>
      <c r="G165" s="38" t="s">
        <v>463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254"/>
      <c r="E166" s="280"/>
      <c r="G166" s="38" t="s">
        <v>463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254"/>
      <c r="E167" s="280"/>
      <c r="G167" s="38" t="s">
        <v>463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254"/>
      <c r="E168" s="280"/>
      <c r="G168" s="38" t="s">
        <v>463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254"/>
      <c r="E169" s="280"/>
      <c r="G169" s="38" t="s">
        <v>463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254"/>
      <c r="E170" s="280"/>
      <c r="G170" s="38" t="s">
        <v>463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254"/>
      <c r="E171" s="280"/>
      <c r="G171" s="38" t="s">
        <v>463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254"/>
      <c r="E172" s="280"/>
      <c r="G172" s="38" t="s">
        <v>463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254"/>
      <c r="E173" s="280"/>
      <c r="G173" s="38" t="s">
        <v>463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254"/>
      <c r="E174" s="280"/>
      <c r="G174" s="38" t="s">
        <v>463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254"/>
      <c r="E175" s="280"/>
      <c r="G175" s="38" t="s">
        <v>463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254"/>
      <c r="E176" s="280"/>
      <c r="G176" s="38" t="s">
        <v>463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254"/>
      <c r="E177" s="280"/>
      <c r="G177" s="38" t="s">
        <v>463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254"/>
      <c r="E178" s="280"/>
      <c r="G178" s="38" t="s">
        <v>463</v>
      </c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254"/>
      <c r="E179" s="280"/>
      <c r="G179" s="38" t="s">
        <v>463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254"/>
      <c r="E180" s="280"/>
      <c r="G180" s="38" t="s">
        <v>463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254"/>
      <c r="E181" s="280"/>
      <c r="G181" s="38" t="s">
        <v>463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254"/>
      <c r="E182" s="280"/>
      <c r="G182" s="38" t="s">
        <v>463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254"/>
      <c r="E183" s="280"/>
      <c r="G183" s="38" t="s">
        <v>463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254"/>
      <c r="E184" s="280"/>
      <c r="G184" s="38" t="s">
        <v>463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254"/>
      <c r="E185" s="280"/>
      <c r="G185" s="38" t="s">
        <v>463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254"/>
      <c r="E186" s="280"/>
      <c r="G186" s="38" t="s">
        <v>463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254"/>
      <c r="E187" s="280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254"/>
      <c r="E188" s="280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254"/>
      <c r="E189" s="280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254"/>
      <c r="E190" s="280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254"/>
      <c r="E191" s="280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254"/>
      <c r="E192" s="280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254"/>
      <c r="E193" s="280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254"/>
      <c r="E194" s="280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254"/>
      <c r="E195" s="280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254"/>
      <c r="E196" s="280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254"/>
      <c r="E197" s="280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254"/>
      <c r="E198" s="280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254"/>
      <c r="E199" s="280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254"/>
      <c r="E200" s="280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254"/>
      <c r="E201" s="280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254"/>
      <c r="E202" s="280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254"/>
      <c r="E203" s="280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254"/>
      <c r="E204" s="280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254"/>
      <c r="E205" s="280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254"/>
      <c r="E206" s="280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254"/>
      <c r="E207" s="280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254"/>
      <c r="E208" s="280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254"/>
      <c r="E209" s="280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254"/>
      <c r="E210" s="280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254"/>
      <c r="E211" s="280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254"/>
      <c r="E212" s="280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254"/>
      <c r="E213" s="280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254"/>
      <c r="E214" s="280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254"/>
      <c r="E215" s="280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254"/>
      <c r="E216" s="280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254"/>
      <c r="E217" s="280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254"/>
      <c r="E218" s="280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254"/>
      <c r="E219" s="280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254"/>
      <c r="E220" s="280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254"/>
      <c r="E221" s="280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254"/>
      <c r="E222" s="280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254"/>
      <c r="E223" s="280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254"/>
      <c r="E224" s="280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254"/>
      <c r="E225" s="280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254"/>
      <c r="E226" s="280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254"/>
      <c r="E227" s="280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254"/>
      <c r="E228" s="280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254"/>
      <c r="E229" s="280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254"/>
      <c r="E230" s="280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254"/>
      <c r="E231" s="280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254"/>
      <c r="E232" s="280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254"/>
      <c r="E233" s="280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254"/>
      <c r="E234" s="280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254"/>
      <c r="E235" s="280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254"/>
      <c r="E236" s="280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254"/>
      <c r="E237" s="280"/>
      <c r="H237" s="281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254"/>
      <c r="E238" s="280"/>
      <c r="H238" s="281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254"/>
      <c r="E239" s="280"/>
      <c r="H239" s="281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254"/>
      <c r="E240" s="280"/>
      <c r="H240" s="281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254"/>
      <c r="E241" s="280"/>
      <c r="H241" s="281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254"/>
      <c r="E242" s="280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254"/>
      <c r="E243" s="280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254"/>
      <c r="E244" s="280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254"/>
      <c r="E245" s="280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254"/>
      <c r="E246" s="280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254"/>
      <c r="E247" s="280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254"/>
      <c r="E248" s="280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254"/>
      <c r="E249" s="280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254"/>
      <c r="E250" s="280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254"/>
      <c r="E251" s="280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254"/>
      <c r="E252" s="280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254"/>
      <c r="E253" s="280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254"/>
      <c r="E254" s="280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254"/>
      <c r="E255" s="280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254"/>
      <c r="E256" s="280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254"/>
      <c r="E257" s="280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254"/>
      <c r="E258" s="280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254"/>
      <c r="E259" s="280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254"/>
      <c r="E260" s="280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254"/>
      <c r="E261" s="280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254"/>
      <c r="E262" s="280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254"/>
      <c r="E263" s="280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254"/>
      <c r="E264" s="280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254"/>
      <c r="E265" s="280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254"/>
      <c r="E266" s="280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254"/>
      <c r="E267" s="280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254"/>
      <c r="E268" s="280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254"/>
      <c r="E269" s="280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254"/>
      <c r="E270" s="280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254"/>
      <c r="E271" s="280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254"/>
      <c r="E272" s="280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254"/>
      <c r="E273" s="280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254"/>
      <c r="E274" s="280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254"/>
      <c r="E275" s="280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254"/>
      <c r="E276" s="280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254"/>
      <c r="E277" s="280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254"/>
      <c r="E278" s="280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254"/>
      <c r="E279" s="280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254"/>
      <c r="E280" s="280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254"/>
      <c r="E281" s="280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254"/>
      <c r="E282" s="280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254"/>
      <c r="E283" s="280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254"/>
      <c r="E284" s="280"/>
      <c r="I284" s="38">
        <v>0</v>
      </c>
      <c r="AM284" s="1">
        <v>45940</v>
      </c>
      <c r="AN284" s="2">
        <v>4.5</v>
      </c>
      <c r="AO284" s="2">
        <v>6</v>
      </c>
    </row>
    <row r="285" spans="1:55" ht="14.7" thickBot="1" x14ac:dyDescent="0.55000000000000004">
      <c r="A285" t="s">
        <v>435</v>
      </c>
      <c r="B285" s="53">
        <v>46306</v>
      </c>
      <c r="C285" s="2"/>
      <c r="D285" s="254"/>
      <c r="E285" s="280"/>
      <c r="I285" s="38">
        <v>0</v>
      </c>
      <c r="AM285" s="1">
        <v>45941</v>
      </c>
      <c r="AN285" s="2">
        <v>6</v>
      </c>
      <c r="AO285" s="2">
        <v>8</v>
      </c>
    </row>
    <row r="286" spans="1:55" x14ac:dyDescent="0.5">
      <c r="A286" t="s">
        <v>436</v>
      </c>
      <c r="B286" s="71">
        <v>46307</v>
      </c>
      <c r="C286" s="2"/>
      <c r="D286" s="254"/>
      <c r="E286" s="280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</row>
    <row r="287" spans="1:55" ht="14.7" thickBot="1" x14ac:dyDescent="0.55000000000000004">
      <c r="A287" t="s">
        <v>437</v>
      </c>
      <c r="B287" s="53">
        <v>46308</v>
      </c>
      <c r="C287" s="2"/>
      <c r="D287" s="254"/>
      <c r="E287" s="280"/>
      <c r="H287" s="281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254"/>
      <c r="E288" s="280"/>
      <c r="H288" s="281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254"/>
      <c r="E289" s="280"/>
      <c r="H289" s="281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254"/>
      <c r="E290" s="280"/>
      <c r="H290" s="281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254"/>
      <c r="E291" s="280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254"/>
      <c r="E292" s="280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254"/>
      <c r="E293" s="280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254"/>
      <c r="E294" s="280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254"/>
      <c r="E295" s="280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254"/>
      <c r="E296" s="280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254"/>
      <c r="E297" s="280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254"/>
      <c r="E298" s="280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254"/>
      <c r="E299" s="280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254"/>
      <c r="E300" s="280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254"/>
      <c r="E301" s="280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254"/>
      <c r="E302" s="280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254"/>
      <c r="E303" s="280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254"/>
      <c r="E304" s="280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254"/>
      <c r="E305" s="280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254"/>
      <c r="E306" s="280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254"/>
      <c r="E307" s="280"/>
      <c r="H307" s="281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254"/>
      <c r="E308" s="280"/>
      <c r="H308" s="281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254"/>
      <c r="E309" s="280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254"/>
      <c r="E310" s="280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254"/>
      <c r="E311" s="280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254"/>
      <c r="E312" s="280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254"/>
      <c r="E313" s="280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254"/>
      <c r="E314" s="280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254"/>
      <c r="E315" s="280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254"/>
      <c r="E316" s="280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254"/>
      <c r="E317" s="280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254"/>
      <c r="E318" s="280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254"/>
      <c r="E319" s="280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254"/>
      <c r="E320" s="280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254"/>
      <c r="E321" s="280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254"/>
      <c r="E322" s="280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254"/>
      <c r="E323" s="280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254"/>
      <c r="E324" s="280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254"/>
      <c r="E325" s="280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254"/>
      <c r="E326" s="280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254"/>
      <c r="E327" s="280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254"/>
      <c r="E328" s="280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254"/>
      <c r="E329" s="280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254"/>
      <c r="E330" s="280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254"/>
      <c r="E331" s="280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254"/>
      <c r="E332" s="280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254"/>
      <c r="E333" s="280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254"/>
      <c r="E334" s="280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254"/>
      <c r="E335" s="280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254"/>
      <c r="E336" s="280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254"/>
      <c r="E337" s="280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254"/>
      <c r="E338" s="280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254"/>
      <c r="E339" s="280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254"/>
      <c r="E340" s="280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254"/>
      <c r="E341" s="280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254"/>
      <c r="E342" s="280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254"/>
      <c r="E343" s="280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254"/>
      <c r="E344" s="280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254"/>
      <c r="E345" s="280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254"/>
      <c r="E346" s="280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254"/>
      <c r="E347" s="280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254"/>
      <c r="E348" s="280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254"/>
      <c r="E349" s="280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254"/>
      <c r="E350" s="280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254"/>
      <c r="E351" s="280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254"/>
      <c r="E352" s="280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254"/>
      <c r="E353" s="280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254"/>
      <c r="E354" s="280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254"/>
      <c r="E355" s="280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254"/>
      <c r="E356" s="280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254"/>
      <c r="E357" s="280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254"/>
      <c r="E358" s="280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254"/>
      <c r="E359" s="280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254"/>
      <c r="E360" s="280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254"/>
      <c r="E361" s="280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254"/>
      <c r="E362" s="280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254"/>
      <c r="E363" s="280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254"/>
      <c r="E364" s="280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254"/>
      <c r="E365" s="280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254"/>
      <c r="E366" s="280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6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0AC88-9315-4C6A-8BC7-94A1FBF8A424}">
  <dimension ref="A1:K229"/>
  <sheetViews>
    <sheetView topLeftCell="A2" zoomScale="67" workbookViewId="0">
      <selection activeCell="F6" sqref="F6"/>
    </sheetView>
  </sheetViews>
  <sheetFormatPr defaultRowHeight="14.35" x14ac:dyDescent="0.5"/>
  <cols>
    <col min="1" max="1" width="10.1171875" bestFit="1" customWidth="1"/>
    <col min="2" max="2" width="9.52734375" bestFit="1" customWidth="1"/>
    <col min="3" max="3" width="14.64453125" bestFit="1" customWidth="1"/>
    <col min="10" max="10" width="9.46875" bestFit="1" customWidth="1"/>
  </cols>
  <sheetData>
    <row r="1" spans="1:7" s="253" customFormat="1" ht="57.35" x14ac:dyDescent="0.5">
      <c r="A1" s="253" t="s">
        <v>108</v>
      </c>
      <c r="B1" s="253" t="s">
        <v>544</v>
      </c>
      <c r="C1" s="253" t="s">
        <v>546</v>
      </c>
      <c r="D1" s="253" t="s">
        <v>545</v>
      </c>
      <c r="E1" s="253" t="s">
        <v>547</v>
      </c>
      <c r="F1" s="253" t="s">
        <v>548</v>
      </c>
      <c r="G1" s="253" t="s">
        <v>549</v>
      </c>
    </row>
    <row r="2" spans="1:7" x14ac:dyDescent="0.5">
      <c r="A2" s="172">
        <v>46160</v>
      </c>
      <c r="B2">
        <f>SUM(C2:H2)</f>
        <v>8</v>
      </c>
      <c r="C2">
        <v>3</v>
      </c>
      <c r="D2">
        <v>2</v>
      </c>
      <c r="E2">
        <v>0</v>
      </c>
      <c r="F2">
        <v>2</v>
      </c>
      <c r="G2">
        <v>1</v>
      </c>
    </row>
    <row r="3" spans="1:7" x14ac:dyDescent="0.5">
      <c r="A3" s="172">
        <v>46161</v>
      </c>
      <c r="B3">
        <f t="shared" ref="B3:B66" si="0">SUM(C3:H3)</f>
        <v>6</v>
      </c>
      <c r="C3">
        <v>1</v>
      </c>
      <c r="D3">
        <v>1</v>
      </c>
      <c r="E3">
        <v>2</v>
      </c>
      <c r="F3">
        <v>1</v>
      </c>
      <c r="G3">
        <v>1</v>
      </c>
    </row>
    <row r="4" spans="1:7" x14ac:dyDescent="0.5">
      <c r="A4" s="172">
        <v>46162</v>
      </c>
      <c r="B4">
        <f t="shared" si="0"/>
        <v>4</v>
      </c>
      <c r="C4">
        <v>0</v>
      </c>
      <c r="D4">
        <v>0</v>
      </c>
      <c r="E4">
        <v>2</v>
      </c>
      <c r="F4">
        <v>1</v>
      </c>
      <c r="G4">
        <v>1</v>
      </c>
    </row>
    <row r="5" spans="1:7" x14ac:dyDescent="0.5">
      <c r="A5" s="172">
        <v>46163</v>
      </c>
      <c r="B5">
        <f t="shared" si="0"/>
        <v>0</v>
      </c>
    </row>
    <row r="6" spans="1:7" x14ac:dyDescent="0.5">
      <c r="A6" s="172">
        <v>46164</v>
      </c>
      <c r="B6">
        <f t="shared" si="0"/>
        <v>0</v>
      </c>
    </row>
    <row r="7" spans="1:7" x14ac:dyDescent="0.5">
      <c r="A7" s="172">
        <v>46165</v>
      </c>
      <c r="B7">
        <f t="shared" si="0"/>
        <v>0</v>
      </c>
    </row>
    <row r="8" spans="1:7" x14ac:dyDescent="0.5">
      <c r="A8" s="172">
        <v>46166</v>
      </c>
      <c r="B8">
        <f t="shared" si="0"/>
        <v>0</v>
      </c>
    </row>
    <row r="9" spans="1:7" x14ac:dyDescent="0.5">
      <c r="A9" s="172">
        <v>46167</v>
      </c>
      <c r="B9">
        <f t="shared" si="0"/>
        <v>0</v>
      </c>
    </row>
    <row r="10" spans="1:7" x14ac:dyDescent="0.5">
      <c r="A10" s="172">
        <v>46168</v>
      </c>
      <c r="B10">
        <f t="shared" si="0"/>
        <v>0</v>
      </c>
    </row>
    <row r="11" spans="1:7" x14ac:dyDescent="0.5">
      <c r="A11" s="172">
        <v>46169</v>
      </c>
      <c r="B11">
        <f t="shared" si="0"/>
        <v>0</v>
      </c>
    </row>
    <row r="12" spans="1:7" x14ac:dyDescent="0.5">
      <c r="A12" s="172">
        <v>46170</v>
      </c>
      <c r="B12">
        <f t="shared" si="0"/>
        <v>0</v>
      </c>
    </row>
    <row r="13" spans="1:7" x14ac:dyDescent="0.5">
      <c r="A13" s="172">
        <v>46171</v>
      </c>
      <c r="B13">
        <f t="shared" si="0"/>
        <v>0</v>
      </c>
    </row>
    <row r="14" spans="1:7" x14ac:dyDescent="0.5">
      <c r="A14" s="172">
        <v>46172</v>
      </c>
      <c r="B14">
        <f t="shared" si="0"/>
        <v>0</v>
      </c>
    </row>
    <row r="15" spans="1:7" x14ac:dyDescent="0.5">
      <c r="A15" s="172">
        <v>46173</v>
      </c>
      <c r="B15">
        <f t="shared" si="0"/>
        <v>0</v>
      </c>
    </row>
    <row r="16" spans="1:7" x14ac:dyDescent="0.5">
      <c r="A16" s="172">
        <v>46174</v>
      </c>
      <c r="B16">
        <f t="shared" si="0"/>
        <v>0</v>
      </c>
    </row>
    <row r="17" spans="1:11" x14ac:dyDescent="0.5">
      <c r="A17" s="172">
        <v>46175</v>
      </c>
      <c r="B17">
        <f t="shared" si="0"/>
        <v>0</v>
      </c>
    </row>
    <row r="18" spans="1:11" x14ac:dyDescent="0.5">
      <c r="A18" s="172">
        <v>46176</v>
      </c>
      <c r="B18">
        <f t="shared" si="0"/>
        <v>0</v>
      </c>
    </row>
    <row r="19" spans="1:11" x14ac:dyDescent="0.5">
      <c r="A19" s="172">
        <v>46177</v>
      </c>
      <c r="B19">
        <f t="shared" si="0"/>
        <v>0</v>
      </c>
    </row>
    <row r="20" spans="1:11" x14ac:dyDescent="0.5">
      <c r="A20" s="172">
        <v>46178</v>
      </c>
      <c r="B20">
        <f t="shared" si="0"/>
        <v>0</v>
      </c>
    </row>
    <row r="21" spans="1:11" x14ac:dyDescent="0.5">
      <c r="A21" s="172">
        <v>46179</v>
      </c>
      <c r="B21">
        <f t="shared" si="0"/>
        <v>0</v>
      </c>
    </row>
    <row r="22" spans="1:11" x14ac:dyDescent="0.5">
      <c r="A22" s="172">
        <v>46180</v>
      </c>
      <c r="B22">
        <f t="shared" si="0"/>
        <v>0</v>
      </c>
    </row>
    <row r="23" spans="1:11" x14ac:dyDescent="0.5">
      <c r="A23" s="172">
        <v>46181</v>
      </c>
      <c r="B23">
        <f t="shared" si="0"/>
        <v>0</v>
      </c>
    </row>
    <row r="24" spans="1:11" x14ac:dyDescent="0.5">
      <c r="A24" s="172">
        <v>46182</v>
      </c>
      <c r="B24">
        <f t="shared" si="0"/>
        <v>0</v>
      </c>
    </row>
    <row r="25" spans="1:11" x14ac:dyDescent="0.5">
      <c r="A25" s="172">
        <v>46183</v>
      </c>
      <c r="B25">
        <f t="shared" si="0"/>
        <v>0</v>
      </c>
    </row>
    <row r="26" spans="1:11" x14ac:dyDescent="0.5">
      <c r="A26" s="172">
        <v>46184</v>
      </c>
      <c r="B26">
        <f t="shared" si="0"/>
        <v>0</v>
      </c>
    </row>
    <row r="27" spans="1:11" x14ac:dyDescent="0.5">
      <c r="A27" s="172">
        <v>46185</v>
      </c>
      <c r="B27">
        <f t="shared" si="0"/>
        <v>0</v>
      </c>
    </row>
    <row r="28" spans="1:11" x14ac:dyDescent="0.5">
      <c r="A28" s="172">
        <v>46186</v>
      </c>
      <c r="B28">
        <f t="shared" si="0"/>
        <v>0</v>
      </c>
    </row>
    <row r="29" spans="1:11" x14ac:dyDescent="0.5">
      <c r="A29" s="172">
        <v>46187</v>
      </c>
      <c r="B29">
        <f t="shared" si="0"/>
        <v>0</v>
      </c>
    </row>
    <row r="30" spans="1:11" x14ac:dyDescent="0.5">
      <c r="A30" s="172">
        <v>46188</v>
      </c>
      <c r="B30">
        <f t="shared" si="0"/>
        <v>0</v>
      </c>
    </row>
    <row r="31" spans="1:11" x14ac:dyDescent="0.5">
      <c r="A31" s="172">
        <v>46189</v>
      </c>
      <c r="B31">
        <f t="shared" si="0"/>
        <v>0</v>
      </c>
    </row>
    <row r="32" spans="1:11" x14ac:dyDescent="0.5">
      <c r="A32" s="172">
        <v>46190</v>
      </c>
      <c r="B32">
        <f t="shared" si="0"/>
        <v>0</v>
      </c>
      <c r="J32" t="s">
        <v>208</v>
      </c>
      <c r="K32" t="s">
        <v>550</v>
      </c>
    </row>
    <row r="33" spans="1:11" x14ac:dyDescent="0.5">
      <c r="A33" s="172">
        <v>46191</v>
      </c>
      <c r="B33">
        <f t="shared" si="0"/>
        <v>0</v>
      </c>
      <c r="J33" t="s">
        <v>551</v>
      </c>
      <c r="K33">
        <f>COUNTIFS($B$2:$B$229,"&gt;=0",$B$2:$B$229,"&lt;=6")</f>
        <v>227</v>
      </c>
    </row>
    <row r="34" spans="1:11" x14ac:dyDescent="0.5">
      <c r="A34" s="172">
        <v>46192</v>
      </c>
      <c r="B34">
        <f t="shared" si="0"/>
        <v>0</v>
      </c>
      <c r="J34" t="s">
        <v>552</v>
      </c>
      <c r="K34">
        <f>COUNTIFS($B$2:$B$229,"&gt;6",$B$2:$B$229,"&lt;=9")</f>
        <v>1</v>
      </c>
    </row>
    <row r="35" spans="1:11" x14ac:dyDescent="0.5">
      <c r="A35" s="172">
        <v>46193</v>
      </c>
      <c r="B35">
        <f t="shared" si="0"/>
        <v>0</v>
      </c>
      <c r="J35" t="s">
        <v>553</v>
      </c>
      <c r="K35">
        <f>COUNTIFS($B$2:$B$229,"&gt;=10",$B$2:$B$229,"&lt;=11")</f>
        <v>0</v>
      </c>
    </row>
    <row r="36" spans="1:11" x14ac:dyDescent="0.5">
      <c r="A36" s="172">
        <v>46194</v>
      </c>
      <c r="B36">
        <f t="shared" si="0"/>
        <v>0</v>
      </c>
      <c r="J36" t="s">
        <v>554</v>
      </c>
      <c r="K36">
        <f>COUNTIFS($B$2:$B$229,"&gt;=12",$B$2:$B$229,"&lt;=13")</f>
        <v>0</v>
      </c>
    </row>
    <row r="37" spans="1:11" x14ac:dyDescent="0.5">
      <c r="A37" s="172">
        <v>46195</v>
      </c>
      <c r="B37">
        <f t="shared" si="0"/>
        <v>0</v>
      </c>
      <c r="J37" t="s">
        <v>555</v>
      </c>
      <c r="K37">
        <f>COUNTIFS($B$2:$B$229,"&gt;=14",$B$2:$B$229,"&lt;=15")</f>
        <v>0</v>
      </c>
    </row>
    <row r="38" spans="1:11" x14ac:dyDescent="0.5">
      <c r="A38" s="172">
        <v>46196</v>
      </c>
      <c r="B38">
        <f t="shared" si="0"/>
        <v>0</v>
      </c>
    </row>
    <row r="39" spans="1:11" x14ac:dyDescent="0.5">
      <c r="A39" s="172">
        <v>46197</v>
      </c>
      <c r="B39">
        <f t="shared" si="0"/>
        <v>0</v>
      </c>
    </row>
    <row r="40" spans="1:11" x14ac:dyDescent="0.5">
      <c r="A40" s="172">
        <v>46198</v>
      </c>
      <c r="B40">
        <f t="shared" si="0"/>
        <v>0</v>
      </c>
    </row>
    <row r="41" spans="1:11" x14ac:dyDescent="0.5">
      <c r="A41" s="172">
        <v>46199</v>
      </c>
      <c r="B41">
        <f t="shared" si="0"/>
        <v>0</v>
      </c>
    </row>
    <row r="42" spans="1:11" x14ac:dyDescent="0.5">
      <c r="A42" s="172">
        <v>46200</v>
      </c>
      <c r="B42">
        <f t="shared" si="0"/>
        <v>0</v>
      </c>
    </row>
    <row r="43" spans="1:11" x14ac:dyDescent="0.5">
      <c r="A43" s="172">
        <v>46201</v>
      </c>
      <c r="B43">
        <f t="shared" si="0"/>
        <v>0</v>
      </c>
    </row>
    <row r="44" spans="1:11" x14ac:dyDescent="0.5">
      <c r="A44" s="172">
        <v>46202</v>
      </c>
      <c r="B44">
        <f t="shared" si="0"/>
        <v>0</v>
      </c>
    </row>
    <row r="45" spans="1:11" x14ac:dyDescent="0.5">
      <c r="A45" s="172">
        <v>46203</v>
      </c>
      <c r="B45">
        <f t="shared" si="0"/>
        <v>0</v>
      </c>
    </row>
    <row r="46" spans="1:11" x14ac:dyDescent="0.5">
      <c r="A46" s="172">
        <v>46204</v>
      </c>
      <c r="B46">
        <f t="shared" si="0"/>
        <v>0</v>
      </c>
    </row>
    <row r="47" spans="1:11" x14ac:dyDescent="0.5">
      <c r="A47" s="172">
        <v>46205</v>
      </c>
      <c r="B47">
        <f t="shared" si="0"/>
        <v>0</v>
      </c>
    </row>
    <row r="48" spans="1:11" x14ac:dyDescent="0.5">
      <c r="A48" s="172">
        <v>46206</v>
      </c>
      <c r="B48">
        <f t="shared" si="0"/>
        <v>0</v>
      </c>
    </row>
    <row r="49" spans="1:2" x14ac:dyDescent="0.5">
      <c r="A49" s="172">
        <v>46207</v>
      </c>
      <c r="B49">
        <f t="shared" si="0"/>
        <v>0</v>
      </c>
    </row>
    <row r="50" spans="1:2" x14ac:dyDescent="0.5">
      <c r="A50" s="172">
        <v>46208</v>
      </c>
      <c r="B50">
        <f t="shared" si="0"/>
        <v>0</v>
      </c>
    </row>
    <row r="51" spans="1:2" x14ac:dyDescent="0.5">
      <c r="A51" s="172">
        <v>46209</v>
      </c>
      <c r="B51">
        <f t="shared" si="0"/>
        <v>0</v>
      </c>
    </row>
    <row r="52" spans="1:2" x14ac:dyDescent="0.5">
      <c r="A52" s="172">
        <v>46210</v>
      </c>
      <c r="B52">
        <f t="shared" si="0"/>
        <v>0</v>
      </c>
    </row>
    <row r="53" spans="1:2" x14ac:dyDescent="0.5">
      <c r="A53" s="172">
        <v>46211</v>
      </c>
      <c r="B53">
        <f t="shared" si="0"/>
        <v>0</v>
      </c>
    </row>
    <row r="54" spans="1:2" x14ac:dyDescent="0.5">
      <c r="A54" s="172">
        <v>46212</v>
      </c>
      <c r="B54">
        <f t="shared" si="0"/>
        <v>0</v>
      </c>
    </row>
    <row r="55" spans="1:2" x14ac:dyDescent="0.5">
      <c r="A55" s="172">
        <v>46213</v>
      </c>
      <c r="B55">
        <f t="shared" si="0"/>
        <v>0</v>
      </c>
    </row>
    <row r="56" spans="1:2" x14ac:dyDescent="0.5">
      <c r="A56" s="172">
        <v>46214</v>
      </c>
      <c r="B56">
        <f t="shared" si="0"/>
        <v>0</v>
      </c>
    </row>
    <row r="57" spans="1:2" x14ac:dyDescent="0.5">
      <c r="A57" s="172">
        <v>46215</v>
      </c>
      <c r="B57">
        <f t="shared" si="0"/>
        <v>0</v>
      </c>
    </row>
    <row r="58" spans="1:2" x14ac:dyDescent="0.5">
      <c r="A58" s="172">
        <v>46216</v>
      </c>
      <c r="B58">
        <f t="shared" si="0"/>
        <v>0</v>
      </c>
    </row>
    <row r="59" spans="1:2" x14ac:dyDescent="0.5">
      <c r="A59" s="172">
        <v>46217</v>
      </c>
      <c r="B59">
        <f t="shared" si="0"/>
        <v>0</v>
      </c>
    </row>
    <row r="60" spans="1:2" x14ac:dyDescent="0.5">
      <c r="A60" s="172">
        <v>46218</v>
      </c>
      <c r="B60">
        <f t="shared" si="0"/>
        <v>0</v>
      </c>
    </row>
    <row r="61" spans="1:2" x14ac:dyDescent="0.5">
      <c r="A61" s="172">
        <v>46219</v>
      </c>
      <c r="B61">
        <f t="shared" si="0"/>
        <v>0</v>
      </c>
    </row>
    <row r="62" spans="1:2" x14ac:dyDescent="0.5">
      <c r="A62" s="172">
        <v>46220</v>
      </c>
      <c r="B62">
        <f t="shared" si="0"/>
        <v>0</v>
      </c>
    </row>
    <row r="63" spans="1:2" x14ac:dyDescent="0.5">
      <c r="A63" s="172">
        <v>46221</v>
      </c>
      <c r="B63">
        <f t="shared" si="0"/>
        <v>0</v>
      </c>
    </row>
    <row r="64" spans="1:2" x14ac:dyDescent="0.5">
      <c r="A64" s="172">
        <v>46222</v>
      </c>
      <c r="B64">
        <f t="shared" si="0"/>
        <v>0</v>
      </c>
    </row>
    <row r="65" spans="1:2" x14ac:dyDescent="0.5">
      <c r="A65" s="172">
        <v>46223</v>
      </c>
      <c r="B65">
        <f t="shared" si="0"/>
        <v>0</v>
      </c>
    </row>
    <row r="66" spans="1:2" x14ac:dyDescent="0.5">
      <c r="A66" s="172">
        <v>46224</v>
      </c>
      <c r="B66">
        <f t="shared" si="0"/>
        <v>0</v>
      </c>
    </row>
    <row r="67" spans="1:2" x14ac:dyDescent="0.5">
      <c r="A67" s="172">
        <v>46225</v>
      </c>
      <c r="B67">
        <f t="shared" ref="B67:B130" si="1">SUM(C67:H67)</f>
        <v>0</v>
      </c>
    </row>
    <row r="68" spans="1:2" x14ac:dyDescent="0.5">
      <c r="A68" s="172">
        <v>46226</v>
      </c>
      <c r="B68">
        <f t="shared" si="1"/>
        <v>0</v>
      </c>
    </row>
    <row r="69" spans="1:2" x14ac:dyDescent="0.5">
      <c r="A69" s="172">
        <v>46227</v>
      </c>
      <c r="B69">
        <f t="shared" si="1"/>
        <v>0</v>
      </c>
    </row>
    <row r="70" spans="1:2" x14ac:dyDescent="0.5">
      <c r="A70" s="172">
        <v>46228</v>
      </c>
      <c r="B70">
        <f t="shared" si="1"/>
        <v>0</v>
      </c>
    </row>
    <row r="71" spans="1:2" x14ac:dyDescent="0.5">
      <c r="A71" s="172">
        <v>46229</v>
      </c>
      <c r="B71">
        <f t="shared" si="1"/>
        <v>0</v>
      </c>
    </row>
    <row r="72" spans="1:2" x14ac:dyDescent="0.5">
      <c r="A72" s="172">
        <v>46230</v>
      </c>
      <c r="B72">
        <f t="shared" si="1"/>
        <v>0</v>
      </c>
    </row>
    <row r="73" spans="1:2" x14ac:dyDescent="0.5">
      <c r="A73" s="172">
        <v>46231</v>
      </c>
      <c r="B73">
        <f t="shared" si="1"/>
        <v>0</v>
      </c>
    </row>
    <row r="74" spans="1:2" x14ac:dyDescent="0.5">
      <c r="A74" s="172">
        <v>46232</v>
      </c>
      <c r="B74">
        <f t="shared" si="1"/>
        <v>0</v>
      </c>
    </row>
    <row r="75" spans="1:2" x14ac:dyDescent="0.5">
      <c r="A75" s="172">
        <v>46233</v>
      </c>
      <c r="B75">
        <f t="shared" si="1"/>
        <v>0</v>
      </c>
    </row>
    <row r="76" spans="1:2" x14ac:dyDescent="0.5">
      <c r="A76" s="172">
        <v>46234</v>
      </c>
      <c r="B76">
        <f t="shared" si="1"/>
        <v>0</v>
      </c>
    </row>
    <row r="77" spans="1:2" x14ac:dyDescent="0.5">
      <c r="A77" s="172">
        <v>46235</v>
      </c>
      <c r="B77">
        <f t="shared" si="1"/>
        <v>0</v>
      </c>
    </row>
    <row r="78" spans="1:2" x14ac:dyDescent="0.5">
      <c r="A78" s="172">
        <v>46236</v>
      </c>
      <c r="B78">
        <f t="shared" si="1"/>
        <v>0</v>
      </c>
    </row>
    <row r="79" spans="1:2" x14ac:dyDescent="0.5">
      <c r="A79" s="172">
        <v>46237</v>
      </c>
      <c r="B79">
        <f t="shared" si="1"/>
        <v>0</v>
      </c>
    </row>
    <row r="80" spans="1:2" x14ac:dyDescent="0.5">
      <c r="A80" s="172">
        <v>46238</v>
      </c>
      <c r="B80">
        <f t="shared" si="1"/>
        <v>0</v>
      </c>
    </row>
    <row r="81" spans="1:2" x14ac:dyDescent="0.5">
      <c r="A81" s="172">
        <v>46239</v>
      </c>
      <c r="B81">
        <f t="shared" si="1"/>
        <v>0</v>
      </c>
    </row>
    <row r="82" spans="1:2" x14ac:dyDescent="0.5">
      <c r="A82" s="172">
        <v>46240</v>
      </c>
      <c r="B82">
        <f t="shared" si="1"/>
        <v>0</v>
      </c>
    </row>
    <row r="83" spans="1:2" x14ac:dyDescent="0.5">
      <c r="A83" s="172">
        <v>46241</v>
      </c>
      <c r="B83">
        <f t="shared" si="1"/>
        <v>0</v>
      </c>
    </row>
    <row r="84" spans="1:2" x14ac:dyDescent="0.5">
      <c r="A84" s="172">
        <v>46242</v>
      </c>
      <c r="B84">
        <f t="shared" si="1"/>
        <v>0</v>
      </c>
    </row>
    <row r="85" spans="1:2" x14ac:dyDescent="0.5">
      <c r="A85" s="172">
        <v>46243</v>
      </c>
      <c r="B85">
        <f t="shared" si="1"/>
        <v>0</v>
      </c>
    </row>
    <row r="86" spans="1:2" x14ac:dyDescent="0.5">
      <c r="A86" s="172">
        <v>46244</v>
      </c>
      <c r="B86">
        <f t="shared" si="1"/>
        <v>0</v>
      </c>
    </row>
    <row r="87" spans="1:2" x14ac:dyDescent="0.5">
      <c r="A87" s="172">
        <v>46245</v>
      </c>
      <c r="B87">
        <f t="shared" si="1"/>
        <v>0</v>
      </c>
    </row>
    <row r="88" spans="1:2" x14ac:dyDescent="0.5">
      <c r="A88" s="172">
        <v>46246</v>
      </c>
      <c r="B88">
        <f t="shared" si="1"/>
        <v>0</v>
      </c>
    </row>
    <row r="89" spans="1:2" x14ac:dyDescent="0.5">
      <c r="A89" s="172">
        <v>46247</v>
      </c>
      <c r="B89">
        <f t="shared" si="1"/>
        <v>0</v>
      </c>
    </row>
    <row r="90" spans="1:2" x14ac:dyDescent="0.5">
      <c r="A90" s="172">
        <v>46248</v>
      </c>
      <c r="B90">
        <f t="shared" si="1"/>
        <v>0</v>
      </c>
    </row>
    <row r="91" spans="1:2" x14ac:dyDescent="0.5">
      <c r="A91" s="172">
        <v>46249</v>
      </c>
      <c r="B91">
        <f t="shared" si="1"/>
        <v>0</v>
      </c>
    </row>
    <row r="92" spans="1:2" x14ac:dyDescent="0.5">
      <c r="A92" s="172">
        <v>46250</v>
      </c>
      <c r="B92">
        <f t="shared" si="1"/>
        <v>0</v>
      </c>
    </row>
    <row r="93" spans="1:2" x14ac:dyDescent="0.5">
      <c r="A93" s="172">
        <v>46251</v>
      </c>
      <c r="B93">
        <f t="shared" si="1"/>
        <v>0</v>
      </c>
    </row>
    <row r="94" spans="1:2" x14ac:dyDescent="0.5">
      <c r="A94" s="172">
        <v>46252</v>
      </c>
      <c r="B94">
        <f t="shared" si="1"/>
        <v>0</v>
      </c>
    </row>
    <row r="95" spans="1:2" x14ac:dyDescent="0.5">
      <c r="A95" s="172">
        <v>46253</v>
      </c>
      <c r="B95">
        <f t="shared" si="1"/>
        <v>0</v>
      </c>
    </row>
    <row r="96" spans="1:2" x14ac:dyDescent="0.5">
      <c r="A96" s="172">
        <v>46254</v>
      </c>
      <c r="B96">
        <f t="shared" si="1"/>
        <v>0</v>
      </c>
    </row>
    <row r="97" spans="1:2" x14ac:dyDescent="0.5">
      <c r="A97" s="172">
        <v>46255</v>
      </c>
      <c r="B97">
        <f t="shared" si="1"/>
        <v>0</v>
      </c>
    </row>
    <row r="98" spans="1:2" x14ac:dyDescent="0.5">
      <c r="A98" s="172">
        <v>46256</v>
      </c>
      <c r="B98">
        <f t="shared" si="1"/>
        <v>0</v>
      </c>
    </row>
    <row r="99" spans="1:2" x14ac:dyDescent="0.5">
      <c r="A99" s="172">
        <v>46257</v>
      </c>
      <c r="B99">
        <f t="shared" si="1"/>
        <v>0</v>
      </c>
    </row>
    <row r="100" spans="1:2" x14ac:dyDescent="0.5">
      <c r="A100" s="172">
        <v>46258</v>
      </c>
      <c r="B100">
        <f t="shared" si="1"/>
        <v>0</v>
      </c>
    </row>
    <row r="101" spans="1:2" x14ac:dyDescent="0.5">
      <c r="A101" s="172">
        <v>46259</v>
      </c>
      <c r="B101">
        <f t="shared" si="1"/>
        <v>0</v>
      </c>
    </row>
    <row r="102" spans="1:2" x14ac:dyDescent="0.5">
      <c r="A102" s="172">
        <v>46260</v>
      </c>
      <c r="B102">
        <f t="shared" si="1"/>
        <v>0</v>
      </c>
    </row>
    <row r="103" spans="1:2" x14ac:dyDescent="0.5">
      <c r="A103" s="172">
        <v>46261</v>
      </c>
      <c r="B103">
        <f t="shared" si="1"/>
        <v>0</v>
      </c>
    </row>
    <row r="104" spans="1:2" x14ac:dyDescent="0.5">
      <c r="A104" s="172">
        <v>46262</v>
      </c>
      <c r="B104">
        <f t="shared" si="1"/>
        <v>0</v>
      </c>
    </row>
    <row r="105" spans="1:2" x14ac:dyDescent="0.5">
      <c r="A105" s="172">
        <v>46263</v>
      </c>
      <c r="B105">
        <f t="shared" si="1"/>
        <v>0</v>
      </c>
    </row>
    <row r="106" spans="1:2" x14ac:dyDescent="0.5">
      <c r="A106" s="172">
        <v>46264</v>
      </c>
      <c r="B106">
        <f t="shared" si="1"/>
        <v>0</v>
      </c>
    </row>
    <row r="107" spans="1:2" x14ac:dyDescent="0.5">
      <c r="A107" s="172">
        <v>46265</v>
      </c>
      <c r="B107">
        <f t="shared" si="1"/>
        <v>0</v>
      </c>
    </row>
    <row r="108" spans="1:2" x14ac:dyDescent="0.5">
      <c r="A108" s="172">
        <v>46266</v>
      </c>
      <c r="B108">
        <f t="shared" si="1"/>
        <v>0</v>
      </c>
    </row>
    <row r="109" spans="1:2" x14ac:dyDescent="0.5">
      <c r="A109" s="172">
        <v>46267</v>
      </c>
      <c r="B109">
        <f t="shared" si="1"/>
        <v>0</v>
      </c>
    </row>
    <row r="110" spans="1:2" x14ac:dyDescent="0.5">
      <c r="A110" s="172">
        <v>46268</v>
      </c>
      <c r="B110">
        <f t="shared" si="1"/>
        <v>0</v>
      </c>
    </row>
    <row r="111" spans="1:2" x14ac:dyDescent="0.5">
      <c r="A111" s="172">
        <v>46269</v>
      </c>
      <c r="B111">
        <f t="shared" si="1"/>
        <v>0</v>
      </c>
    </row>
    <row r="112" spans="1:2" x14ac:dyDescent="0.5">
      <c r="A112" s="172">
        <v>46270</v>
      </c>
      <c r="B112">
        <f t="shared" si="1"/>
        <v>0</v>
      </c>
    </row>
    <row r="113" spans="1:2" x14ac:dyDescent="0.5">
      <c r="A113" s="172">
        <v>46271</v>
      </c>
      <c r="B113">
        <f t="shared" si="1"/>
        <v>0</v>
      </c>
    </row>
    <row r="114" spans="1:2" x14ac:dyDescent="0.5">
      <c r="A114" s="172">
        <v>46272</v>
      </c>
      <c r="B114">
        <f t="shared" si="1"/>
        <v>0</v>
      </c>
    </row>
    <row r="115" spans="1:2" x14ac:dyDescent="0.5">
      <c r="A115" s="172">
        <v>46273</v>
      </c>
      <c r="B115">
        <f t="shared" si="1"/>
        <v>0</v>
      </c>
    </row>
    <row r="116" spans="1:2" x14ac:dyDescent="0.5">
      <c r="A116" s="172">
        <v>46274</v>
      </c>
      <c r="B116">
        <f t="shared" si="1"/>
        <v>0</v>
      </c>
    </row>
    <row r="117" spans="1:2" x14ac:dyDescent="0.5">
      <c r="A117" s="172">
        <v>46275</v>
      </c>
      <c r="B117">
        <f t="shared" si="1"/>
        <v>0</v>
      </c>
    </row>
    <row r="118" spans="1:2" x14ac:dyDescent="0.5">
      <c r="A118" s="172">
        <v>46276</v>
      </c>
      <c r="B118">
        <f t="shared" si="1"/>
        <v>0</v>
      </c>
    </row>
    <row r="119" spans="1:2" x14ac:dyDescent="0.5">
      <c r="A119" s="172">
        <v>46277</v>
      </c>
      <c r="B119">
        <f t="shared" si="1"/>
        <v>0</v>
      </c>
    </row>
    <row r="120" spans="1:2" x14ac:dyDescent="0.5">
      <c r="A120" s="172">
        <v>46278</v>
      </c>
      <c r="B120">
        <f t="shared" si="1"/>
        <v>0</v>
      </c>
    </row>
    <row r="121" spans="1:2" x14ac:dyDescent="0.5">
      <c r="A121" s="172">
        <v>46279</v>
      </c>
      <c r="B121">
        <f t="shared" si="1"/>
        <v>0</v>
      </c>
    </row>
    <row r="122" spans="1:2" x14ac:dyDescent="0.5">
      <c r="A122" s="172">
        <v>46280</v>
      </c>
      <c r="B122">
        <f t="shared" si="1"/>
        <v>0</v>
      </c>
    </row>
    <row r="123" spans="1:2" x14ac:dyDescent="0.5">
      <c r="A123" s="172">
        <v>46281</v>
      </c>
      <c r="B123">
        <f t="shared" si="1"/>
        <v>0</v>
      </c>
    </row>
    <row r="124" spans="1:2" x14ac:dyDescent="0.5">
      <c r="A124" s="172">
        <v>46282</v>
      </c>
      <c r="B124">
        <f t="shared" si="1"/>
        <v>0</v>
      </c>
    </row>
    <row r="125" spans="1:2" x14ac:dyDescent="0.5">
      <c r="A125" s="172">
        <v>46283</v>
      </c>
      <c r="B125">
        <f t="shared" si="1"/>
        <v>0</v>
      </c>
    </row>
    <row r="126" spans="1:2" x14ac:dyDescent="0.5">
      <c r="A126" s="172">
        <v>46284</v>
      </c>
      <c r="B126">
        <f t="shared" si="1"/>
        <v>0</v>
      </c>
    </row>
    <row r="127" spans="1:2" x14ac:dyDescent="0.5">
      <c r="A127" s="172">
        <v>46285</v>
      </c>
      <c r="B127">
        <f t="shared" si="1"/>
        <v>0</v>
      </c>
    </row>
    <row r="128" spans="1:2" x14ac:dyDescent="0.5">
      <c r="A128" s="172">
        <v>46286</v>
      </c>
      <c r="B128">
        <f t="shared" si="1"/>
        <v>0</v>
      </c>
    </row>
    <row r="129" spans="1:2" x14ac:dyDescent="0.5">
      <c r="A129" s="172">
        <v>46287</v>
      </c>
      <c r="B129">
        <f t="shared" si="1"/>
        <v>0</v>
      </c>
    </row>
    <row r="130" spans="1:2" x14ac:dyDescent="0.5">
      <c r="A130" s="172">
        <v>46288</v>
      </c>
      <c r="B130">
        <f t="shared" si="1"/>
        <v>0</v>
      </c>
    </row>
    <row r="131" spans="1:2" x14ac:dyDescent="0.5">
      <c r="A131" s="172">
        <v>46289</v>
      </c>
      <c r="B131">
        <f t="shared" ref="B131:B194" si="2">SUM(C131:H131)</f>
        <v>0</v>
      </c>
    </row>
    <row r="132" spans="1:2" x14ac:dyDescent="0.5">
      <c r="A132" s="172">
        <v>46290</v>
      </c>
      <c r="B132">
        <f t="shared" si="2"/>
        <v>0</v>
      </c>
    </row>
    <row r="133" spans="1:2" x14ac:dyDescent="0.5">
      <c r="A133" s="172">
        <v>46291</v>
      </c>
      <c r="B133">
        <f t="shared" si="2"/>
        <v>0</v>
      </c>
    </row>
    <row r="134" spans="1:2" x14ac:dyDescent="0.5">
      <c r="A134" s="172">
        <v>46292</v>
      </c>
      <c r="B134">
        <f t="shared" si="2"/>
        <v>0</v>
      </c>
    </row>
    <row r="135" spans="1:2" x14ac:dyDescent="0.5">
      <c r="A135" s="172">
        <v>46293</v>
      </c>
      <c r="B135">
        <f t="shared" si="2"/>
        <v>0</v>
      </c>
    </row>
    <row r="136" spans="1:2" x14ac:dyDescent="0.5">
      <c r="A136" s="172">
        <v>46294</v>
      </c>
      <c r="B136">
        <f t="shared" si="2"/>
        <v>0</v>
      </c>
    </row>
    <row r="137" spans="1:2" x14ac:dyDescent="0.5">
      <c r="A137" s="172">
        <v>46295</v>
      </c>
      <c r="B137">
        <f t="shared" si="2"/>
        <v>0</v>
      </c>
    </row>
    <row r="138" spans="1:2" x14ac:dyDescent="0.5">
      <c r="A138" s="172">
        <v>46296</v>
      </c>
      <c r="B138">
        <f t="shared" si="2"/>
        <v>0</v>
      </c>
    </row>
    <row r="139" spans="1:2" x14ac:dyDescent="0.5">
      <c r="A139" s="172">
        <v>46297</v>
      </c>
      <c r="B139">
        <f t="shared" si="2"/>
        <v>0</v>
      </c>
    </row>
    <row r="140" spans="1:2" x14ac:dyDescent="0.5">
      <c r="A140" s="172">
        <v>46298</v>
      </c>
      <c r="B140">
        <f t="shared" si="2"/>
        <v>0</v>
      </c>
    </row>
    <row r="141" spans="1:2" x14ac:dyDescent="0.5">
      <c r="A141" s="172">
        <v>46299</v>
      </c>
      <c r="B141">
        <f t="shared" si="2"/>
        <v>0</v>
      </c>
    </row>
    <row r="142" spans="1:2" x14ac:dyDescent="0.5">
      <c r="A142" s="172">
        <v>46300</v>
      </c>
      <c r="B142">
        <f t="shared" si="2"/>
        <v>0</v>
      </c>
    </row>
    <row r="143" spans="1:2" x14ac:dyDescent="0.5">
      <c r="A143" s="172">
        <v>46301</v>
      </c>
      <c r="B143">
        <f t="shared" si="2"/>
        <v>0</v>
      </c>
    </row>
    <row r="144" spans="1:2" x14ac:dyDescent="0.5">
      <c r="A144" s="172">
        <v>46302</v>
      </c>
      <c r="B144">
        <f t="shared" si="2"/>
        <v>0</v>
      </c>
    </row>
    <row r="145" spans="1:2" x14ac:dyDescent="0.5">
      <c r="A145" s="172">
        <v>46303</v>
      </c>
      <c r="B145">
        <f t="shared" si="2"/>
        <v>0</v>
      </c>
    </row>
    <row r="146" spans="1:2" x14ac:dyDescent="0.5">
      <c r="A146" s="172">
        <v>46304</v>
      </c>
      <c r="B146">
        <f t="shared" si="2"/>
        <v>0</v>
      </c>
    </row>
    <row r="147" spans="1:2" x14ac:dyDescent="0.5">
      <c r="A147" s="172">
        <v>46305</v>
      </c>
      <c r="B147">
        <f t="shared" si="2"/>
        <v>0</v>
      </c>
    </row>
    <row r="148" spans="1:2" x14ac:dyDescent="0.5">
      <c r="A148" s="172">
        <v>46306</v>
      </c>
      <c r="B148">
        <f t="shared" si="2"/>
        <v>0</v>
      </c>
    </row>
    <row r="149" spans="1:2" x14ac:dyDescent="0.5">
      <c r="A149" s="172">
        <v>46307</v>
      </c>
      <c r="B149">
        <f t="shared" si="2"/>
        <v>0</v>
      </c>
    </row>
    <row r="150" spans="1:2" x14ac:dyDescent="0.5">
      <c r="A150" s="172">
        <v>46308</v>
      </c>
      <c r="B150">
        <f t="shared" si="2"/>
        <v>0</v>
      </c>
    </row>
    <row r="151" spans="1:2" x14ac:dyDescent="0.5">
      <c r="A151" s="172">
        <v>46309</v>
      </c>
      <c r="B151">
        <f t="shared" si="2"/>
        <v>0</v>
      </c>
    </row>
    <row r="152" spans="1:2" x14ac:dyDescent="0.5">
      <c r="A152" s="172">
        <v>46310</v>
      </c>
      <c r="B152">
        <f t="shared" si="2"/>
        <v>0</v>
      </c>
    </row>
    <row r="153" spans="1:2" x14ac:dyDescent="0.5">
      <c r="A153" s="172">
        <v>46311</v>
      </c>
      <c r="B153">
        <f t="shared" si="2"/>
        <v>0</v>
      </c>
    </row>
    <row r="154" spans="1:2" x14ac:dyDescent="0.5">
      <c r="A154" s="172">
        <v>46312</v>
      </c>
      <c r="B154">
        <f t="shared" si="2"/>
        <v>0</v>
      </c>
    </row>
    <row r="155" spans="1:2" x14ac:dyDescent="0.5">
      <c r="A155" s="172">
        <v>46313</v>
      </c>
      <c r="B155">
        <f t="shared" si="2"/>
        <v>0</v>
      </c>
    </row>
    <row r="156" spans="1:2" x14ac:dyDescent="0.5">
      <c r="A156" s="172">
        <v>46314</v>
      </c>
      <c r="B156">
        <f t="shared" si="2"/>
        <v>0</v>
      </c>
    </row>
    <row r="157" spans="1:2" x14ac:dyDescent="0.5">
      <c r="A157" s="172">
        <v>46315</v>
      </c>
      <c r="B157">
        <f t="shared" si="2"/>
        <v>0</v>
      </c>
    </row>
    <row r="158" spans="1:2" x14ac:dyDescent="0.5">
      <c r="A158" s="172">
        <v>46316</v>
      </c>
      <c r="B158">
        <f t="shared" si="2"/>
        <v>0</v>
      </c>
    </row>
    <row r="159" spans="1:2" x14ac:dyDescent="0.5">
      <c r="A159" s="172">
        <v>46317</v>
      </c>
      <c r="B159">
        <f t="shared" si="2"/>
        <v>0</v>
      </c>
    </row>
    <row r="160" spans="1:2" x14ac:dyDescent="0.5">
      <c r="A160" s="172">
        <v>46318</v>
      </c>
      <c r="B160">
        <f t="shared" si="2"/>
        <v>0</v>
      </c>
    </row>
    <row r="161" spans="1:2" x14ac:dyDescent="0.5">
      <c r="A161" s="172">
        <v>46319</v>
      </c>
      <c r="B161">
        <f t="shared" si="2"/>
        <v>0</v>
      </c>
    </row>
    <row r="162" spans="1:2" x14ac:dyDescent="0.5">
      <c r="A162" s="172">
        <v>46320</v>
      </c>
      <c r="B162">
        <f t="shared" si="2"/>
        <v>0</v>
      </c>
    </row>
    <row r="163" spans="1:2" x14ac:dyDescent="0.5">
      <c r="A163" s="172">
        <v>46321</v>
      </c>
      <c r="B163">
        <f t="shared" si="2"/>
        <v>0</v>
      </c>
    </row>
    <row r="164" spans="1:2" x14ac:dyDescent="0.5">
      <c r="A164" s="172">
        <v>46322</v>
      </c>
      <c r="B164">
        <f t="shared" si="2"/>
        <v>0</v>
      </c>
    </row>
    <row r="165" spans="1:2" x14ac:dyDescent="0.5">
      <c r="A165" s="172">
        <v>46323</v>
      </c>
      <c r="B165">
        <f t="shared" si="2"/>
        <v>0</v>
      </c>
    </row>
    <row r="166" spans="1:2" x14ac:dyDescent="0.5">
      <c r="A166" s="172">
        <v>46324</v>
      </c>
      <c r="B166">
        <f t="shared" si="2"/>
        <v>0</v>
      </c>
    </row>
    <row r="167" spans="1:2" x14ac:dyDescent="0.5">
      <c r="A167" s="172">
        <v>46325</v>
      </c>
      <c r="B167">
        <f t="shared" si="2"/>
        <v>0</v>
      </c>
    </row>
    <row r="168" spans="1:2" x14ac:dyDescent="0.5">
      <c r="A168" s="172">
        <v>46326</v>
      </c>
      <c r="B168">
        <f t="shared" si="2"/>
        <v>0</v>
      </c>
    </row>
    <row r="169" spans="1:2" x14ac:dyDescent="0.5">
      <c r="A169" s="172">
        <v>46327</v>
      </c>
      <c r="B169">
        <f t="shared" si="2"/>
        <v>0</v>
      </c>
    </row>
    <row r="170" spans="1:2" x14ac:dyDescent="0.5">
      <c r="A170" s="172">
        <v>46328</v>
      </c>
      <c r="B170">
        <f t="shared" si="2"/>
        <v>0</v>
      </c>
    </row>
    <row r="171" spans="1:2" x14ac:dyDescent="0.5">
      <c r="A171" s="172">
        <v>46329</v>
      </c>
      <c r="B171">
        <f t="shared" si="2"/>
        <v>0</v>
      </c>
    </row>
    <row r="172" spans="1:2" x14ac:dyDescent="0.5">
      <c r="A172" s="172">
        <v>46330</v>
      </c>
      <c r="B172">
        <f t="shared" si="2"/>
        <v>0</v>
      </c>
    </row>
    <row r="173" spans="1:2" x14ac:dyDescent="0.5">
      <c r="A173" s="172">
        <v>46331</v>
      </c>
      <c r="B173">
        <f t="shared" si="2"/>
        <v>0</v>
      </c>
    </row>
    <row r="174" spans="1:2" x14ac:dyDescent="0.5">
      <c r="A174" s="172">
        <v>46332</v>
      </c>
      <c r="B174">
        <f t="shared" si="2"/>
        <v>0</v>
      </c>
    </row>
    <row r="175" spans="1:2" x14ac:dyDescent="0.5">
      <c r="A175" s="172">
        <v>46333</v>
      </c>
      <c r="B175">
        <f t="shared" si="2"/>
        <v>0</v>
      </c>
    </row>
    <row r="176" spans="1:2" x14ac:dyDescent="0.5">
      <c r="A176" s="172">
        <v>46334</v>
      </c>
      <c r="B176">
        <f t="shared" si="2"/>
        <v>0</v>
      </c>
    </row>
    <row r="177" spans="1:2" x14ac:dyDescent="0.5">
      <c r="A177" s="172">
        <v>46335</v>
      </c>
      <c r="B177">
        <f t="shared" si="2"/>
        <v>0</v>
      </c>
    </row>
    <row r="178" spans="1:2" x14ac:dyDescent="0.5">
      <c r="A178" s="172">
        <v>46336</v>
      </c>
      <c r="B178">
        <f t="shared" si="2"/>
        <v>0</v>
      </c>
    </row>
    <row r="179" spans="1:2" x14ac:dyDescent="0.5">
      <c r="A179" s="172">
        <v>46337</v>
      </c>
      <c r="B179">
        <f t="shared" si="2"/>
        <v>0</v>
      </c>
    </row>
    <row r="180" spans="1:2" x14ac:dyDescent="0.5">
      <c r="A180" s="172">
        <v>46338</v>
      </c>
      <c r="B180">
        <f t="shared" si="2"/>
        <v>0</v>
      </c>
    </row>
    <row r="181" spans="1:2" x14ac:dyDescent="0.5">
      <c r="A181" s="172">
        <v>46339</v>
      </c>
      <c r="B181">
        <f t="shared" si="2"/>
        <v>0</v>
      </c>
    </row>
    <row r="182" spans="1:2" x14ac:dyDescent="0.5">
      <c r="A182" s="172">
        <v>46340</v>
      </c>
      <c r="B182">
        <f t="shared" si="2"/>
        <v>0</v>
      </c>
    </row>
    <row r="183" spans="1:2" x14ac:dyDescent="0.5">
      <c r="A183" s="172">
        <v>46341</v>
      </c>
      <c r="B183">
        <f t="shared" si="2"/>
        <v>0</v>
      </c>
    </row>
    <row r="184" spans="1:2" x14ac:dyDescent="0.5">
      <c r="A184" s="172">
        <v>46342</v>
      </c>
      <c r="B184">
        <f t="shared" si="2"/>
        <v>0</v>
      </c>
    </row>
    <row r="185" spans="1:2" x14ac:dyDescent="0.5">
      <c r="A185" s="172">
        <v>46343</v>
      </c>
      <c r="B185">
        <f t="shared" si="2"/>
        <v>0</v>
      </c>
    </row>
    <row r="186" spans="1:2" x14ac:dyDescent="0.5">
      <c r="A186" s="172">
        <v>46344</v>
      </c>
      <c r="B186">
        <f t="shared" si="2"/>
        <v>0</v>
      </c>
    </row>
    <row r="187" spans="1:2" x14ac:dyDescent="0.5">
      <c r="A187" s="172">
        <v>46345</v>
      </c>
      <c r="B187">
        <f t="shared" si="2"/>
        <v>0</v>
      </c>
    </row>
    <row r="188" spans="1:2" x14ac:dyDescent="0.5">
      <c r="A188" s="172">
        <v>46346</v>
      </c>
      <c r="B188">
        <f t="shared" si="2"/>
        <v>0</v>
      </c>
    </row>
    <row r="189" spans="1:2" x14ac:dyDescent="0.5">
      <c r="A189" s="172">
        <v>46347</v>
      </c>
      <c r="B189">
        <f t="shared" si="2"/>
        <v>0</v>
      </c>
    </row>
    <row r="190" spans="1:2" x14ac:dyDescent="0.5">
      <c r="A190" s="172">
        <v>46348</v>
      </c>
      <c r="B190">
        <f t="shared" si="2"/>
        <v>0</v>
      </c>
    </row>
    <row r="191" spans="1:2" x14ac:dyDescent="0.5">
      <c r="A191" s="172">
        <v>46349</v>
      </c>
      <c r="B191">
        <f t="shared" si="2"/>
        <v>0</v>
      </c>
    </row>
    <row r="192" spans="1:2" x14ac:dyDescent="0.5">
      <c r="A192" s="172">
        <v>46350</v>
      </c>
      <c r="B192">
        <f t="shared" si="2"/>
        <v>0</v>
      </c>
    </row>
    <row r="193" spans="1:2" x14ac:dyDescent="0.5">
      <c r="A193" s="172">
        <v>46351</v>
      </c>
      <c r="B193">
        <f t="shared" si="2"/>
        <v>0</v>
      </c>
    </row>
    <row r="194" spans="1:2" x14ac:dyDescent="0.5">
      <c r="A194" s="172">
        <v>46352</v>
      </c>
      <c r="B194">
        <f t="shared" si="2"/>
        <v>0</v>
      </c>
    </row>
    <row r="195" spans="1:2" x14ac:dyDescent="0.5">
      <c r="A195" s="172">
        <v>46353</v>
      </c>
      <c r="B195">
        <f t="shared" ref="B195:B229" si="3">SUM(C195:H195)</f>
        <v>0</v>
      </c>
    </row>
    <row r="196" spans="1:2" x14ac:dyDescent="0.5">
      <c r="A196" s="172">
        <v>46354</v>
      </c>
      <c r="B196">
        <f t="shared" si="3"/>
        <v>0</v>
      </c>
    </row>
    <row r="197" spans="1:2" x14ac:dyDescent="0.5">
      <c r="A197" s="172">
        <v>46355</v>
      </c>
      <c r="B197">
        <f t="shared" si="3"/>
        <v>0</v>
      </c>
    </row>
    <row r="198" spans="1:2" x14ac:dyDescent="0.5">
      <c r="A198" s="172">
        <v>46356</v>
      </c>
      <c r="B198">
        <f t="shared" si="3"/>
        <v>0</v>
      </c>
    </row>
    <row r="199" spans="1:2" x14ac:dyDescent="0.5">
      <c r="A199" s="172">
        <v>46357</v>
      </c>
      <c r="B199">
        <f t="shared" si="3"/>
        <v>0</v>
      </c>
    </row>
    <row r="200" spans="1:2" x14ac:dyDescent="0.5">
      <c r="A200" s="172">
        <v>46358</v>
      </c>
      <c r="B200">
        <f t="shared" si="3"/>
        <v>0</v>
      </c>
    </row>
    <row r="201" spans="1:2" x14ac:dyDescent="0.5">
      <c r="A201" s="172">
        <v>46359</v>
      </c>
      <c r="B201">
        <f t="shared" si="3"/>
        <v>0</v>
      </c>
    </row>
    <row r="202" spans="1:2" x14ac:dyDescent="0.5">
      <c r="A202" s="172">
        <v>46360</v>
      </c>
      <c r="B202">
        <f t="shared" si="3"/>
        <v>0</v>
      </c>
    </row>
    <row r="203" spans="1:2" x14ac:dyDescent="0.5">
      <c r="A203" s="172">
        <v>46361</v>
      </c>
      <c r="B203">
        <f t="shared" si="3"/>
        <v>0</v>
      </c>
    </row>
    <row r="204" spans="1:2" x14ac:dyDescent="0.5">
      <c r="A204" s="172">
        <v>46362</v>
      </c>
      <c r="B204">
        <f t="shared" si="3"/>
        <v>0</v>
      </c>
    </row>
    <row r="205" spans="1:2" x14ac:dyDescent="0.5">
      <c r="A205" s="172">
        <v>46363</v>
      </c>
      <c r="B205">
        <f t="shared" si="3"/>
        <v>0</v>
      </c>
    </row>
    <row r="206" spans="1:2" x14ac:dyDescent="0.5">
      <c r="A206" s="172">
        <v>46364</v>
      </c>
      <c r="B206">
        <f t="shared" si="3"/>
        <v>0</v>
      </c>
    </row>
    <row r="207" spans="1:2" x14ac:dyDescent="0.5">
      <c r="A207" s="172">
        <v>46365</v>
      </c>
      <c r="B207">
        <f t="shared" si="3"/>
        <v>0</v>
      </c>
    </row>
    <row r="208" spans="1:2" x14ac:dyDescent="0.5">
      <c r="A208" s="172">
        <v>46366</v>
      </c>
      <c r="B208">
        <f t="shared" si="3"/>
        <v>0</v>
      </c>
    </row>
    <row r="209" spans="1:2" x14ac:dyDescent="0.5">
      <c r="A209" s="172">
        <v>46367</v>
      </c>
      <c r="B209">
        <f t="shared" si="3"/>
        <v>0</v>
      </c>
    </row>
    <row r="210" spans="1:2" x14ac:dyDescent="0.5">
      <c r="A210" s="172">
        <v>46368</v>
      </c>
      <c r="B210">
        <f t="shared" si="3"/>
        <v>0</v>
      </c>
    </row>
    <row r="211" spans="1:2" x14ac:dyDescent="0.5">
      <c r="A211" s="172">
        <v>46369</v>
      </c>
      <c r="B211">
        <f t="shared" si="3"/>
        <v>0</v>
      </c>
    </row>
    <row r="212" spans="1:2" x14ac:dyDescent="0.5">
      <c r="A212" s="172">
        <v>46370</v>
      </c>
      <c r="B212">
        <f t="shared" si="3"/>
        <v>0</v>
      </c>
    </row>
    <row r="213" spans="1:2" x14ac:dyDescent="0.5">
      <c r="A213" s="172">
        <v>46371</v>
      </c>
      <c r="B213">
        <f t="shared" si="3"/>
        <v>0</v>
      </c>
    </row>
    <row r="214" spans="1:2" x14ac:dyDescent="0.5">
      <c r="A214" s="172">
        <v>46372</v>
      </c>
      <c r="B214">
        <f t="shared" si="3"/>
        <v>0</v>
      </c>
    </row>
    <row r="215" spans="1:2" x14ac:dyDescent="0.5">
      <c r="A215" s="172">
        <v>46373</v>
      </c>
      <c r="B215">
        <f t="shared" si="3"/>
        <v>0</v>
      </c>
    </row>
    <row r="216" spans="1:2" x14ac:dyDescent="0.5">
      <c r="A216" s="172">
        <v>46374</v>
      </c>
      <c r="B216">
        <f t="shared" si="3"/>
        <v>0</v>
      </c>
    </row>
    <row r="217" spans="1:2" x14ac:dyDescent="0.5">
      <c r="A217" s="172">
        <v>46375</v>
      </c>
      <c r="B217">
        <f t="shared" si="3"/>
        <v>0</v>
      </c>
    </row>
    <row r="218" spans="1:2" x14ac:dyDescent="0.5">
      <c r="A218" s="172">
        <v>46376</v>
      </c>
      <c r="B218">
        <f t="shared" si="3"/>
        <v>0</v>
      </c>
    </row>
    <row r="219" spans="1:2" x14ac:dyDescent="0.5">
      <c r="A219" s="172">
        <v>46377</v>
      </c>
      <c r="B219">
        <f t="shared" si="3"/>
        <v>0</v>
      </c>
    </row>
    <row r="220" spans="1:2" x14ac:dyDescent="0.5">
      <c r="A220" s="172">
        <v>46378</v>
      </c>
      <c r="B220">
        <f t="shared" si="3"/>
        <v>0</v>
      </c>
    </row>
    <row r="221" spans="1:2" x14ac:dyDescent="0.5">
      <c r="A221" s="172">
        <v>46379</v>
      </c>
      <c r="B221">
        <f t="shared" si="3"/>
        <v>0</v>
      </c>
    </row>
    <row r="222" spans="1:2" x14ac:dyDescent="0.5">
      <c r="A222" s="172">
        <v>46380</v>
      </c>
      <c r="B222">
        <f t="shared" si="3"/>
        <v>0</v>
      </c>
    </row>
    <row r="223" spans="1:2" x14ac:dyDescent="0.5">
      <c r="A223" s="172">
        <v>46381</v>
      </c>
      <c r="B223">
        <f t="shared" si="3"/>
        <v>0</v>
      </c>
    </row>
    <row r="224" spans="1:2" x14ac:dyDescent="0.5">
      <c r="A224" s="172">
        <v>46382</v>
      </c>
      <c r="B224">
        <f t="shared" si="3"/>
        <v>0</v>
      </c>
    </row>
    <row r="225" spans="1:2" x14ac:dyDescent="0.5">
      <c r="A225" s="172">
        <v>46383</v>
      </c>
      <c r="B225">
        <f t="shared" si="3"/>
        <v>0</v>
      </c>
    </row>
    <row r="226" spans="1:2" x14ac:dyDescent="0.5">
      <c r="A226" s="172">
        <v>46384</v>
      </c>
      <c r="B226">
        <f t="shared" si="3"/>
        <v>0</v>
      </c>
    </row>
    <row r="227" spans="1:2" x14ac:dyDescent="0.5">
      <c r="A227" s="172">
        <v>46385</v>
      </c>
      <c r="B227">
        <f t="shared" si="3"/>
        <v>0</v>
      </c>
    </row>
    <row r="228" spans="1:2" x14ac:dyDescent="0.5">
      <c r="A228" s="172">
        <v>46386</v>
      </c>
      <c r="B228">
        <f t="shared" si="3"/>
        <v>0</v>
      </c>
    </row>
    <row r="229" spans="1:2" x14ac:dyDescent="0.5">
      <c r="A229" s="172">
        <v>46387</v>
      </c>
      <c r="B229">
        <f t="shared" si="3"/>
        <v>0</v>
      </c>
    </row>
  </sheetData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A332" zoomScale="69" zoomScaleNormal="130" workbookViewId="0">
      <selection activeCell="A2" sqref="A2:B366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71" t="s">
        <v>175</v>
      </c>
      <c r="I1" s="272"/>
      <c r="J1" s="272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75">
        <f>AVERAGE(B2:B32)</f>
        <v>5</v>
      </c>
      <c r="D2" s="278">
        <f>AVERAGE(B2:B366)</f>
        <v>5.3276712328767104</v>
      </c>
      <c r="E2" s="58">
        <v>1</v>
      </c>
      <c r="F2" s="38" t="s">
        <v>194</v>
      </c>
      <c r="H2" s="273"/>
      <c r="I2" s="274"/>
      <c r="J2" s="274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76"/>
      <c r="D3" s="279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76"/>
      <c r="D4" s="279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76"/>
      <c r="D5" s="279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67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55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76"/>
      <c r="D6" s="279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67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55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76"/>
      <c r="D7" s="279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67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55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76"/>
      <c r="D8" s="279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67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56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76"/>
      <c r="D9" s="279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67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66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76"/>
      <c r="D10" s="279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67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55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76"/>
      <c r="D11" s="279"/>
      <c r="E11" s="58">
        <v>1</v>
      </c>
      <c r="F11" s="68" t="s">
        <v>176</v>
      </c>
      <c r="G11" s="74"/>
      <c r="H11" s="258" t="s">
        <v>6</v>
      </c>
      <c r="I11" s="259"/>
      <c r="J11" s="17">
        <f>SUM(J5:J10)</f>
        <v>365</v>
      </c>
      <c r="L11" s="157" t="s">
        <v>14</v>
      </c>
      <c r="M11" s="32">
        <v>5.3903225806451607</v>
      </c>
      <c r="N11" s="267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55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76"/>
      <c r="D12" s="279"/>
      <c r="E12" s="58">
        <v>1</v>
      </c>
      <c r="F12" s="69" t="s">
        <v>176</v>
      </c>
      <c r="L12" s="157" t="s">
        <v>15</v>
      </c>
      <c r="M12" s="32">
        <v>4.6545454545454543</v>
      </c>
      <c r="N12" s="267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56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76"/>
      <c r="D13" s="279"/>
      <c r="E13" s="58">
        <v>1</v>
      </c>
      <c r="F13" s="68" t="s">
        <v>176</v>
      </c>
      <c r="G13" s="74"/>
      <c r="H13" s="260" t="s">
        <v>174</v>
      </c>
      <c r="I13" s="261"/>
      <c r="J13" s="264">
        <f>J11/3.65</f>
        <v>100</v>
      </c>
      <c r="L13" s="157" t="s">
        <v>16</v>
      </c>
      <c r="M13" s="32">
        <f>C245</f>
        <v>5.8166666666666673</v>
      </c>
      <c r="N13" s="267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66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76"/>
      <c r="D14" s="279"/>
      <c r="E14" s="58">
        <v>0.8</v>
      </c>
      <c r="F14" s="69" t="s">
        <v>176</v>
      </c>
      <c r="H14" s="262"/>
      <c r="I14" s="263"/>
      <c r="J14" s="265"/>
      <c r="L14" s="157" t="s">
        <v>17</v>
      </c>
      <c r="M14" s="32">
        <f>C275</f>
        <v>5.629032258064516</v>
      </c>
      <c r="N14" s="267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55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76"/>
      <c r="D15" s="279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67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55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76"/>
      <c r="D16" s="279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68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56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76"/>
      <c r="D17" s="279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76"/>
      <c r="D18" s="279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76"/>
      <c r="D19" s="279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76"/>
      <c r="D20" s="279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76"/>
      <c r="D21" s="279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76"/>
      <c r="D22" s="279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76"/>
      <c r="D23" s="279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76"/>
      <c r="D24" s="279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76"/>
      <c r="D25" s="279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76"/>
      <c r="D26" s="279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76"/>
      <c r="D27" s="279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76"/>
      <c r="D28" s="279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76"/>
      <c r="D29" s="279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76"/>
      <c r="D30" s="279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76"/>
      <c r="D31" s="279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77"/>
      <c r="D32" s="279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82">
        <f>AVERAGE(B33:B60)</f>
        <v>4.7571428571428571</v>
      </c>
      <c r="D33" s="280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54"/>
      <c r="D34" s="280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54"/>
      <c r="D35" s="280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54"/>
      <c r="D36" s="280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54"/>
      <c r="D37" s="280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54"/>
      <c r="D38" s="280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54"/>
      <c r="D39" s="280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54"/>
      <c r="D40" s="280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54"/>
      <c r="D41" s="280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54"/>
      <c r="D42" s="280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54"/>
      <c r="D43" s="280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54"/>
      <c r="D44" s="280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54"/>
      <c r="D45" s="280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54"/>
      <c r="D46" s="280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54"/>
      <c r="D47" s="280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54"/>
      <c r="D48" s="280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54"/>
      <c r="D49" s="280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54"/>
      <c r="D50" s="280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54"/>
      <c r="D51" s="280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54"/>
      <c r="D52" s="280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54"/>
      <c r="D53" s="280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54"/>
      <c r="D54" s="280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54"/>
      <c r="D55" s="280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54"/>
      <c r="D56" s="280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54"/>
      <c r="D57" s="280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54"/>
      <c r="D58" s="280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54"/>
      <c r="D59" s="280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54"/>
      <c r="D60" s="280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54">
        <f>AVERAGE(B61:B91)</f>
        <v>5.1967741935483867</v>
      </c>
      <c r="D61" s="280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54"/>
      <c r="D62" s="280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54"/>
      <c r="D63" s="280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54"/>
      <c r="D64" s="280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54"/>
      <c r="D65" s="280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54"/>
      <c r="D66" s="280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54"/>
      <c r="D67" s="280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54"/>
      <c r="D68" s="280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54"/>
      <c r="D69" s="280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54"/>
      <c r="D70" s="280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54"/>
      <c r="D71" s="280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54"/>
      <c r="D72" s="280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54"/>
      <c r="D73" s="280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54"/>
      <c r="D74" s="280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54"/>
      <c r="D75" s="280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54"/>
      <c r="D76" s="280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54"/>
      <c r="D77" s="280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54"/>
      <c r="D78" s="280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54"/>
      <c r="D79" s="280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54"/>
      <c r="D80" s="280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54"/>
      <c r="D81" s="280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54"/>
      <c r="D82" s="280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54"/>
      <c r="D83" s="280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54"/>
      <c r="D84" s="280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54"/>
      <c r="D85" s="280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54"/>
      <c r="D86" s="280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54"/>
      <c r="D87" s="280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54"/>
      <c r="D88" s="280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54"/>
      <c r="D89" s="280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54"/>
      <c r="D90" s="280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54"/>
      <c r="D91" s="280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54">
        <f>AVERAGE(B92:B121)</f>
        <v>4.8866666666666676</v>
      </c>
      <c r="D92" s="280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54"/>
      <c r="D93" s="280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54"/>
      <c r="D94" s="280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54"/>
      <c r="D95" s="280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54"/>
      <c r="D96" s="280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54"/>
      <c r="D97" s="280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54"/>
      <c r="D98" s="280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54"/>
      <c r="D99" s="280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54"/>
      <c r="D100" s="280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54"/>
      <c r="D101" s="280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54"/>
      <c r="D102" s="280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54"/>
      <c r="D103" s="280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54"/>
      <c r="D104" s="280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54"/>
      <c r="D105" s="280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54"/>
      <c r="D106" s="280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54"/>
      <c r="D107" s="280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54"/>
      <c r="D108" s="280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54"/>
      <c r="D109" s="280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54"/>
      <c r="D110" s="280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54"/>
      <c r="D111" s="280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54"/>
      <c r="D112" s="280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54"/>
      <c r="D113" s="280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54"/>
      <c r="D114" s="280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54"/>
      <c r="D115" s="280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54"/>
      <c r="D116" s="280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54"/>
      <c r="D117" s="280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54"/>
      <c r="D118" s="280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54"/>
      <c r="D119" s="280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54"/>
      <c r="D120" s="280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54"/>
      <c r="D121" s="280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54">
        <f>AVERAGE(B122:B152)</f>
        <v>5.8967741935483877</v>
      </c>
      <c r="D122" s="280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54"/>
      <c r="D123" s="280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54"/>
      <c r="D124" s="280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54"/>
      <c r="D125" s="280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54"/>
      <c r="D126" s="280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54"/>
      <c r="D127" s="280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54"/>
      <c r="D128" s="280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54"/>
      <c r="D129" s="280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54"/>
      <c r="D130" s="280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54"/>
      <c r="D131" s="280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54"/>
      <c r="D132" s="280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54"/>
      <c r="D133" s="280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54"/>
      <c r="D134" s="280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54"/>
      <c r="D135" s="280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54"/>
      <c r="D136" s="280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54"/>
      <c r="D137" s="280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54"/>
      <c r="D138" s="280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54"/>
      <c r="D139" s="280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54"/>
      <c r="D140" s="280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54"/>
      <c r="D141" s="280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54"/>
      <c r="D142" s="280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54"/>
      <c r="D143" s="280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54"/>
      <c r="D144" s="280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54"/>
      <c r="D145" s="280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54"/>
      <c r="D146" s="280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54"/>
      <c r="D147" s="280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54"/>
      <c r="D148" s="280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54"/>
      <c r="D149" s="280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54"/>
      <c r="D150" s="280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54"/>
      <c r="D151" s="280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54"/>
      <c r="D152" s="280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54">
        <f>AVERAGE(B153:B182)</f>
        <v>4.8600000000000003</v>
      </c>
      <c r="D153" s="280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54"/>
      <c r="D154" s="280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54"/>
      <c r="D155" s="280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54"/>
      <c r="D156" s="280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54"/>
      <c r="D157" s="280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54"/>
      <c r="D158" s="280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54"/>
      <c r="D159" s="280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54"/>
      <c r="D160" s="280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54"/>
      <c r="D161" s="280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54"/>
      <c r="D162" s="280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54"/>
      <c r="D163" s="280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54"/>
      <c r="D164" s="280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54"/>
      <c r="D165" s="280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54"/>
      <c r="D166" s="280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54"/>
      <c r="D167" s="280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54"/>
      <c r="D168" s="280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54"/>
      <c r="D169" s="280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54"/>
      <c r="D170" s="280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54"/>
      <c r="D171" s="280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54"/>
      <c r="D172" s="280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54"/>
      <c r="D173" s="280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54"/>
      <c r="D174" s="280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54"/>
      <c r="D175" s="280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54"/>
      <c r="D176" s="280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54"/>
      <c r="D177" s="280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54"/>
      <c r="D178" s="280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54"/>
      <c r="D179" s="280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54"/>
      <c r="D180" s="280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54"/>
      <c r="D181" s="280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54"/>
      <c r="D182" s="280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54">
        <f>AVERAGE(B183:B213)</f>
        <v>5.3903225806451607</v>
      </c>
      <c r="D183" s="280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54"/>
      <c r="D184" s="280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54"/>
      <c r="D185" s="280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54"/>
      <c r="D186" s="280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54"/>
      <c r="D187" s="280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54"/>
      <c r="D188" s="280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54"/>
      <c r="D189" s="280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54"/>
      <c r="D190" s="280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54"/>
      <c r="D191" s="280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54"/>
      <c r="D192" s="280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54"/>
      <c r="D193" s="280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54"/>
      <c r="D194" s="280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54"/>
      <c r="D195" s="280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54"/>
      <c r="D196" s="280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54"/>
      <c r="D197" s="280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54"/>
      <c r="D198" s="280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54"/>
      <c r="D199" s="280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54"/>
      <c r="D200" s="280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54"/>
      <c r="D201" s="280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54"/>
      <c r="D202" s="280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54"/>
      <c r="D203" s="280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54"/>
      <c r="D204" s="280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54"/>
      <c r="D205" s="280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54"/>
      <c r="D206" s="280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54"/>
      <c r="D207" s="280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54"/>
      <c r="D208" s="280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54"/>
      <c r="D209" s="280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54"/>
      <c r="D210" s="280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54"/>
      <c r="D211" s="280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54"/>
      <c r="D212" s="280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54"/>
      <c r="D213" s="280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54">
        <f>AVERAGE(B214:B244)</f>
        <v>4.5548387096774192</v>
      </c>
      <c r="D214" s="280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54"/>
      <c r="D215" s="280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54"/>
      <c r="D216" s="280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54"/>
      <c r="D217" s="280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54"/>
      <c r="D218" s="280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54"/>
      <c r="D219" s="280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54"/>
      <c r="D220" s="280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54"/>
      <c r="D221" s="280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54"/>
      <c r="D222" s="280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54"/>
      <c r="D223" s="280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54"/>
      <c r="D224" s="280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54"/>
      <c r="D225" s="280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54"/>
      <c r="D226" s="280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54"/>
      <c r="D227" s="280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54"/>
      <c r="D228" s="280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54"/>
      <c r="D229" s="280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54"/>
      <c r="D230" s="280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54"/>
      <c r="D231" s="280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54"/>
      <c r="D232" s="280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54"/>
      <c r="D233" s="280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54"/>
      <c r="D234" s="280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54"/>
      <c r="D235" s="280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54"/>
      <c r="D236" s="280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54"/>
      <c r="D237" s="280"/>
      <c r="E237" s="58">
        <v>1</v>
      </c>
      <c r="F237" s="38" t="s">
        <v>176</v>
      </c>
      <c r="G237" s="281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54"/>
      <c r="D238" s="280"/>
      <c r="E238" s="58">
        <v>1</v>
      </c>
      <c r="F238" s="38" t="s">
        <v>176</v>
      </c>
      <c r="G238" s="281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54"/>
      <c r="D239" s="280"/>
      <c r="E239" s="58">
        <v>1</v>
      </c>
      <c r="F239" s="38" t="s">
        <v>176</v>
      </c>
      <c r="G239" s="281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54"/>
      <c r="D240" s="280"/>
      <c r="E240" s="58">
        <v>1</v>
      </c>
      <c r="F240" s="38" t="s">
        <v>176</v>
      </c>
      <c r="G240" s="281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54"/>
      <c r="D241" s="280"/>
      <c r="E241" s="58">
        <v>1</v>
      </c>
      <c r="F241" s="38" t="s">
        <v>176</v>
      </c>
      <c r="G241" s="281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54"/>
      <c r="D242" s="280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54"/>
      <c r="D243" s="280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54"/>
      <c r="D244" s="280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54">
        <f>AVERAGE(B245:B274)</f>
        <v>5.8166666666666673</v>
      </c>
      <c r="D245" s="280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54"/>
      <c r="D246" s="280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54"/>
      <c r="D247" s="280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54"/>
      <c r="D248" s="280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54"/>
      <c r="D249" s="280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54"/>
      <c r="D250" s="280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54"/>
      <c r="D251" s="280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54"/>
      <c r="D252" s="280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54"/>
      <c r="D253" s="280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54"/>
      <c r="D254" s="280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54"/>
      <c r="D255" s="280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54"/>
      <c r="D256" s="280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54"/>
      <c r="D257" s="280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54"/>
      <c r="D258" s="280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54"/>
      <c r="D259" s="280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54"/>
      <c r="D260" s="280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54"/>
      <c r="D261" s="280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54"/>
      <c r="D262" s="280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54"/>
      <c r="D263" s="280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54"/>
      <c r="D264" s="280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54"/>
      <c r="D265" s="280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54"/>
      <c r="D266" s="280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54"/>
      <c r="D267" s="280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54"/>
      <c r="D268" s="280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54"/>
      <c r="D269" s="280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54"/>
      <c r="D270" s="280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54"/>
      <c r="D271" s="280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54"/>
      <c r="D272" s="280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54"/>
      <c r="D273" s="280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54"/>
      <c r="D274" s="280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54">
        <f>AVERAGE(B275:B305)</f>
        <v>5.629032258064516</v>
      </c>
      <c r="D275" s="280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54"/>
      <c r="D276" s="280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54"/>
      <c r="D277" s="280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54"/>
      <c r="D278" s="280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54"/>
      <c r="D279" s="280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54"/>
      <c r="D280" s="280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54"/>
      <c r="D281" s="280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54"/>
      <c r="D282" s="280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54"/>
      <c r="D283" s="280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54"/>
      <c r="D284" s="280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54"/>
      <c r="D285" s="280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54"/>
      <c r="D286" s="280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54"/>
      <c r="D287" s="280"/>
      <c r="E287" s="58">
        <v>1</v>
      </c>
      <c r="F287" s="38" t="s">
        <v>176</v>
      </c>
      <c r="G287" s="281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54"/>
      <c r="D288" s="280"/>
      <c r="E288" s="58">
        <v>1</v>
      </c>
      <c r="F288" s="38" t="s">
        <v>176</v>
      </c>
      <c r="G288" s="281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54"/>
      <c r="D289" s="280"/>
      <c r="E289" s="58">
        <v>1</v>
      </c>
      <c r="F289" s="38" t="s">
        <v>176</v>
      </c>
      <c r="G289" s="281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54"/>
      <c r="D290" s="280"/>
      <c r="E290" s="58">
        <v>1</v>
      </c>
      <c r="F290" s="38" t="s">
        <v>176</v>
      </c>
      <c r="G290" s="281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54"/>
      <c r="D291" s="280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54"/>
      <c r="D292" s="280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54"/>
      <c r="D293" s="280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54"/>
      <c r="D294" s="280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54"/>
      <c r="D295" s="280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54"/>
      <c r="D296" s="280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54"/>
      <c r="D297" s="280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54"/>
      <c r="D298" s="280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54"/>
      <c r="D299" s="280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54"/>
      <c r="D300" s="280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54"/>
      <c r="D301" s="280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54"/>
      <c r="D302" s="280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54"/>
      <c r="D303" s="280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54"/>
      <c r="D304" s="280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54"/>
      <c r="D305" s="280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54">
        <f>AVERAGE(B306:B335)</f>
        <v>6.0733333333333333</v>
      </c>
      <c r="D306" s="280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54"/>
      <c r="D307" s="280"/>
      <c r="E307" s="58">
        <v>1</v>
      </c>
      <c r="F307" s="38" t="s">
        <v>176</v>
      </c>
      <c r="G307" s="281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54"/>
      <c r="D308" s="280"/>
      <c r="E308" s="58">
        <v>1</v>
      </c>
      <c r="F308" s="38" t="s">
        <v>176</v>
      </c>
      <c r="G308" s="281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54"/>
      <c r="D309" s="280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54"/>
      <c r="D310" s="280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54"/>
      <c r="D311" s="280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54"/>
      <c r="D312" s="280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54"/>
      <c r="D313" s="280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54"/>
      <c r="D314" s="280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54"/>
      <c r="D315" s="280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54"/>
      <c r="D316" s="280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54"/>
      <c r="D317" s="280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54"/>
      <c r="D318" s="280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54"/>
      <c r="D319" s="280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54"/>
      <c r="D320" s="280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54"/>
      <c r="D321" s="280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54"/>
      <c r="D322" s="280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54"/>
      <c r="D323" s="280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54"/>
      <c r="D324" s="280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54"/>
      <c r="D325" s="280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54"/>
      <c r="D326" s="280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54"/>
      <c r="D327" s="280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54"/>
      <c r="D328" s="280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54"/>
      <c r="D329" s="280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54"/>
      <c r="D330" s="280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54"/>
      <c r="D331" s="280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54"/>
      <c r="D332" s="280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54"/>
      <c r="D333" s="280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54"/>
      <c r="D334" s="280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54"/>
      <c r="D335" s="280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54">
        <f>AVERAGE(B336:B366)</f>
        <v>5.8258064516129036</v>
      </c>
      <c r="D336" s="280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54"/>
      <c r="D337" s="280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54"/>
      <c r="D338" s="280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54"/>
      <c r="D339" s="280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54"/>
      <c r="D340" s="280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54"/>
      <c r="D341" s="280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54"/>
      <c r="D342" s="280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54"/>
      <c r="D343" s="280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54"/>
      <c r="D344" s="280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54"/>
      <c r="D345" s="280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54"/>
      <c r="D346" s="280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54"/>
      <c r="D347" s="280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54"/>
      <c r="D348" s="280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54"/>
      <c r="D349" s="280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54"/>
      <c r="D350" s="280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54"/>
      <c r="D351" s="280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54"/>
      <c r="D352" s="280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54"/>
      <c r="D353" s="280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54"/>
      <c r="D354" s="280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54"/>
      <c r="D355" s="280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54"/>
      <c r="D356" s="280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54"/>
      <c r="D357" s="280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54"/>
      <c r="D358" s="280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54"/>
      <c r="D359" s="280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54"/>
      <c r="D360" s="280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54"/>
      <c r="D361" s="280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54"/>
      <c r="D362" s="280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54"/>
      <c r="D363" s="280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54"/>
      <c r="D364" s="280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54"/>
      <c r="D365" s="280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54"/>
      <c r="D366" s="280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A348" zoomScale="82" zoomScaleNormal="70" workbookViewId="0">
      <selection sqref="A1:B366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54">
        <f>AVERAGE(B1:B31)</f>
        <v>5.290322580645161</v>
      </c>
      <c r="D1" s="283">
        <f>AVERAGE(B1:B366)</f>
        <v>5.1967213114754101</v>
      </c>
    </row>
    <row r="2" spans="1:4" x14ac:dyDescent="0.45">
      <c r="A2" s="1">
        <v>45293</v>
      </c>
      <c r="B2" s="2">
        <v>4</v>
      </c>
      <c r="C2" s="254"/>
      <c r="D2" s="283"/>
    </row>
    <row r="3" spans="1:4" x14ac:dyDescent="0.45">
      <c r="A3" s="1">
        <v>45294</v>
      </c>
      <c r="B3" s="2">
        <v>6</v>
      </c>
      <c r="C3" s="254"/>
      <c r="D3" s="283"/>
    </row>
    <row r="4" spans="1:4" x14ac:dyDescent="0.45">
      <c r="A4" s="1">
        <v>45295</v>
      </c>
      <c r="B4" s="2">
        <v>8</v>
      </c>
      <c r="C4" s="254"/>
      <c r="D4" s="283"/>
    </row>
    <row r="5" spans="1:4" x14ac:dyDescent="0.45">
      <c r="A5" s="1">
        <v>45296</v>
      </c>
      <c r="B5" s="2">
        <v>6</v>
      </c>
      <c r="C5" s="254"/>
      <c r="D5" s="283"/>
    </row>
    <row r="6" spans="1:4" x14ac:dyDescent="0.45">
      <c r="A6" s="1">
        <v>45297</v>
      </c>
      <c r="B6" s="2">
        <v>8</v>
      </c>
      <c r="C6" s="254"/>
      <c r="D6" s="283"/>
    </row>
    <row r="7" spans="1:4" x14ac:dyDescent="0.45">
      <c r="A7" s="1">
        <v>45298</v>
      </c>
      <c r="B7" s="2">
        <v>0</v>
      </c>
      <c r="C7" s="254"/>
      <c r="D7" s="283"/>
    </row>
    <row r="8" spans="1:4" x14ac:dyDescent="0.45">
      <c r="A8" s="1">
        <v>45299</v>
      </c>
      <c r="B8" s="2">
        <v>4</v>
      </c>
      <c r="C8" s="254"/>
      <c r="D8" s="283"/>
    </row>
    <row r="9" spans="1:4" x14ac:dyDescent="0.45">
      <c r="A9" s="1">
        <v>45300</v>
      </c>
      <c r="B9" s="2">
        <v>6</v>
      </c>
      <c r="C9" s="254"/>
      <c r="D9" s="283"/>
    </row>
    <row r="10" spans="1:4" x14ac:dyDescent="0.45">
      <c r="A10" s="1">
        <v>45301</v>
      </c>
      <c r="B10" s="2">
        <v>4</v>
      </c>
      <c r="C10" s="254"/>
      <c r="D10" s="283"/>
    </row>
    <row r="11" spans="1:4" x14ac:dyDescent="0.45">
      <c r="A11" s="1">
        <v>45302</v>
      </c>
      <c r="B11" s="2">
        <v>6</v>
      </c>
      <c r="C11" s="254"/>
      <c r="D11" s="283"/>
    </row>
    <row r="12" spans="1:4" x14ac:dyDescent="0.45">
      <c r="A12" s="1">
        <v>45303</v>
      </c>
      <c r="B12" s="2">
        <v>6</v>
      </c>
      <c r="C12" s="254"/>
      <c r="D12" s="283"/>
    </row>
    <row r="13" spans="1:4" x14ac:dyDescent="0.45">
      <c r="A13" s="1">
        <v>45304</v>
      </c>
      <c r="B13" s="2">
        <v>2</v>
      </c>
      <c r="C13" s="254"/>
      <c r="D13" s="283"/>
    </row>
    <row r="14" spans="1:4" x14ac:dyDescent="0.45">
      <c r="A14" s="1">
        <v>45305</v>
      </c>
      <c r="B14" s="2">
        <v>4</v>
      </c>
      <c r="C14" s="254"/>
      <c r="D14" s="283"/>
    </row>
    <row r="15" spans="1:4" x14ac:dyDescent="0.45">
      <c r="A15" s="1">
        <v>45306</v>
      </c>
      <c r="B15" s="2">
        <v>6</v>
      </c>
      <c r="C15" s="254"/>
      <c r="D15" s="283"/>
    </row>
    <row r="16" spans="1:4" x14ac:dyDescent="0.45">
      <c r="A16" s="1">
        <v>45307</v>
      </c>
      <c r="B16" s="2">
        <v>0</v>
      </c>
      <c r="C16" s="254"/>
      <c r="D16" s="283"/>
    </row>
    <row r="17" spans="1:19" ht="14.35" thickBot="1" x14ac:dyDescent="0.5">
      <c r="A17" s="1">
        <v>45308</v>
      </c>
      <c r="B17" s="2">
        <v>6</v>
      </c>
      <c r="C17" s="254"/>
      <c r="D17" s="283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54"/>
      <c r="D18" s="283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54"/>
      <c r="D19" s="283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89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87">
        <f>AVERAGE(K19:K22)</f>
        <v>4.9297923618835746</v>
      </c>
    </row>
    <row r="20" spans="1:19" x14ac:dyDescent="0.45">
      <c r="A20" s="1">
        <v>45311</v>
      </c>
      <c r="B20" s="2">
        <v>6</v>
      </c>
      <c r="C20" s="254"/>
      <c r="D20" s="283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89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54"/>
    </row>
    <row r="21" spans="1:19" x14ac:dyDescent="0.45">
      <c r="A21" s="1">
        <v>45312</v>
      </c>
      <c r="B21" s="2">
        <v>6</v>
      </c>
      <c r="C21" s="254"/>
      <c r="D21" s="283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89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54"/>
    </row>
    <row r="22" spans="1:19" x14ac:dyDescent="0.45">
      <c r="A22" s="1">
        <v>45313</v>
      </c>
      <c r="B22" s="2">
        <v>4</v>
      </c>
      <c r="C22" s="254"/>
      <c r="D22" s="283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89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54"/>
    </row>
    <row r="23" spans="1:19" ht="14.35" thickBot="1" x14ac:dyDescent="0.5">
      <c r="A23" s="1">
        <v>45314</v>
      </c>
      <c r="B23" s="2">
        <v>4</v>
      </c>
      <c r="C23" s="254"/>
      <c r="D23" s="283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89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87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54"/>
      <c r="D24" s="283"/>
      <c r="F24" s="258" t="s">
        <v>6</v>
      </c>
      <c r="G24" s="259"/>
      <c r="H24" s="17">
        <f>SUM(H18:H23)</f>
        <v>366</v>
      </c>
      <c r="J24" s="10" t="s">
        <v>13</v>
      </c>
      <c r="K24" s="29">
        <v>5.333333333333333</v>
      </c>
      <c r="L24" s="289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54"/>
    </row>
    <row r="25" spans="1:19" x14ac:dyDescent="0.45">
      <c r="A25" s="1">
        <v>45316</v>
      </c>
      <c r="B25" s="2">
        <v>6</v>
      </c>
      <c r="C25" s="254"/>
      <c r="D25" s="283"/>
      <c r="J25" s="10" t="s">
        <v>14</v>
      </c>
      <c r="K25" s="29">
        <v>5.032258064516129</v>
      </c>
      <c r="L25" s="289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54"/>
    </row>
    <row r="26" spans="1:19" x14ac:dyDescent="0.45">
      <c r="A26" s="1">
        <v>45317</v>
      </c>
      <c r="B26" s="2">
        <v>10</v>
      </c>
      <c r="C26" s="254"/>
      <c r="D26" s="283"/>
      <c r="J26" s="10" t="s">
        <v>15</v>
      </c>
      <c r="K26" s="29">
        <v>4.967741935483871</v>
      </c>
      <c r="L26" s="289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54"/>
    </row>
    <row r="27" spans="1:19" x14ac:dyDescent="0.45">
      <c r="A27" s="1">
        <v>45318</v>
      </c>
      <c r="B27" s="2">
        <v>10</v>
      </c>
      <c r="C27" s="254"/>
      <c r="D27" s="283"/>
      <c r="F27" s="286" t="s">
        <v>23</v>
      </c>
      <c r="G27" s="286"/>
      <c r="H27" s="286"/>
      <c r="J27" s="10" t="s">
        <v>16</v>
      </c>
      <c r="K27" s="29">
        <v>5.2666666666666666</v>
      </c>
      <c r="L27" s="289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87">
        <f>AVERAGE(K27:K30)</f>
        <v>5.2806451612903231</v>
      </c>
    </row>
    <row r="28" spans="1:19" x14ac:dyDescent="0.45">
      <c r="A28" s="1">
        <v>45319</v>
      </c>
      <c r="B28" s="2">
        <v>10</v>
      </c>
      <c r="C28" s="254"/>
      <c r="D28" s="283"/>
      <c r="F28" s="288">
        <v>2024</v>
      </c>
      <c r="G28" s="288"/>
      <c r="H28" s="288"/>
      <c r="J28" s="10" t="s">
        <v>17</v>
      </c>
      <c r="K28" s="29">
        <v>5.612903225806452</v>
      </c>
      <c r="L28" s="289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54"/>
    </row>
    <row r="29" spans="1:19" x14ac:dyDescent="0.45">
      <c r="A29" s="1">
        <v>45320</v>
      </c>
      <c r="B29" s="2">
        <v>4</v>
      </c>
      <c r="C29" s="254"/>
      <c r="D29" s="283"/>
      <c r="J29" s="10" t="s">
        <v>18</v>
      </c>
      <c r="K29" s="29">
        <v>5.5333333333333332</v>
      </c>
      <c r="L29" s="289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54"/>
    </row>
    <row r="30" spans="1:19" ht="14.35" thickBot="1" x14ac:dyDescent="0.5">
      <c r="A30" s="1">
        <v>45321</v>
      </c>
      <c r="B30" s="2">
        <v>4</v>
      </c>
      <c r="C30" s="254"/>
      <c r="D30" s="283"/>
      <c r="J30" s="18" t="s">
        <v>19</v>
      </c>
      <c r="K30" s="30">
        <v>4.709677419354839</v>
      </c>
      <c r="L30" s="290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54"/>
    </row>
    <row r="31" spans="1:19" x14ac:dyDescent="0.45">
      <c r="A31" s="1">
        <v>45322</v>
      </c>
      <c r="B31" s="2">
        <v>4</v>
      </c>
      <c r="C31" s="254"/>
      <c r="D31" s="283"/>
    </row>
    <row r="32" spans="1:19" x14ac:dyDescent="0.45">
      <c r="A32" s="1">
        <v>45323</v>
      </c>
      <c r="B32" s="2">
        <v>6</v>
      </c>
      <c r="C32" s="254">
        <f>AVERAGE(B32:B60)</f>
        <v>4.4137931034482758</v>
      </c>
      <c r="D32" s="283"/>
    </row>
    <row r="33" spans="1:4" x14ac:dyDescent="0.45">
      <c r="A33" s="1">
        <v>45324</v>
      </c>
      <c r="B33" s="2">
        <v>6</v>
      </c>
      <c r="C33" s="254"/>
      <c r="D33" s="283"/>
    </row>
    <row r="34" spans="1:4" x14ac:dyDescent="0.45">
      <c r="A34" s="1">
        <v>45325</v>
      </c>
      <c r="B34" s="2">
        <v>6</v>
      </c>
      <c r="C34" s="254"/>
      <c r="D34" s="283"/>
    </row>
    <row r="35" spans="1:4" x14ac:dyDescent="0.45">
      <c r="A35" s="1">
        <v>45326</v>
      </c>
      <c r="B35" s="2">
        <v>4</v>
      </c>
      <c r="C35" s="254"/>
      <c r="D35" s="283"/>
    </row>
    <row r="36" spans="1:4" x14ac:dyDescent="0.45">
      <c r="A36" s="1">
        <v>45327</v>
      </c>
      <c r="B36" s="2">
        <v>2</v>
      </c>
      <c r="C36" s="254"/>
      <c r="D36" s="283"/>
    </row>
    <row r="37" spans="1:4" x14ac:dyDescent="0.45">
      <c r="A37" s="1">
        <v>45328</v>
      </c>
      <c r="B37" s="2">
        <v>6</v>
      </c>
      <c r="C37" s="254"/>
      <c r="D37" s="283"/>
    </row>
    <row r="38" spans="1:4" x14ac:dyDescent="0.45">
      <c r="A38" s="1">
        <v>45329</v>
      </c>
      <c r="B38" s="2">
        <v>4</v>
      </c>
      <c r="C38" s="254"/>
      <c r="D38" s="283"/>
    </row>
    <row r="39" spans="1:4" x14ac:dyDescent="0.45">
      <c r="A39" s="1">
        <v>45330</v>
      </c>
      <c r="B39" s="2">
        <v>6</v>
      </c>
      <c r="C39" s="254"/>
      <c r="D39" s="283"/>
    </row>
    <row r="40" spans="1:4" x14ac:dyDescent="0.45">
      <c r="A40" s="1">
        <v>45331</v>
      </c>
      <c r="B40" s="2">
        <v>6</v>
      </c>
      <c r="C40" s="254"/>
      <c r="D40" s="283"/>
    </row>
    <row r="41" spans="1:4" x14ac:dyDescent="0.45">
      <c r="A41" s="1">
        <v>45332</v>
      </c>
      <c r="B41" s="2">
        <v>4</v>
      </c>
      <c r="C41" s="254"/>
      <c r="D41" s="283"/>
    </row>
    <row r="42" spans="1:4" x14ac:dyDescent="0.45">
      <c r="A42" s="1">
        <v>45333</v>
      </c>
      <c r="B42" s="2">
        <v>4</v>
      </c>
      <c r="C42" s="254"/>
      <c r="D42" s="283"/>
    </row>
    <row r="43" spans="1:4" x14ac:dyDescent="0.45">
      <c r="A43" s="1">
        <v>45334</v>
      </c>
      <c r="B43" s="2">
        <v>4</v>
      </c>
      <c r="C43" s="254"/>
      <c r="D43" s="283"/>
    </row>
    <row r="44" spans="1:4" x14ac:dyDescent="0.45">
      <c r="A44" s="1">
        <v>45335</v>
      </c>
      <c r="B44" s="2">
        <v>6</v>
      </c>
      <c r="C44" s="254"/>
      <c r="D44" s="283"/>
    </row>
    <row r="45" spans="1:4" x14ac:dyDescent="0.45">
      <c r="A45" s="1">
        <v>45336</v>
      </c>
      <c r="B45" s="2">
        <v>10</v>
      </c>
      <c r="C45" s="254"/>
      <c r="D45" s="283"/>
    </row>
    <row r="46" spans="1:4" x14ac:dyDescent="0.45">
      <c r="A46" s="1">
        <v>45337</v>
      </c>
      <c r="B46" s="2">
        <v>6</v>
      </c>
      <c r="C46" s="254"/>
      <c r="D46" s="283"/>
    </row>
    <row r="47" spans="1:4" x14ac:dyDescent="0.45">
      <c r="A47" s="1">
        <v>45338</v>
      </c>
      <c r="B47" s="2">
        <v>2</v>
      </c>
      <c r="C47" s="254"/>
      <c r="D47" s="283"/>
    </row>
    <row r="48" spans="1:4" x14ac:dyDescent="0.45">
      <c r="A48" s="1">
        <v>45339</v>
      </c>
      <c r="B48" s="2">
        <v>4</v>
      </c>
      <c r="C48" s="254"/>
      <c r="D48" s="283"/>
    </row>
    <row r="49" spans="1:4" x14ac:dyDescent="0.45">
      <c r="A49" s="1">
        <v>45340</v>
      </c>
      <c r="B49" s="2">
        <v>4</v>
      </c>
      <c r="C49" s="254"/>
      <c r="D49" s="283"/>
    </row>
    <row r="50" spans="1:4" x14ac:dyDescent="0.45">
      <c r="A50" s="1">
        <v>45341</v>
      </c>
      <c r="B50" s="2">
        <v>4</v>
      </c>
      <c r="C50" s="254"/>
      <c r="D50" s="283"/>
    </row>
    <row r="51" spans="1:4" x14ac:dyDescent="0.45">
      <c r="A51" s="1">
        <v>45342</v>
      </c>
      <c r="B51" s="2">
        <v>0</v>
      </c>
      <c r="C51" s="254"/>
      <c r="D51" s="283"/>
    </row>
    <row r="52" spans="1:4" x14ac:dyDescent="0.45">
      <c r="A52" s="1">
        <v>45343</v>
      </c>
      <c r="B52" s="2">
        <v>0</v>
      </c>
      <c r="C52" s="254"/>
      <c r="D52" s="283"/>
    </row>
    <row r="53" spans="1:4" x14ac:dyDescent="0.45">
      <c r="A53" s="1">
        <v>45344</v>
      </c>
      <c r="B53" s="2">
        <v>2</v>
      </c>
      <c r="C53" s="254"/>
      <c r="D53" s="283"/>
    </row>
    <row r="54" spans="1:4" x14ac:dyDescent="0.45">
      <c r="A54" s="1">
        <v>45345</v>
      </c>
      <c r="B54" s="2">
        <v>4</v>
      </c>
      <c r="C54" s="254"/>
      <c r="D54" s="283"/>
    </row>
    <row r="55" spans="1:4" x14ac:dyDescent="0.45">
      <c r="A55" s="1">
        <v>45346</v>
      </c>
      <c r="B55" s="2">
        <v>4</v>
      </c>
      <c r="C55" s="254"/>
      <c r="D55" s="283"/>
    </row>
    <row r="56" spans="1:4" x14ac:dyDescent="0.45">
      <c r="A56" s="1">
        <v>45347</v>
      </c>
      <c r="B56" s="2">
        <v>6</v>
      </c>
      <c r="C56" s="254"/>
      <c r="D56" s="283"/>
    </row>
    <row r="57" spans="1:4" x14ac:dyDescent="0.45">
      <c r="A57" s="1">
        <v>45348</v>
      </c>
      <c r="B57" s="2">
        <v>4</v>
      </c>
      <c r="C57" s="254"/>
      <c r="D57" s="283"/>
    </row>
    <row r="58" spans="1:4" x14ac:dyDescent="0.45">
      <c r="A58" s="1">
        <v>45349</v>
      </c>
      <c r="B58" s="2">
        <v>4</v>
      </c>
      <c r="C58" s="254"/>
      <c r="D58" s="283"/>
    </row>
    <row r="59" spans="1:4" x14ac:dyDescent="0.45">
      <c r="A59" s="1">
        <v>45350</v>
      </c>
      <c r="B59" s="2">
        <v>4</v>
      </c>
      <c r="C59" s="254"/>
      <c r="D59" s="283"/>
    </row>
    <row r="60" spans="1:4" x14ac:dyDescent="0.45">
      <c r="A60" s="1">
        <v>45351</v>
      </c>
      <c r="B60" s="2">
        <v>6</v>
      </c>
      <c r="C60" s="254"/>
      <c r="D60" s="283"/>
    </row>
    <row r="61" spans="1:4" x14ac:dyDescent="0.45">
      <c r="A61" s="1">
        <v>45352</v>
      </c>
      <c r="B61" s="2">
        <v>6</v>
      </c>
      <c r="C61" s="254">
        <f>AVERAGE(B61:B91)</f>
        <v>5.5483870967741939</v>
      </c>
      <c r="D61" s="283"/>
    </row>
    <row r="62" spans="1:4" x14ac:dyDescent="0.45">
      <c r="A62" s="1">
        <v>45353</v>
      </c>
      <c r="B62" s="2">
        <v>6</v>
      </c>
      <c r="C62" s="254"/>
      <c r="D62" s="283"/>
    </row>
    <row r="63" spans="1:4" x14ac:dyDescent="0.45">
      <c r="A63" s="1">
        <v>45354</v>
      </c>
      <c r="B63" s="2">
        <v>8</v>
      </c>
      <c r="C63" s="254"/>
      <c r="D63" s="283"/>
    </row>
    <row r="64" spans="1:4" x14ac:dyDescent="0.45">
      <c r="A64" s="1">
        <v>45355</v>
      </c>
      <c r="B64" s="2">
        <v>6</v>
      </c>
      <c r="C64" s="254"/>
      <c r="D64" s="283"/>
    </row>
    <row r="65" spans="1:4" x14ac:dyDescent="0.45">
      <c r="A65" s="1">
        <v>45356</v>
      </c>
      <c r="B65" s="2">
        <v>4</v>
      </c>
      <c r="C65" s="254"/>
      <c r="D65" s="283"/>
    </row>
    <row r="66" spans="1:4" x14ac:dyDescent="0.45">
      <c r="A66" s="1">
        <v>45357</v>
      </c>
      <c r="B66" s="2">
        <v>4</v>
      </c>
      <c r="C66" s="254"/>
      <c r="D66" s="283"/>
    </row>
    <row r="67" spans="1:4" x14ac:dyDescent="0.45">
      <c r="A67" s="1">
        <v>45358</v>
      </c>
      <c r="B67" s="2">
        <v>6</v>
      </c>
      <c r="C67" s="254"/>
      <c r="D67" s="283"/>
    </row>
    <row r="68" spans="1:4" x14ac:dyDescent="0.45">
      <c r="A68" s="1">
        <v>45359</v>
      </c>
      <c r="B68" s="2">
        <v>6</v>
      </c>
      <c r="C68" s="254"/>
      <c r="D68" s="283"/>
    </row>
    <row r="69" spans="1:4" x14ac:dyDescent="0.45">
      <c r="A69" s="1">
        <v>45360</v>
      </c>
      <c r="B69" s="2">
        <v>6</v>
      </c>
      <c r="C69" s="254"/>
      <c r="D69" s="283"/>
    </row>
    <row r="70" spans="1:4" x14ac:dyDescent="0.45">
      <c r="A70" s="1">
        <v>45361</v>
      </c>
      <c r="B70" s="2">
        <v>6</v>
      </c>
      <c r="C70" s="254"/>
      <c r="D70" s="283"/>
    </row>
    <row r="71" spans="1:4" x14ac:dyDescent="0.45">
      <c r="A71" s="1">
        <v>45362</v>
      </c>
      <c r="B71" s="2">
        <v>4</v>
      </c>
      <c r="C71" s="254"/>
      <c r="D71" s="283"/>
    </row>
    <row r="72" spans="1:4" x14ac:dyDescent="0.45">
      <c r="A72" s="1">
        <v>45363</v>
      </c>
      <c r="B72" s="2">
        <v>6</v>
      </c>
      <c r="C72" s="254"/>
      <c r="D72" s="283"/>
    </row>
    <row r="73" spans="1:4" x14ac:dyDescent="0.45">
      <c r="A73" s="1">
        <v>45364</v>
      </c>
      <c r="B73" s="2">
        <v>6</v>
      </c>
      <c r="C73" s="254"/>
      <c r="D73" s="283"/>
    </row>
    <row r="74" spans="1:4" x14ac:dyDescent="0.45">
      <c r="A74" s="1">
        <v>45365</v>
      </c>
      <c r="B74" s="2">
        <v>4</v>
      </c>
      <c r="C74" s="254"/>
      <c r="D74" s="283"/>
    </row>
    <row r="75" spans="1:4" x14ac:dyDescent="0.45">
      <c r="A75" s="1">
        <v>45366</v>
      </c>
      <c r="B75" s="2">
        <v>6</v>
      </c>
      <c r="C75" s="254"/>
      <c r="D75" s="283"/>
    </row>
    <row r="76" spans="1:4" x14ac:dyDescent="0.45">
      <c r="A76" s="1">
        <v>45367</v>
      </c>
      <c r="B76" s="2">
        <v>6</v>
      </c>
      <c r="C76" s="254"/>
      <c r="D76" s="283"/>
    </row>
    <row r="77" spans="1:4" x14ac:dyDescent="0.45">
      <c r="A77" s="1">
        <v>45368</v>
      </c>
      <c r="B77" s="2">
        <v>4</v>
      </c>
      <c r="C77" s="254"/>
      <c r="D77" s="283"/>
    </row>
    <row r="78" spans="1:4" x14ac:dyDescent="0.45">
      <c r="A78" s="1">
        <v>45369</v>
      </c>
      <c r="B78" s="2">
        <v>6</v>
      </c>
      <c r="C78" s="254"/>
      <c r="D78" s="283"/>
    </row>
    <row r="79" spans="1:4" x14ac:dyDescent="0.45">
      <c r="A79" s="1">
        <v>45370</v>
      </c>
      <c r="B79" s="2">
        <v>2</v>
      </c>
      <c r="C79" s="254"/>
      <c r="D79" s="283"/>
    </row>
    <row r="80" spans="1:4" x14ac:dyDescent="0.45">
      <c r="A80" s="1">
        <v>45371</v>
      </c>
      <c r="B80" s="2">
        <v>8</v>
      </c>
      <c r="C80" s="254"/>
      <c r="D80" s="283"/>
    </row>
    <row r="81" spans="1:4" x14ac:dyDescent="0.45">
      <c r="A81" s="1">
        <v>45372</v>
      </c>
      <c r="B81" s="2">
        <v>6</v>
      </c>
      <c r="C81" s="254"/>
      <c r="D81" s="283"/>
    </row>
    <row r="82" spans="1:4" x14ac:dyDescent="0.45">
      <c r="A82" s="1">
        <v>45373</v>
      </c>
      <c r="B82" s="2">
        <v>8</v>
      </c>
      <c r="C82" s="254"/>
      <c r="D82" s="283"/>
    </row>
    <row r="83" spans="1:4" x14ac:dyDescent="0.45">
      <c r="A83" s="1">
        <v>45374</v>
      </c>
      <c r="B83" s="2">
        <v>6</v>
      </c>
      <c r="C83" s="254"/>
      <c r="D83" s="283"/>
    </row>
    <row r="84" spans="1:4" x14ac:dyDescent="0.45">
      <c r="A84" s="1">
        <v>45375</v>
      </c>
      <c r="B84" s="2">
        <v>2</v>
      </c>
      <c r="C84" s="254"/>
      <c r="D84" s="283"/>
    </row>
    <row r="85" spans="1:4" x14ac:dyDescent="0.45">
      <c r="A85" s="1">
        <v>45376</v>
      </c>
      <c r="B85" s="2">
        <v>8</v>
      </c>
      <c r="C85" s="254"/>
      <c r="D85" s="283"/>
    </row>
    <row r="86" spans="1:4" x14ac:dyDescent="0.45">
      <c r="A86" s="1">
        <v>45377</v>
      </c>
      <c r="B86" s="2">
        <v>6</v>
      </c>
      <c r="C86" s="254"/>
      <c r="D86" s="283"/>
    </row>
    <row r="87" spans="1:4" x14ac:dyDescent="0.45">
      <c r="A87" s="1">
        <v>45378</v>
      </c>
      <c r="B87" s="2">
        <v>4</v>
      </c>
      <c r="C87" s="254"/>
      <c r="D87" s="283"/>
    </row>
    <row r="88" spans="1:4" x14ac:dyDescent="0.45">
      <c r="A88" s="1">
        <v>45379</v>
      </c>
      <c r="B88" s="2">
        <v>6</v>
      </c>
      <c r="C88" s="254"/>
      <c r="D88" s="283"/>
    </row>
    <row r="89" spans="1:4" x14ac:dyDescent="0.45">
      <c r="A89" s="1">
        <v>45380</v>
      </c>
      <c r="B89" s="2">
        <v>4</v>
      </c>
      <c r="C89" s="254"/>
      <c r="D89" s="283"/>
    </row>
    <row r="90" spans="1:4" x14ac:dyDescent="0.45">
      <c r="A90" s="1">
        <v>45381</v>
      </c>
      <c r="B90" s="2">
        <v>6</v>
      </c>
      <c r="C90" s="254"/>
      <c r="D90" s="283"/>
    </row>
    <row r="91" spans="1:4" x14ac:dyDescent="0.45">
      <c r="A91" s="1">
        <v>45382</v>
      </c>
      <c r="B91" s="2">
        <v>6</v>
      </c>
      <c r="C91" s="254"/>
      <c r="D91" s="283"/>
    </row>
    <row r="92" spans="1:4" x14ac:dyDescent="0.45">
      <c r="A92" s="1">
        <v>45383</v>
      </c>
      <c r="B92" s="2">
        <v>4</v>
      </c>
      <c r="C92" s="254">
        <f>AVERAGE(B92:B121)</f>
        <v>4.4666666666666668</v>
      </c>
      <c r="D92" s="283"/>
    </row>
    <row r="93" spans="1:4" x14ac:dyDescent="0.45">
      <c r="A93" s="1">
        <v>45384</v>
      </c>
      <c r="B93" s="2">
        <v>4</v>
      </c>
      <c r="C93" s="254"/>
      <c r="D93" s="283"/>
    </row>
    <row r="94" spans="1:4" x14ac:dyDescent="0.45">
      <c r="A94" s="1">
        <v>45385</v>
      </c>
      <c r="B94" s="2">
        <v>4</v>
      </c>
      <c r="C94" s="254"/>
      <c r="D94" s="283"/>
    </row>
    <row r="95" spans="1:4" x14ac:dyDescent="0.45">
      <c r="A95" s="1">
        <v>45386</v>
      </c>
      <c r="B95" s="2">
        <v>4</v>
      </c>
      <c r="C95" s="254"/>
      <c r="D95" s="283"/>
    </row>
    <row r="96" spans="1:4" x14ac:dyDescent="0.45">
      <c r="A96" s="1">
        <v>45387</v>
      </c>
      <c r="B96" s="2">
        <v>0</v>
      </c>
      <c r="C96" s="254"/>
      <c r="D96" s="283"/>
    </row>
    <row r="97" spans="1:10" x14ac:dyDescent="0.45">
      <c r="A97" s="1">
        <v>45388</v>
      </c>
      <c r="B97" s="2">
        <v>2</v>
      </c>
      <c r="C97" s="254"/>
      <c r="D97" s="283"/>
    </row>
    <row r="98" spans="1:10" x14ac:dyDescent="0.45">
      <c r="A98" s="1">
        <v>45389</v>
      </c>
      <c r="B98" s="2">
        <v>4</v>
      </c>
      <c r="C98" s="254"/>
      <c r="D98" s="283"/>
    </row>
    <row r="99" spans="1:10" x14ac:dyDescent="0.45">
      <c r="A99" s="1">
        <v>45390</v>
      </c>
      <c r="B99" s="2">
        <v>4</v>
      </c>
      <c r="C99" s="254"/>
      <c r="D99" s="283"/>
    </row>
    <row r="100" spans="1:10" x14ac:dyDescent="0.45">
      <c r="A100" s="1">
        <v>45391</v>
      </c>
      <c r="B100" s="2">
        <v>6</v>
      </c>
      <c r="C100" s="254"/>
      <c r="D100" s="283"/>
    </row>
    <row r="101" spans="1:10" x14ac:dyDescent="0.45">
      <c r="A101" s="1">
        <v>45392</v>
      </c>
      <c r="B101" s="2">
        <v>2</v>
      </c>
      <c r="C101" s="254"/>
      <c r="D101" s="283"/>
    </row>
    <row r="102" spans="1:10" x14ac:dyDescent="0.45">
      <c r="A102" s="1">
        <v>45393</v>
      </c>
      <c r="B102" s="2">
        <v>0</v>
      </c>
      <c r="C102" s="254"/>
      <c r="D102" s="283"/>
    </row>
    <row r="103" spans="1:10" x14ac:dyDescent="0.45">
      <c r="A103" s="1">
        <v>45394</v>
      </c>
      <c r="B103" s="2">
        <v>6</v>
      </c>
      <c r="C103" s="254"/>
      <c r="D103" s="283"/>
    </row>
    <row r="104" spans="1:10" x14ac:dyDescent="0.45">
      <c r="A104" s="1">
        <v>45395</v>
      </c>
      <c r="B104" s="2">
        <v>6</v>
      </c>
      <c r="C104" s="254"/>
      <c r="D104" s="283"/>
    </row>
    <row r="105" spans="1:10" x14ac:dyDescent="0.45">
      <c r="A105" s="1">
        <v>45396</v>
      </c>
      <c r="B105" s="2">
        <v>4</v>
      </c>
      <c r="C105" s="254"/>
      <c r="D105" s="283"/>
    </row>
    <row r="106" spans="1:10" x14ac:dyDescent="0.45">
      <c r="A106" s="1">
        <v>45397</v>
      </c>
      <c r="B106" s="2">
        <v>6</v>
      </c>
      <c r="C106" s="254"/>
      <c r="D106" s="283"/>
    </row>
    <row r="107" spans="1:10" x14ac:dyDescent="0.45">
      <c r="A107" s="1">
        <v>45398</v>
      </c>
      <c r="B107" s="2">
        <v>4</v>
      </c>
      <c r="C107" s="254"/>
      <c r="D107" s="283"/>
    </row>
    <row r="108" spans="1:10" x14ac:dyDescent="0.45">
      <c r="A108" s="1">
        <v>45399</v>
      </c>
      <c r="B108" s="2">
        <v>8</v>
      </c>
      <c r="C108" s="254"/>
      <c r="D108" s="283"/>
      <c r="J108" s="3" t="s">
        <v>22</v>
      </c>
    </row>
    <row r="109" spans="1:10" x14ac:dyDescent="0.45">
      <c r="A109" s="1">
        <v>45400</v>
      </c>
      <c r="B109" s="2">
        <v>6</v>
      </c>
      <c r="C109" s="254"/>
      <c r="D109" s="283"/>
    </row>
    <row r="110" spans="1:10" x14ac:dyDescent="0.45">
      <c r="A110" s="1">
        <v>45401</v>
      </c>
      <c r="B110" s="2">
        <v>6</v>
      </c>
      <c r="C110" s="254"/>
      <c r="D110" s="283"/>
    </row>
    <row r="111" spans="1:10" x14ac:dyDescent="0.45">
      <c r="A111" s="1">
        <v>45402</v>
      </c>
      <c r="B111" s="2">
        <v>4</v>
      </c>
      <c r="C111" s="254"/>
      <c r="D111" s="283"/>
    </row>
    <row r="112" spans="1:10" x14ac:dyDescent="0.45">
      <c r="A112" s="1">
        <v>45403</v>
      </c>
      <c r="B112" s="2">
        <v>6</v>
      </c>
      <c r="C112" s="254"/>
      <c r="D112" s="283"/>
    </row>
    <row r="113" spans="1:4" x14ac:dyDescent="0.45">
      <c r="A113" s="1">
        <v>45404</v>
      </c>
      <c r="B113" s="2">
        <v>6</v>
      </c>
      <c r="C113" s="254"/>
      <c r="D113" s="283"/>
    </row>
    <row r="114" spans="1:4" x14ac:dyDescent="0.45">
      <c r="A114" s="1">
        <v>45405</v>
      </c>
      <c r="B114" s="2">
        <v>4</v>
      </c>
      <c r="C114" s="254"/>
      <c r="D114" s="283"/>
    </row>
    <row r="115" spans="1:4" x14ac:dyDescent="0.45">
      <c r="A115" s="1">
        <v>45406</v>
      </c>
      <c r="B115" s="2">
        <v>6</v>
      </c>
      <c r="C115" s="254"/>
      <c r="D115" s="283"/>
    </row>
    <row r="116" spans="1:4" x14ac:dyDescent="0.45">
      <c r="A116" s="1">
        <v>45407</v>
      </c>
      <c r="B116" s="2">
        <v>4</v>
      </c>
      <c r="C116" s="254"/>
      <c r="D116" s="283"/>
    </row>
    <row r="117" spans="1:4" x14ac:dyDescent="0.45">
      <c r="A117" s="1">
        <v>45408</v>
      </c>
      <c r="B117" s="2">
        <v>4</v>
      </c>
      <c r="C117" s="254"/>
      <c r="D117" s="283"/>
    </row>
    <row r="118" spans="1:4" x14ac:dyDescent="0.45">
      <c r="A118" s="1">
        <v>45409</v>
      </c>
      <c r="B118" s="2">
        <v>4</v>
      </c>
      <c r="C118" s="254"/>
      <c r="D118" s="283"/>
    </row>
    <row r="119" spans="1:4" x14ac:dyDescent="0.45">
      <c r="A119" s="1">
        <v>45410</v>
      </c>
      <c r="B119" s="2">
        <v>4</v>
      </c>
      <c r="C119" s="254"/>
      <c r="D119" s="283"/>
    </row>
    <row r="120" spans="1:4" x14ac:dyDescent="0.45">
      <c r="A120" s="1">
        <v>45411</v>
      </c>
      <c r="B120" s="2">
        <v>6</v>
      </c>
      <c r="C120" s="254"/>
      <c r="D120" s="283"/>
    </row>
    <row r="121" spans="1:4" x14ac:dyDescent="0.45">
      <c r="A121" s="1">
        <v>45412</v>
      </c>
      <c r="B121" s="2">
        <v>6</v>
      </c>
      <c r="C121" s="254"/>
      <c r="D121" s="283"/>
    </row>
    <row r="122" spans="1:4" x14ac:dyDescent="0.45">
      <c r="A122" s="1">
        <v>45413</v>
      </c>
      <c r="B122" s="2">
        <v>8</v>
      </c>
      <c r="C122" s="284">
        <f>AVERAGE(B122:B152)</f>
        <v>6.129032258064516</v>
      </c>
      <c r="D122" s="283"/>
    </row>
    <row r="123" spans="1:4" x14ac:dyDescent="0.45">
      <c r="A123" s="1">
        <v>45414</v>
      </c>
      <c r="B123" s="2">
        <v>6</v>
      </c>
      <c r="C123" s="285"/>
      <c r="D123" s="283"/>
    </row>
    <row r="124" spans="1:4" x14ac:dyDescent="0.45">
      <c r="A124" s="1">
        <v>45415</v>
      </c>
      <c r="B124" s="2">
        <v>6</v>
      </c>
      <c r="C124" s="285"/>
      <c r="D124" s="283"/>
    </row>
    <row r="125" spans="1:4" x14ac:dyDescent="0.45">
      <c r="A125" s="1">
        <v>45416</v>
      </c>
      <c r="B125" s="2">
        <v>10</v>
      </c>
      <c r="C125" s="285"/>
      <c r="D125" s="283"/>
    </row>
    <row r="126" spans="1:4" x14ac:dyDescent="0.45">
      <c r="A126" s="1">
        <v>45417</v>
      </c>
      <c r="B126" s="2">
        <v>6</v>
      </c>
      <c r="C126" s="285"/>
      <c r="D126" s="283"/>
    </row>
    <row r="127" spans="1:4" x14ac:dyDescent="0.45">
      <c r="A127" s="1">
        <v>45418</v>
      </c>
      <c r="B127" s="2">
        <v>4</v>
      </c>
      <c r="C127" s="285"/>
      <c r="D127" s="283"/>
    </row>
    <row r="128" spans="1:4" x14ac:dyDescent="0.45">
      <c r="A128" s="1">
        <v>45419</v>
      </c>
      <c r="B128" s="2">
        <v>6</v>
      </c>
      <c r="C128" s="285"/>
      <c r="D128" s="283"/>
    </row>
    <row r="129" spans="1:4" x14ac:dyDescent="0.45">
      <c r="A129" s="1">
        <v>45420</v>
      </c>
      <c r="B129" s="2">
        <v>6</v>
      </c>
      <c r="C129" s="285"/>
      <c r="D129" s="283"/>
    </row>
    <row r="130" spans="1:4" x14ac:dyDescent="0.45">
      <c r="A130" s="1">
        <v>45421</v>
      </c>
      <c r="B130" s="2">
        <v>6</v>
      </c>
      <c r="C130" s="285"/>
      <c r="D130" s="283"/>
    </row>
    <row r="131" spans="1:4" x14ac:dyDescent="0.45">
      <c r="A131" s="1">
        <v>45422</v>
      </c>
      <c r="B131" s="2">
        <v>8</v>
      </c>
      <c r="C131" s="285"/>
      <c r="D131" s="283"/>
    </row>
    <row r="132" spans="1:4" x14ac:dyDescent="0.45">
      <c r="A132" s="1">
        <v>45423</v>
      </c>
      <c r="B132" s="2">
        <v>8</v>
      </c>
      <c r="C132" s="285"/>
      <c r="D132" s="283"/>
    </row>
    <row r="133" spans="1:4" x14ac:dyDescent="0.45">
      <c r="A133" s="1">
        <v>45424</v>
      </c>
      <c r="B133" s="2">
        <v>6</v>
      </c>
      <c r="C133" s="285"/>
      <c r="D133" s="283"/>
    </row>
    <row r="134" spans="1:4" x14ac:dyDescent="0.45">
      <c r="A134" s="1">
        <v>45425</v>
      </c>
      <c r="B134" s="2">
        <v>6</v>
      </c>
      <c r="C134" s="285"/>
      <c r="D134" s="283"/>
    </row>
    <row r="135" spans="1:4" x14ac:dyDescent="0.45">
      <c r="A135" s="1">
        <v>45426</v>
      </c>
      <c r="B135" s="2">
        <v>6</v>
      </c>
      <c r="C135" s="285"/>
      <c r="D135" s="283"/>
    </row>
    <row r="136" spans="1:4" x14ac:dyDescent="0.45">
      <c r="A136" s="1">
        <v>45427</v>
      </c>
      <c r="B136" s="2">
        <v>6</v>
      </c>
      <c r="C136" s="285"/>
      <c r="D136" s="283"/>
    </row>
    <row r="137" spans="1:4" x14ac:dyDescent="0.45">
      <c r="A137" s="1">
        <v>45428</v>
      </c>
      <c r="B137" s="2">
        <v>4</v>
      </c>
      <c r="C137" s="285"/>
      <c r="D137" s="283"/>
    </row>
    <row r="138" spans="1:4" x14ac:dyDescent="0.45">
      <c r="A138" s="1">
        <v>45429</v>
      </c>
      <c r="B138" s="2">
        <v>4</v>
      </c>
      <c r="C138" s="285"/>
      <c r="D138" s="283"/>
    </row>
    <row r="139" spans="1:4" x14ac:dyDescent="0.45">
      <c r="A139" s="1">
        <v>45430</v>
      </c>
      <c r="B139" s="2">
        <v>6</v>
      </c>
      <c r="C139" s="285"/>
      <c r="D139" s="283"/>
    </row>
    <row r="140" spans="1:4" x14ac:dyDescent="0.45">
      <c r="A140" s="1">
        <v>45431</v>
      </c>
      <c r="B140" s="2">
        <v>4</v>
      </c>
      <c r="C140" s="285"/>
      <c r="D140" s="283"/>
    </row>
    <row r="141" spans="1:4" x14ac:dyDescent="0.45">
      <c r="A141" s="1">
        <v>45432</v>
      </c>
      <c r="B141" s="2">
        <v>4</v>
      </c>
      <c r="C141" s="285"/>
      <c r="D141" s="283"/>
    </row>
    <row r="142" spans="1:4" x14ac:dyDescent="0.45">
      <c r="A142" s="1">
        <v>45433</v>
      </c>
      <c r="B142" s="2">
        <v>6</v>
      </c>
      <c r="C142" s="285"/>
      <c r="D142" s="283"/>
    </row>
    <row r="143" spans="1:4" x14ac:dyDescent="0.45">
      <c r="A143" s="1">
        <v>45434</v>
      </c>
      <c r="B143" s="2">
        <v>6</v>
      </c>
      <c r="C143" s="285"/>
      <c r="D143" s="283"/>
    </row>
    <row r="144" spans="1:4" x14ac:dyDescent="0.45">
      <c r="A144" s="1">
        <v>45435</v>
      </c>
      <c r="B144" s="2">
        <v>8</v>
      </c>
      <c r="C144" s="285"/>
      <c r="D144" s="283"/>
    </row>
    <row r="145" spans="1:4" x14ac:dyDescent="0.45">
      <c r="A145" s="1">
        <v>45436</v>
      </c>
      <c r="B145" s="2">
        <v>8</v>
      </c>
      <c r="C145" s="285"/>
      <c r="D145" s="283"/>
    </row>
    <row r="146" spans="1:4" x14ac:dyDescent="0.45">
      <c r="A146" s="1">
        <v>45437</v>
      </c>
      <c r="B146" s="2">
        <v>8</v>
      </c>
      <c r="C146" s="285"/>
      <c r="D146" s="283"/>
    </row>
    <row r="147" spans="1:4" x14ac:dyDescent="0.45">
      <c r="A147" s="1">
        <v>45438</v>
      </c>
      <c r="B147" s="2">
        <v>6</v>
      </c>
      <c r="C147" s="285"/>
      <c r="D147" s="283"/>
    </row>
    <row r="148" spans="1:4" x14ac:dyDescent="0.45">
      <c r="A148" s="1">
        <v>45439</v>
      </c>
      <c r="B148" s="2">
        <v>4</v>
      </c>
      <c r="C148" s="285"/>
      <c r="D148" s="283"/>
    </row>
    <row r="149" spans="1:4" x14ac:dyDescent="0.45">
      <c r="A149" s="1">
        <v>45440</v>
      </c>
      <c r="B149" s="2">
        <v>6</v>
      </c>
      <c r="C149" s="285"/>
      <c r="D149" s="283"/>
    </row>
    <row r="150" spans="1:4" x14ac:dyDescent="0.45">
      <c r="A150" s="1">
        <v>45441</v>
      </c>
      <c r="B150" s="2">
        <v>6</v>
      </c>
      <c r="C150" s="285"/>
      <c r="D150" s="283"/>
    </row>
    <row r="151" spans="1:4" x14ac:dyDescent="0.45">
      <c r="A151" s="1">
        <v>45442</v>
      </c>
      <c r="B151" s="2">
        <v>6</v>
      </c>
      <c r="C151" s="285"/>
      <c r="D151" s="283"/>
    </row>
    <row r="152" spans="1:4" x14ac:dyDescent="0.45">
      <c r="A152" s="1">
        <v>45443</v>
      </c>
      <c r="B152" s="2">
        <v>6</v>
      </c>
      <c r="C152" s="282"/>
      <c r="D152" s="283"/>
    </row>
    <row r="153" spans="1:4" x14ac:dyDescent="0.45">
      <c r="A153" s="1">
        <v>45444</v>
      </c>
      <c r="B153" s="2">
        <v>6</v>
      </c>
      <c r="C153" s="284">
        <f>AVERAGE(B153:B182)</f>
        <v>5.333333333333333</v>
      </c>
      <c r="D153" s="283"/>
    </row>
    <row r="154" spans="1:4" x14ac:dyDescent="0.45">
      <c r="A154" s="1">
        <v>45445</v>
      </c>
      <c r="B154" s="2">
        <v>6</v>
      </c>
      <c r="C154" s="285"/>
      <c r="D154" s="283"/>
    </row>
    <row r="155" spans="1:4" x14ac:dyDescent="0.45">
      <c r="A155" s="1">
        <v>45446</v>
      </c>
      <c r="B155" s="2">
        <v>4</v>
      </c>
      <c r="C155" s="285"/>
      <c r="D155" s="283"/>
    </row>
    <row r="156" spans="1:4" x14ac:dyDescent="0.45">
      <c r="A156" s="1">
        <v>45447</v>
      </c>
      <c r="B156" s="2">
        <v>8</v>
      </c>
      <c r="C156" s="285"/>
      <c r="D156" s="283"/>
    </row>
    <row r="157" spans="1:4" x14ac:dyDescent="0.45">
      <c r="A157" s="1">
        <v>45448</v>
      </c>
      <c r="B157" s="2">
        <v>10</v>
      </c>
      <c r="C157" s="285"/>
      <c r="D157" s="283"/>
    </row>
    <row r="158" spans="1:4" x14ac:dyDescent="0.45">
      <c r="A158" s="1">
        <v>45449</v>
      </c>
      <c r="B158" s="2">
        <v>6</v>
      </c>
      <c r="C158" s="285"/>
      <c r="D158" s="283"/>
    </row>
    <row r="159" spans="1:4" x14ac:dyDescent="0.45">
      <c r="A159" s="1">
        <v>45450</v>
      </c>
      <c r="B159" s="2">
        <v>4</v>
      </c>
      <c r="C159" s="285"/>
      <c r="D159" s="283"/>
    </row>
    <row r="160" spans="1:4" x14ac:dyDescent="0.45">
      <c r="A160" s="1">
        <v>45451</v>
      </c>
      <c r="B160" s="2">
        <v>6</v>
      </c>
      <c r="C160" s="285"/>
      <c r="D160" s="283"/>
    </row>
    <row r="161" spans="1:4" x14ac:dyDescent="0.45">
      <c r="A161" s="1">
        <v>45452</v>
      </c>
      <c r="B161" s="2">
        <v>6</v>
      </c>
      <c r="C161" s="285"/>
      <c r="D161" s="283"/>
    </row>
    <row r="162" spans="1:4" x14ac:dyDescent="0.45">
      <c r="A162" s="1">
        <v>45453</v>
      </c>
      <c r="B162" s="2">
        <v>6</v>
      </c>
      <c r="C162" s="285"/>
      <c r="D162" s="283"/>
    </row>
    <row r="163" spans="1:4" x14ac:dyDescent="0.45">
      <c r="A163" s="1">
        <v>45454</v>
      </c>
      <c r="B163" s="2">
        <v>0</v>
      </c>
      <c r="C163" s="285"/>
      <c r="D163" s="283"/>
    </row>
    <row r="164" spans="1:4" x14ac:dyDescent="0.45">
      <c r="A164" s="1">
        <v>45455</v>
      </c>
      <c r="B164" s="2">
        <v>4</v>
      </c>
      <c r="C164" s="285"/>
      <c r="D164" s="283"/>
    </row>
    <row r="165" spans="1:4" x14ac:dyDescent="0.45">
      <c r="A165" s="1">
        <v>45456</v>
      </c>
      <c r="B165" s="2">
        <v>4</v>
      </c>
      <c r="C165" s="285"/>
      <c r="D165" s="283"/>
    </row>
    <row r="166" spans="1:4" x14ac:dyDescent="0.45">
      <c r="A166" s="1">
        <v>45457</v>
      </c>
      <c r="B166" s="2">
        <v>4</v>
      </c>
      <c r="C166" s="285"/>
      <c r="D166" s="283"/>
    </row>
    <row r="167" spans="1:4" x14ac:dyDescent="0.45">
      <c r="A167" s="1">
        <v>45458</v>
      </c>
      <c r="B167" s="2">
        <v>6</v>
      </c>
      <c r="C167" s="285"/>
      <c r="D167" s="283"/>
    </row>
    <row r="168" spans="1:4" x14ac:dyDescent="0.45">
      <c r="A168" s="1">
        <v>45459</v>
      </c>
      <c r="B168" s="2">
        <v>6</v>
      </c>
      <c r="C168" s="285"/>
      <c r="D168" s="283"/>
    </row>
    <row r="169" spans="1:4" x14ac:dyDescent="0.45">
      <c r="A169" s="1">
        <v>45460</v>
      </c>
      <c r="B169" s="2">
        <v>4</v>
      </c>
      <c r="C169" s="285"/>
      <c r="D169" s="283"/>
    </row>
    <row r="170" spans="1:4" x14ac:dyDescent="0.45">
      <c r="A170" s="1">
        <v>45461</v>
      </c>
      <c r="B170" s="2">
        <v>4</v>
      </c>
      <c r="C170" s="285"/>
      <c r="D170" s="283"/>
    </row>
    <row r="171" spans="1:4" x14ac:dyDescent="0.45">
      <c r="A171" s="1">
        <v>45462</v>
      </c>
      <c r="B171" s="2">
        <v>10</v>
      </c>
      <c r="C171" s="285"/>
      <c r="D171" s="283"/>
    </row>
    <row r="172" spans="1:4" x14ac:dyDescent="0.45">
      <c r="A172" s="1">
        <v>45463</v>
      </c>
      <c r="B172" s="2">
        <v>2</v>
      </c>
      <c r="C172" s="285"/>
      <c r="D172" s="283"/>
    </row>
    <row r="173" spans="1:4" x14ac:dyDescent="0.45">
      <c r="A173" s="1">
        <v>45464</v>
      </c>
      <c r="B173" s="2">
        <v>2</v>
      </c>
      <c r="C173" s="285"/>
      <c r="D173" s="283"/>
    </row>
    <row r="174" spans="1:4" x14ac:dyDescent="0.45">
      <c r="A174" s="1">
        <v>45465</v>
      </c>
      <c r="B174" s="2">
        <v>4</v>
      </c>
      <c r="C174" s="285"/>
      <c r="D174" s="283"/>
    </row>
    <row r="175" spans="1:4" x14ac:dyDescent="0.45">
      <c r="A175" s="1">
        <v>45466</v>
      </c>
      <c r="B175" s="2">
        <v>4</v>
      </c>
      <c r="C175" s="285"/>
      <c r="D175" s="283"/>
    </row>
    <row r="176" spans="1:4" x14ac:dyDescent="0.45">
      <c r="A176" s="1">
        <v>45467</v>
      </c>
      <c r="B176" s="2">
        <v>6</v>
      </c>
      <c r="C176" s="285"/>
      <c r="D176" s="283"/>
    </row>
    <row r="177" spans="1:4" x14ac:dyDescent="0.45">
      <c r="A177" s="1">
        <v>45468</v>
      </c>
      <c r="B177" s="2">
        <v>4</v>
      </c>
      <c r="C177" s="285"/>
      <c r="D177" s="283"/>
    </row>
    <row r="178" spans="1:4" x14ac:dyDescent="0.45">
      <c r="A178" s="1">
        <v>45469</v>
      </c>
      <c r="B178" s="2">
        <v>4</v>
      </c>
      <c r="C178" s="285"/>
      <c r="D178" s="283"/>
    </row>
    <row r="179" spans="1:4" x14ac:dyDescent="0.45">
      <c r="A179" s="1">
        <v>45470</v>
      </c>
      <c r="B179" s="2">
        <v>6</v>
      </c>
      <c r="C179" s="285"/>
      <c r="D179" s="283"/>
    </row>
    <row r="180" spans="1:4" x14ac:dyDescent="0.45">
      <c r="A180" s="1">
        <v>45471</v>
      </c>
      <c r="B180" s="2">
        <v>10</v>
      </c>
      <c r="C180" s="285"/>
      <c r="D180" s="283"/>
    </row>
    <row r="181" spans="1:4" x14ac:dyDescent="0.45">
      <c r="A181" s="1">
        <v>45472</v>
      </c>
      <c r="B181" s="2">
        <v>8</v>
      </c>
      <c r="C181" s="285"/>
      <c r="D181" s="283"/>
    </row>
    <row r="182" spans="1:4" x14ac:dyDescent="0.45">
      <c r="A182" s="1">
        <v>45473</v>
      </c>
      <c r="B182" s="2">
        <v>6</v>
      </c>
      <c r="C182" s="282"/>
      <c r="D182" s="283"/>
    </row>
    <row r="183" spans="1:4" x14ac:dyDescent="0.45">
      <c r="A183" s="1">
        <v>45474</v>
      </c>
      <c r="B183" s="2">
        <v>6</v>
      </c>
      <c r="C183" s="284">
        <f>AVERAGE(B183:B213)</f>
        <v>5.032258064516129</v>
      </c>
      <c r="D183" s="283"/>
    </row>
    <row r="184" spans="1:4" x14ac:dyDescent="0.45">
      <c r="A184" s="1">
        <v>45475</v>
      </c>
      <c r="B184" s="2">
        <v>4</v>
      </c>
      <c r="C184" s="285"/>
      <c r="D184" s="283"/>
    </row>
    <row r="185" spans="1:4" x14ac:dyDescent="0.45">
      <c r="A185" s="1">
        <v>45476</v>
      </c>
      <c r="B185" s="2">
        <v>2</v>
      </c>
      <c r="C185" s="285"/>
      <c r="D185" s="283"/>
    </row>
    <row r="186" spans="1:4" x14ac:dyDescent="0.45">
      <c r="A186" s="1">
        <v>45477</v>
      </c>
      <c r="B186" s="2">
        <v>4</v>
      </c>
      <c r="C186" s="285"/>
      <c r="D186" s="283"/>
    </row>
    <row r="187" spans="1:4" x14ac:dyDescent="0.45">
      <c r="A187" s="1">
        <v>45478</v>
      </c>
      <c r="B187" s="2">
        <v>4</v>
      </c>
      <c r="C187" s="285"/>
      <c r="D187" s="283"/>
    </row>
    <row r="188" spans="1:4" x14ac:dyDescent="0.45">
      <c r="A188" s="1">
        <v>45479</v>
      </c>
      <c r="B188" s="2">
        <v>10</v>
      </c>
      <c r="C188" s="285"/>
      <c r="D188" s="283"/>
    </row>
    <row r="189" spans="1:4" x14ac:dyDescent="0.45">
      <c r="A189" s="1">
        <v>45480</v>
      </c>
      <c r="B189" s="2">
        <v>6</v>
      </c>
      <c r="C189" s="285"/>
      <c r="D189" s="283"/>
    </row>
    <row r="190" spans="1:4" x14ac:dyDescent="0.45">
      <c r="A190" s="1">
        <v>45481</v>
      </c>
      <c r="B190" s="2">
        <v>4</v>
      </c>
      <c r="C190" s="285"/>
      <c r="D190" s="283"/>
    </row>
    <row r="191" spans="1:4" x14ac:dyDescent="0.45">
      <c r="A191" s="1">
        <v>45482</v>
      </c>
      <c r="B191" s="2">
        <v>4</v>
      </c>
      <c r="C191" s="285"/>
      <c r="D191" s="283"/>
    </row>
    <row r="192" spans="1:4" x14ac:dyDescent="0.45">
      <c r="A192" s="1">
        <v>45483</v>
      </c>
      <c r="B192" s="2">
        <v>4</v>
      </c>
      <c r="C192" s="285"/>
      <c r="D192" s="283"/>
    </row>
    <row r="193" spans="1:4" x14ac:dyDescent="0.45">
      <c r="A193" s="1">
        <v>45484</v>
      </c>
      <c r="B193" s="2">
        <v>6</v>
      </c>
      <c r="C193" s="285"/>
      <c r="D193" s="283"/>
    </row>
    <row r="194" spans="1:4" x14ac:dyDescent="0.45">
      <c r="A194" s="1">
        <v>45485</v>
      </c>
      <c r="B194" s="2">
        <v>4</v>
      </c>
      <c r="C194" s="285"/>
      <c r="D194" s="283"/>
    </row>
    <row r="195" spans="1:4" x14ac:dyDescent="0.45">
      <c r="A195" s="1">
        <v>45486</v>
      </c>
      <c r="B195" s="2">
        <v>10</v>
      </c>
      <c r="C195" s="285"/>
      <c r="D195" s="283"/>
    </row>
    <row r="196" spans="1:4" x14ac:dyDescent="0.45">
      <c r="A196" s="1">
        <v>45487</v>
      </c>
      <c r="B196" s="2">
        <v>6</v>
      </c>
      <c r="C196" s="285"/>
      <c r="D196" s="283"/>
    </row>
    <row r="197" spans="1:4" x14ac:dyDescent="0.45">
      <c r="A197" s="1">
        <v>45488</v>
      </c>
      <c r="B197" s="2">
        <v>4</v>
      </c>
      <c r="C197" s="285"/>
      <c r="D197" s="283"/>
    </row>
    <row r="198" spans="1:4" x14ac:dyDescent="0.45">
      <c r="A198" s="1">
        <v>45489</v>
      </c>
      <c r="B198" s="2">
        <v>4</v>
      </c>
      <c r="C198" s="285"/>
      <c r="D198" s="283"/>
    </row>
    <row r="199" spans="1:4" x14ac:dyDescent="0.45">
      <c r="A199" s="1">
        <v>45490</v>
      </c>
      <c r="B199" s="2">
        <v>6</v>
      </c>
      <c r="C199" s="285"/>
      <c r="D199" s="283"/>
    </row>
    <row r="200" spans="1:4" x14ac:dyDescent="0.45">
      <c r="A200" s="1">
        <v>45491</v>
      </c>
      <c r="B200" s="2">
        <v>4</v>
      </c>
      <c r="C200" s="285"/>
      <c r="D200" s="283"/>
    </row>
    <row r="201" spans="1:4" x14ac:dyDescent="0.45">
      <c r="A201" s="1">
        <v>45492</v>
      </c>
      <c r="B201" s="2">
        <v>2</v>
      </c>
      <c r="C201" s="285"/>
      <c r="D201" s="283"/>
    </row>
    <row r="202" spans="1:4" x14ac:dyDescent="0.45">
      <c r="A202" s="1">
        <v>45493</v>
      </c>
      <c r="B202" s="2">
        <v>8</v>
      </c>
      <c r="C202" s="285"/>
      <c r="D202" s="283"/>
    </row>
    <row r="203" spans="1:4" x14ac:dyDescent="0.45">
      <c r="A203" s="1">
        <v>45494</v>
      </c>
      <c r="B203" s="2">
        <v>6</v>
      </c>
      <c r="C203" s="285"/>
      <c r="D203" s="283"/>
    </row>
    <row r="204" spans="1:4" x14ac:dyDescent="0.45">
      <c r="A204" s="1">
        <v>45495</v>
      </c>
      <c r="B204" s="2">
        <v>4</v>
      </c>
      <c r="C204" s="285"/>
      <c r="D204" s="283"/>
    </row>
    <row r="205" spans="1:4" x14ac:dyDescent="0.45">
      <c r="A205" s="1">
        <v>45496</v>
      </c>
      <c r="B205" s="2">
        <v>4</v>
      </c>
      <c r="C205" s="285"/>
      <c r="D205" s="283"/>
    </row>
    <row r="206" spans="1:4" x14ac:dyDescent="0.45">
      <c r="A206" s="1">
        <v>45497</v>
      </c>
      <c r="B206" s="2">
        <v>2</v>
      </c>
      <c r="C206" s="285"/>
      <c r="D206" s="283"/>
    </row>
    <row r="207" spans="1:4" x14ac:dyDescent="0.45">
      <c r="A207" s="1">
        <v>45498</v>
      </c>
      <c r="B207" s="2">
        <v>4</v>
      </c>
      <c r="C207" s="285"/>
      <c r="D207" s="283"/>
    </row>
    <row r="208" spans="1:4" x14ac:dyDescent="0.45">
      <c r="A208" s="1">
        <v>45499</v>
      </c>
      <c r="B208" s="2">
        <v>4</v>
      </c>
      <c r="C208" s="285"/>
      <c r="D208" s="283"/>
    </row>
    <row r="209" spans="1:4" x14ac:dyDescent="0.45">
      <c r="A209" s="1">
        <v>45500</v>
      </c>
      <c r="B209" s="2">
        <v>6</v>
      </c>
      <c r="C209" s="285"/>
      <c r="D209" s="283"/>
    </row>
    <row r="210" spans="1:4" x14ac:dyDescent="0.45">
      <c r="A210" s="1">
        <v>45501</v>
      </c>
      <c r="B210" s="2">
        <v>6</v>
      </c>
      <c r="C210" s="285"/>
      <c r="D210" s="283"/>
    </row>
    <row r="211" spans="1:4" x14ac:dyDescent="0.45">
      <c r="A211" s="1">
        <v>45502</v>
      </c>
      <c r="B211" s="2">
        <v>6</v>
      </c>
      <c r="C211" s="285"/>
      <c r="D211" s="283"/>
    </row>
    <row r="212" spans="1:4" x14ac:dyDescent="0.45">
      <c r="A212" s="1">
        <v>45503</v>
      </c>
      <c r="B212" s="2">
        <v>6</v>
      </c>
      <c r="C212" s="285"/>
      <c r="D212" s="283"/>
    </row>
    <row r="213" spans="1:4" x14ac:dyDescent="0.45">
      <c r="A213" s="1">
        <v>45504</v>
      </c>
      <c r="B213" s="2">
        <v>6</v>
      </c>
      <c r="C213" s="282"/>
      <c r="D213" s="283"/>
    </row>
    <row r="214" spans="1:4" x14ac:dyDescent="0.45">
      <c r="A214" s="1">
        <v>45505</v>
      </c>
      <c r="B214" s="2">
        <v>6</v>
      </c>
      <c r="C214" s="284">
        <f>AVERAGE(B214:B244)</f>
        <v>4.967741935483871</v>
      </c>
      <c r="D214" s="283"/>
    </row>
    <row r="215" spans="1:4" x14ac:dyDescent="0.45">
      <c r="A215" s="1">
        <v>45506</v>
      </c>
      <c r="B215" s="2">
        <v>6</v>
      </c>
      <c r="C215" s="285"/>
      <c r="D215" s="283"/>
    </row>
    <row r="216" spans="1:4" x14ac:dyDescent="0.45">
      <c r="A216" s="1">
        <v>45507</v>
      </c>
      <c r="B216" s="2">
        <v>6</v>
      </c>
      <c r="C216" s="285"/>
      <c r="D216" s="283"/>
    </row>
    <row r="217" spans="1:4" x14ac:dyDescent="0.45">
      <c r="A217" s="1">
        <v>45508</v>
      </c>
      <c r="B217" s="2">
        <v>8</v>
      </c>
      <c r="C217" s="285"/>
      <c r="D217" s="283"/>
    </row>
    <row r="218" spans="1:4" x14ac:dyDescent="0.45">
      <c r="A218" s="1">
        <v>45509</v>
      </c>
      <c r="B218" s="2">
        <v>4</v>
      </c>
      <c r="C218" s="285"/>
      <c r="D218" s="283"/>
    </row>
    <row r="219" spans="1:4" x14ac:dyDescent="0.45">
      <c r="A219" s="1">
        <v>45510</v>
      </c>
      <c r="B219" s="2">
        <v>4</v>
      </c>
      <c r="C219" s="285"/>
      <c r="D219" s="283"/>
    </row>
    <row r="220" spans="1:4" x14ac:dyDescent="0.45">
      <c r="A220" s="1">
        <v>45511</v>
      </c>
      <c r="B220" s="2">
        <v>6</v>
      </c>
      <c r="C220" s="285"/>
      <c r="D220" s="283"/>
    </row>
    <row r="221" spans="1:4" x14ac:dyDescent="0.45">
      <c r="A221" s="1">
        <v>45512</v>
      </c>
      <c r="B221" s="2">
        <v>4</v>
      </c>
      <c r="C221" s="285"/>
      <c r="D221" s="283"/>
    </row>
    <row r="222" spans="1:4" x14ac:dyDescent="0.45">
      <c r="A222" s="1">
        <v>45513</v>
      </c>
      <c r="B222" s="2">
        <v>6</v>
      </c>
      <c r="C222" s="285"/>
      <c r="D222" s="283"/>
    </row>
    <row r="223" spans="1:4" x14ac:dyDescent="0.45">
      <c r="A223" s="1">
        <v>45514</v>
      </c>
      <c r="B223" s="2">
        <v>6</v>
      </c>
      <c r="C223" s="285"/>
      <c r="D223" s="283"/>
    </row>
    <row r="224" spans="1:4" x14ac:dyDescent="0.45">
      <c r="A224" s="1">
        <v>45515</v>
      </c>
      <c r="B224" s="2">
        <v>6</v>
      </c>
      <c r="C224" s="285"/>
      <c r="D224" s="283"/>
    </row>
    <row r="225" spans="1:4" x14ac:dyDescent="0.45">
      <c r="A225" s="1">
        <v>45516</v>
      </c>
      <c r="B225" s="2">
        <v>6</v>
      </c>
      <c r="C225" s="285"/>
      <c r="D225" s="283"/>
    </row>
    <row r="226" spans="1:4" x14ac:dyDescent="0.45">
      <c r="A226" s="1">
        <v>45517</v>
      </c>
      <c r="B226" s="2">
        <v>4</v>
      </c>
      <c r="C226" s="285"/>
      <c r="D226" s="283"/>
    </row>
    <row r="227" spans="1:4" x14ac:dyDescent="0.45">
      <c r="A227" s="1">
        <v>45518</v>
      </c>
      <c r="B227" s="2">
        <v>2</v>
      </c>
      <c r="C227" s="285"/>
      <c r="D227" s="283"/>
    </row>
    <row r="228" spans="1:4" x14ac:dyDescent="0.45">
      <c r="A228" s="1">
        <v>45519</v>
      </c>
      <c r="B228" s="2">
        <v>2</v>
      </c>
      <c r="C228" s="285"/>
      <c r="D228" s="283"/>
    </row>
    <row r="229" spans="1:4" x14ac:dyDescent="0.45">
      <c r="A229" s="1">
        <v>45520</v>
      </c>
      <c r="B229" s="2">
        <v>4</v>
      </c>
      <c r="C229" s="285"/>
      <c r="D229" s="283"/>
    </row>
    <row r="230" spans="1:4" x14ac:dyDescent="0.45">
      <c r="A230" s="1">
        <v>45521</v>
      </c>
      <c r="B230" s="2">
        <v>6</v>
      </c>
      <c r="C230" s="285"/>
      <c r="D230" s="283"/>
    </row>
    <row r="231" spans="1:4" x14ac:dyDescent="0.45">
      <c r="A231" s="1">
        <v>45522</v>
      </c>
      <c r="B231" s="2">
        <v>8</v>
      </c>
      <c r="C231" s="285"/>
      <c r="D231" s="283"/>
    </row>
    <row r="232" spans="1:4" x14ac:dyDescent="0.45">
      <c r="A232" s="1">
        <v>45523</v>
      </c>
      <c r="B232" s="2">
        <v>4</v>
      </c>
      <c r="C232" s="285"/>
      <c r="D232" s="283"/>
    </row>
    <row r="233" spans="1:4" x14ac:dyDescent="0.45">
      <c r="A233" s="1">
        <v>45524</v>
      </c>
      <c r="B233" s="2">
        <v>4</v>
      </c>
      <c r="C233" s="285"/>
      <c r="D233" s="283"/>
    </row>
    <row r="234" spans="1:4" x14ac:dyDescent="0.45">
      <c r="A234" s="1">
        <v>45525</v>
      </c>
      <c r="B234" s="2">
        <v>4</v>
      </c>
      <c r="C234" s="285"/>
      <c r="D234" s="283"/>
    </row>
    <row r="235" spans="1:4" x14ac:dyDescent="0.45">
      <c r="A235" s="1">
        <v>45526</v>
      </c>
      <c r="B235" s="2">
        <v>4</v>
      </c>
      <c r="C235" s="285"/>
      <c r="D235" s="283"/>
    </row>
    <row r="236" spans="1:4" x14ac:dyDescent="0.45">
      <c r="A236" s="1">
        <v>45527</v>
      </c>
      <c r="B236" s="2">
        <v>6</v>
      </c>
      <c r="C236" s="285"/>
      <c r="D236" s="283"/>
    </row>
    <row r="237" spans="1:4" x14ac:dyDescent="0.45">
      <c r="A237" s="1">
        <v>45528</v>
      </c>
      <c r="B237" s="2">
        <v>4</v>
      </c>
      <c r="C237" s="285"/>
      <c r="D237" s="283"/>
    </row>
    <row r="238" spans="1:4" x14ac:dyDescent="0.45">
      <c r="A238" s="1">
        <v>45529</v>
      </c>
      <c r="B238" s="2">
        <v>4</v>
      </c>
      <c r="C238" s="285"/>
      <c r="D238" s="283"/>
    </row>
    <row r="239" spans="1:4" x14ac:dyDescent="0.45">
      <c r="A239" s="1">
        <v>45530</v>
      </c>
      <c r="B239" s="2">
        <v>6</v>
      </c>
      <c r="C239" s="285"/>
      <c r="D239" s="283"/>
    </row>
    <row r="240" spans="1:4" x14ac:dyDescent="0.45">
      <c r="A240" s="1">
        <v>45531</v>
      </c>
      <c r="B240" s="2">
        <v>2</v>
      </c>
      <c r="C240" s="285"/>
      <c r="D240" s="283"/>
    </row>
    <row r="241" spans="1:4" x14ac:dyDescent="0.45">
      <c r="A241" s="1">
        <v>45532</v>
      </c>
      <c r="B241" s="2">
        <v>6</v>
      </c>
      <c r="C241" s="285"/>
      <c r="D241" s="283"/>
    </row>
    <row r="242" spans="1:4" x14ac:dyDescent="0.45">
      <c r="A242" s="1">
        <v>45533</v>
      </c>
      <c r="B242" s="2">
        <v>6</v>
      </c>
      <c r="C242" s="285"/>
      <c r="D242" s="283"/>
    </row>
    <row r="243" spans="1:4" x14ac:dyDescent="0.45">
      <c r="A243" s="1">
        <v>45534</v>
      </c>
      <c r="B243" s="2">
        <v>4</v>
      </c>
      <c r="C243" s="285"/>
      <c r="D243" s="283"/>
    </row>
    <row r="244" spans="1:4" x14ac:dyDescent="0.45">
      <c r="A244" s="1">
        <v>45535</v>
      </c>
      <c r="B244" s="2">
        <v>6</v>
      </c>
      <c r="C244" s="282"/>
      <c r="D244" s="283"/>
    </row>
    <row r="245" spans="1:4" x14ac:dyDescent="0.45">
      <c r="A245" s="1">
        <v>45536</v>
      </c>
      <c r="B245" s="2">
        <v>4</v>
      </c>
      <c r="C245" s="284">
        <f>AVERAGE(B245:B274)</f>
        <v>5.2666666666666666</v>
      </c>
      <c r="D245" s="283"/>
    </row>
    <row r="246" spans="1:4" x14ac:dyDescent="0.45">
      <c r="A246" s="1">
        <v>45537</v>
      </c>
      <c r="B246" s="2">
        <v>4</v>
      </c>
      <c r="C246" s="285"/>
      <c r="D246" s="283"/>
    </row>
    <row r="247" spans="1:4" x14ac:dyDescent="0.45">
      <c r="A247" s="1">
        <v>45538</v>
      </c>
      <c r="B247" s="2">
        <v>6</v>
      </c>
      <c r="C247" s="285"/>
      <c r="D247" s="283"/>
    </row>
    <row r="248" spans="1:4" x14ac:dyDescent="0.45">
      <c r="A248" s="1">
        <v>45539</v>
      </c>
      <c r="B248" s="2">
        <v>4</v>
      </c>
      <c r="C248" s="285"/>
      <c r="D248" s="283"/>
    </row>
    <row r="249" spans="1:4" x14ac:dyDescent="0.45">
      <c r="A249" s="1">
        <v>45540</v>
      </c>
      <c r="B249" s="2">
        <v>6</v>
      </c>
      <c r="C249" s="285"/>
      <c r="D249" s="283"/>
    </row>
    <row r="250" spans="1:4" x14ac:dyDescent="0.45">
      <c r="A250" s="1">
        <v>45541</v>
      </c>
      <c r="B250" s="2">
        <v>4</v>
      </c>
      <c r="C250" s="285"/>
      <c r="D250" s="283"/>
    </row>
    <row r="251" spans="1:4" x14ac:dyDescent="0.45">
      <c r="A251" s="1">
        <v>45542</v>
      </c>
      <c r="B251" s="2">
        <v>4</v>
      </c>
      <c r="C251" s="285"/>
      <c r="D251" s="283"/>
    </row>
    <row r="252" spans="1:4" x14ac:dyDescent="0.45">
      <c r="A252" s="1">
        <v>45543</v>
      </c>
      <c r="B252" s="2">
        <v>6</v>
      </c>
      <c r="C252" s="285"/>
      <c r="D252" s="283"/>
    </row>
    <row r="253" spans="1:4" x14ac:dyDescent="0.45">
      <c r="A253" s="1">
        <v>45544</v>
      </c>
      <c r="B253" s="2">
        <v>4</v>
      </c>
      <c r="C253" s="285"/>
      <c r="D253" s="283"/>
    </row>
    <row r="254" spans="1:4" x14ac:dyDescent="0.45">
      <c r="A254" s="1">
        <v>45545</v>
      </c>
      <c r="B254" s="2">
        <v>4</v>
      </c>
      <c r="C254" s="285"/>
      <c r="D254" s="283"/>
    </row>
    <row r="255" spans="1:4" x14ac:dyDescent="0.45">
      <c r="A255" s="1">
        <v>45546</v>
      </c>
      <c r="B255" s="2">
        <v>6</v>
      </c>
      <c r="C255" s="285"/>
      <c r="D255" s="283"/>
    </row>
    <row r="256" spans="1:4" x14ac:dyDescent="0.45">
      <c r="A256" s="1">
        <v>45547</v>
      </c>
      <c r="B256" s="2">
        <v>6</v>
      </c>
      <c r="C256" s="285"/>
      <c r="D256" s="283"/>
    </row>
    <row r="257" spans="1:4" x14ac:dyDescent="0.45">
      <c r="A257" s="1">
        <v>45548</v>
      </c>
      <c r="B257" s="2">
        <v>10</v>
      </c>
      <c r="C257" s="285"/>
      <c r="D257" s="283"/>
    </row>
    <row r="258" spans="1:4" x14ac:dyDescent="0.45">
      <c r="A258" s="1">
        <v>45549</v>
      </c>
      <c r="B258" s="2">
        <v>8</v>
      </c>
      <c r="C258" s="285"/>
      <c r="D258" s="283"/>
    </row>
    <row r="259" spans="1:4" x14ac:dyDescent="0.45">
      <c r="A259" s="1">
        <v>45550</v>
      </c>
      <c r="B259" s="2">
        <v>6</v>
      </c>
      <c r="C259" s="285"/>
      <c r="D259" s="283"/>
    </row>
    <row r="260" spans="1:4" x14ac:dyDescent="0.45">
      <c r="A260" s="1">
        <v>45551</v>
      </c>
      <c r="B260" s="2">
        <v>6</v>
      </c>
      <c r="C260" s="285"/>
      <c r="D260" s="283"/>
    </row>
    <row r="261" spans="1:4" x14ac:dyDescent="0.45">
      <c r="A261" s="1">
        <v>45552</v>
      </c>
      <c r="B261" s="2">
        <v>4</v>
      </c>
      <c r="C261" s="285"/>
      <c r="D261" s="283"/>
    </row>
    <row r="262" spans="1:4" x14ac:dyDescent="0.45">
      <c r="A262" s="1">
        <v>45553</v>
      </c>
      <c r="B262" s="2">
        <v>2</v>
      </c>
      <c r="C262" s="285"/>
      <c r="D262" s="283"/>
    </row>
    <row r="263" spans="1:4" x14ac:dyDescent="0.45">
      <c r="A263" s="1">
        <v>45554</v>
      </c>
      <c r="B263" s="2">
        <v>4</v>
      </c>
      <c r="C263" s="285"/>
      <c r="D263" s="283"/>
    </row>
    <row r="264" spans="1:4" x14ac:dyDescent="0.45">
      <c r="A264" s="1">
        <v>45555</v>
      </c>
      <c r="B264" s="2">
        <v>4</v>
      </c>
      <c r="C264" s="285"/>
      <c r="D264" s="283"/>
    </row>
    <row r="265" spans="1:4" x14ac:dyDescent="0.45">
      <c r="A265" s="1">
        <v>45556</v>
      </c>
      <c r="B265" s="2">
        <v>6</v>
      </c>
      <c r="C265" s="285"/>
      <c r="D265" s="283"/>
    </row>
    <row r="266" spans="1:4" x14ac:dyDescent="0.45">
      <c r="A266" s="1">
        <v>45557</v>
      </c>
      <c r="B266" s="2">
        <v>6</v>
      </c>
      <c r="C266" s="285"/>
      <c r="D266" s="283"/>
    </row>
    <row r="267" spans="1:4" x14ac:dyDescent="0.45">
      <c r="A267" s="1">
        <v>45558</v>
      </c>
      <c r="B267" s="2">
        <v>4</v>
      </c>
      <c r="C267" s="285"/>
      <c r="D267" s="283"/>
    </row>
    <row r="268" spans="1:4" x14ac:dyDescent="0.45">
      <c r="A268" s="1">
        <v>45559</v>
      </c>
      <c r="B268" s="2">
        <v>2</v>
      </c>
      <c r="C268" s="285"/>
      <c r="D268" s="283"/>
    </row>
    <row r="269" spans="1:4" x14ac:dyDescent="0.45">
      <c r="A269" s="1">
        <v>45560</v>
      </c>
      <c r="B269" s="2">
        <v>6</v>
      </c>
      <c r="C269" s="285"/>
      <c r="D269" s="283"/>
    </row>
    <row r="270" spans="1:4" x14ac:dyDescent="0.45">
      <c r="A270" s="1">
        <v>45561</v>
      </c>
      <c r="B270" s="2">
        <v>8</v>
      </c>
      <c r="C270" s="285"/>
      <c r="D270" s="283"/>
    </row>
    <row r="271" spans="1:4" x14ac:dyDescent="0.45">
      <c r="A271" s="1">
        <v>45562</v>
      </c>
      <c r="B271" s="2">
        <v>4</v>
      </c>
      <c r="C271" s="285"/>
      <c r="D271" s="283"/>
    </row>
    <row r="272" spans="1:4" x14ac:dyDescent="0.45">
      <c r="A272" s="1">
        <v>45563</v>
      </c>
      <c r="B272" s="2">
        <v>6</v>
      </c>
      <c r="C272" s="285"/>
      <c r="D272" s="283"/>
    </row>
    <row r="273" spans="1:4" x14ac:dyDescent="0.45">
      <c r="A273" s="1">
        <v>45564</v>
      </c>
      <c r="B273" s="2">
        <v>8</v>
      </c>
      <c r="C273" s="285"/>
      <c r="D273" s="283"/>
    </row>
    <row r="274" spans="1:4" x14ac:dyDescent="0.45">
      <c r="A274" s="1">
        <v>45565</v>
      </c>
      <c r="B274" s="2">
        <v>6</v>
      </c>
      <c r="C274" s="282"/>
      <c r="D274" s="283"/>
    </row>
    <row r="275" spans="1:4" x14ac:dyDescent="0.45">
      <c r="A275" s="1">
        <v>45566</v>
      </c>
      <c r="B275" s="2">
        <v>4</v>
      </c>
      <c r="C275" s="284">
        <f>AVERAGE(B275:B305)</f>
        <v>5.612903225806452</v>
      </c>
      <c r="D275" s="283"/>
    </row>
    <row r="276" spans="1:4" x14ac:dyDescent="0.45">
      <c r="A276" s="1">
        <v>45567</v>
      </c>
      <c r="B276" s="2">
        <v>6</v>
      </c>
      <c r="C276" s="285"/>
      <c r="D276" s="283"/>
    </row>
    <row r="277" spans="1:4" x14ac:dyDescent="0.45">
      <c r="A277" s="1">
        <v>45568</v>
      </c>
      <c r="B277" s="2">
        <v>6</v>
      </c>
      <c r="C277" s="285"/>
      <c r="D277" s="283"/>
    </row>
    <row r="278" spans="1:4" x14ac:dyDescent="0.45">
      <c r="A278" s="1">
        <v>45569</v>
      </c>
      <c r="B278" s="2">
        <v>6</v>
      </c>
      <c r="C278" s="285"/>
      <c r="D278" s="283"/>
    </row>
    <row r="279" spans="1:4" x14ac:dyDescent="0.45">
      <c r="A279" s="1">
        <v>45570</v>
      </c>
      <c r="B279" s="2">
        <v>2</v>
      </c>
      <c r="C279" s="285"/>
      <c r="D279" s="283"/>
    </row>
    <row r="280" spans="1:4" x14ac:dyDescent="0.45">
      <c r="A280" s="1">
        <v>45571</v>
      </c>
      <c r="B280" s="2">
        <v>4</v>
      </c>
      <c r="C280" s="285"/>
      <c r="D280" s="283"/>
    </row>
    <row r="281" spans="1:4" x14ac:dyDescent="0.45">
      <c r="A281" s="1">
        <v>45572</v>
      </c>
      <c r="B281" s="2">
        <v>0</v>
      </c>
      <c r="C281" s="285"/>
      <c r="D281" s="283"/>
    </row>
    <row r="282" spans="1:4" x14ac:dyDescent="0.45">
      <c r="A282" s="1">
        <v>45573</v>
      </c>
      <c r="B282" s="2">
        <v>2</v>
      </c>
      <c r="C282" s="285"/>
      <c r="D282" s="283"/>
    </row>
    <row r="283" spans="1:4" x14ac:dyDescent="0.45">
      <c r="A283" s="1">
        <v>45574</v>
      </c>
      <c r="B283" s="2">
        <v>6</v>
      </c>
      <c r="C283" s="285"/>
      <c r="D283" s="283"/>
    </row>
    <row r="284" spans="1:4" x14ac:dyDescent="0.45">
      <c r="A284" s="1">
        <v>45575</v>
      </c>
      <c r="B284" s="2">
        <v>6</v>
      </c>
      <c r="C284" s="285"/>
      <c r="D284" s="283"/>
    </row>
    <row r="285" spans="1:4" x14ac:dyDescent="0.45">
      <c r="A285" s="1">
        <v>45576</v>
      </c>
      <c r="B285" s="2">
        <v>8</v>
      </c>
      <c r="C285" s="285"/>
      <c r="D285" s="283"/>
    </row>
    <row r="286" spans="1:4" x14ac:dyDescent="0.45">
      <c r="A286" s="1">
        <v>45577</v>
      </c>
      <c r="B286" s="2">
        <v>8</v>
      </c>
      <c r="C286" s="285"/>
      <c r="D286" s="283"/>
    </row>
    <row r="287" spans="1:4" x14ac:dyDescent="0.45">
      <c r="A287" s="1">
        <v>45578</v>
      </c>
      <c r="B287" s="2">
        <v>6</v>
      </c>
      <c r="C287" s="285"/>
      <c r="D287" s="283"/>
    </row>
    <row r="288" spans="1:4" x14ac:dyDescent="0.45">
      <c r="A288" s="1">
        <v>45579</v>
      </c>
      <c r="B288" s="2">
        <v>6</v>
      </c>
      <c r="C288" s="285"/>
      <c r="D288" s="283"/>
    </row>
    <row r="289" spans="1:4" x14ac:dyDescent="0.45">
      <c r="A289" s="1">
        <v>45580</v>
      </c>
      <c r="B289" s="2">
        <v>6</v>
      </c>
      <c r="C289" s="285"/>
      <c r="D289" s="283"/>
    </row>
    <row r="290" spans="1:4" x14ac:dyDescent="0.45">
      <c r="A290" s="1">
        <v>45581</v>
      </c>
      <c r="B290" s="2">
        <v>4</v>
      </c>
      <c r="C290" s="285"/>
      <c r="D290" s="283"/>
    </row>
    <row r="291" spans="1:4" x14ac:dyDescent="0.45">
      <c r="A291" s="1">
        <v>45582</v>
      </c>
      <c r="B291" s="2">
        <v>6</v>
      </c>
      <c r="C291" s="285"/>
      <c r="D291" s="283"/>
    </row>
    <row r="292" spans="1:4" x14ac:dyDescent="0.45">
      <c r="A292" s="1">
        <v>45583</v>
      </c>
      <c r="B292" s="2">
        <v>8</v>
      </c>
      <c r="C292" s="285"/>
      <c r="D292" s="283"/>
    </row>
    <row r="293" spans="1:4" x14ac:dyDescent="0.45">
      <c r="A293" s="1">
        <v>45584</v>
      </c>
      <c r="B293" s="2">
        <v>6</v>
      </c>
      <c r="C293" s="285"/>
      <c r="D293" s="283"/>
    </row>
    <row r="294" spans="1:4" x14ac:dyDescent="0.45">
      <c r="A294" s="1">
        <v>45585</v>
      </c>
      <c r="B294" s="2">
        <v>6</v>
      </c>
      <c r="C294" s="285"/>
      <c r="D294" s="283"/>
    </row>
    <row r="295" spans="1:4" x14ac:dyDescent="0.45">
      <c r="A295" s="1">
        <v>45586</v>
      </c>
      <c r="B295" s="2">
        <v>6</v>
      </c>
      <c r="C295" s="285"/>
      <c r="D295" s="283"/>
    </row>
    <row r="296" spans="1:4" x14ac:dyDescent="0.45">
      <c r="A296" s="1">
        <v>45587</v>
      </c>
      <c r="B296" s="2">
        <v>6</v>
      </c>
      <c r="C296" s="285"/>
      <c r="D296" s="283"/>
    </row>
    <row r="297" spans="1:4" x14ac:dyDescent="0.45">
      <c r="A297" s="1">
        <v>45588</v>
      </c>
      <c r="B297" s="2">
        <v>4</v>
      </c>
      <c r="C297" s="285"/>
      <c r="D297" s="283"/>
    </row>
    <row r="298" spans="1:4" x14ac:dyDescent="0.45">
      <c r="A298" s="1">
        <v>45589</v>
      </c>
      <c r="B298" s="2">
        <v>4</v>
      </c>
      <c r="C298" s="285"/>
      <c r="D298" s="283"/>
    </row>
    <row r="299" spans="1:4" x14ac:dyDescent="0.45">
      <c r="A299" s="1">
        <v>45590</v>
      </c>
      <c r="B299" s="2">
        <v>6</v>
      </c>
      <c r="C299" s="285"/>
      <c r="D299" s="283"/>
    </row>
    <row r="300" spans="1:4" x14ac:dyDescent="0.45">
      <c r="A300" s="1">
        <v>45591</v>
      </c>
      <c r="B300" s="2">
        <v>6</v>
      </c>
      <c r="C300" s="285"/>
      <c r="D300" s="283"/>
    </row>
    <row r="301" spans="1:4" x14ac:dyDescent="0.45">
      <c r="A301" s="1">
        <v>45592</v>
      </c>
      <c r="B301" s="2">
        <v>4</v>
      </c>
      <c r="C301" s="285"/>
      <c r="D301" s="283"/>
    </row>
    <row r="302" spans="1:4" x14ac:dyDescent="0.45">
      <c r="A302" s="1">
        <v>45593</v>
      </c>
      <c r="B302" s="2">
        <v>6</v>
      </c>
      <c r="C302" s="285"/>
      <c r="D302" s="283"/>
    </row>
    <row r="303" spans="1:4" x14ac:dyDescent="0.45">
      <c r="A303" s="1">
        <v>45594</v>
      </c>
      <c r="B303" s="2">
        <v>8</v>
      </c>
      <c r="C303" s="285"/>
      <c r="D303" s="283"/>
    </row>
    <row r="304" spans="1:4" x14ac:dyDescent="0.45">
      <c r="A304" s="1">
        <v>45595</v>
      </c>
      <c r="B304" s="2">
        <v>8</v>
      </c>
      <c r="C304" s="285"/>
      <c r="D304" s="283"/>
    </row>
    <row r="305" spans="1:15" x14ac:dyDescent="0.45">
      <c r="A305" s="1">
        <v>45596</v>
      </c>
      <c r="B305" s="2">
        <v>10</v>
      </c>
      <c r="C305" s="282"/>
      <c r="D305" s="283"/>
    </row>
    <row r="306" spans="1:15" x14ac:dyDescent="0.45">
      <c r="A306" s="1">
        <v>45597</v>
      </c>
      <c r="B306" s="2">
        <v>6</v>
      </c>
      <c r="C306" s="284">
        <f>AVERAGE(B306:B335)</f>
        <v>5.5333333333333332</v>
      </c>
      <c r="D306" s="283"/>
    </row>
    <row r="307" spans="1:15" x14ac:dyDescent="0.45">
      <c r="A307" s="1">
        <v>45598</v>
      </c>
      <c r="B307" s="2">
        <v>2</v>
      </c>
      <c r="C307" s="285"/>
      <c r="D307" s="283"/>
    </row>
    <row r="308" spans="1:15" x14ac:dyDescent="0.45">
      <c r="A308" s="1">
        <v>45599</v>
      </c>
      <c r="B308" s="2">
        <v>0</v>
      </c>
      <c r="C308" s="285"/>
      <c r="D308" s="283"/>
    </row>
    <row r="309" spans="1:15" x14ac:dyDescent="0.45">
      <c r="A309" s="1">
        <v>45600</v>
      </c>
      <c r="B309" s="2">
        <v>4</v>
      </c>
      <c r="C309" s="285"/>
      <c r="D309" s="283"/>
    </row>
    <row r="310" spans="1:15" x14ac:dyDescent="0.45">
      <c r="A310" s="1">
        <v>45601</v>
      </c>
      <c r="B310" s="2">
        <v>6</v>
      </c>
      <c r="C310" s="285"/>
      <c r="D310" s="283"/>
    </row>
    <row r="311" spans="1:15" x14ac:dyDescent="0.45">
      <c r="A311" s="1">
        <v>45602</v>
      </c>
      <c r="B311" s="2">
        <v>6</v>
      </c>
      <c r="C311" s="285"/>
      <c r="D311" s="283"/>
    </row>
    <row r="312" spans="1:15" x14ac:dyDescent="0.45">
      <c r="A312" s="1">
        <v>45603</v>
      </c>
      <c r="B312" s="2">
        <v>6</v>
      </c>
      <c r="C312" s="285"/>
      <c r="D312" s="283"/>
    </row>
    <row r="313" spans="1:15" x14ac:dyDescent="0.45">
      <c r="A313" s="1">
        <v>45604</v>
      </c>
      <c r="B313" s="2">
        <v>8</v>
      </c>
      <c r="C313" s="285"/>
      <c r="D313" s="283"/>
    </row>
    <row r="314" spans="1:15" x14ac:dyDescent="0.45">
      <c r="A314" s="1">
        <v>45605</v>
      </c>
      <c r="B314" s="2">
        <v>6</v>
      </c>
      <c r="C314" s="285"/>
      <c r="D314" s="283"/>
    </row>
    <row r="315" spans="1:15" x14ac:dyDescent="0.45">
      <c r="A315" s="1">
        <v>45606</v>
      </c>
      <c r="B315" s="2">
        <v>8</v>
      </c>
      <c r="C315" s="285"/>
      <c r="D315" s="283"/>
    </row>
    <row r="316" spans="1:15" x14ac:dyDescent="0.45">
      <c r="A316" s="1">
        <v>45607</v>
      </c>
      <c r="B316" s="2">
        <v>8</v>
      </c>
      <c r="C316" s="285"/>
      <c r="D316" s="283"/>
      <c r="M316" s="3"/>
      <c r="O316" s="3"/>
    </row>
    <row r="317" spans="1:15" x14ac:dyDescent="0.45">
      <c r="A317" s="1">
        <v>45608</v>
      </c>
      <c r="B317" s="2">
        <v>2</v>
      </c>
      <c r="C317" s="285"/>
      <c r="D317" s="283"/>
      <c r="M317" s="3"/>
      <c r="O317" s="3"/>
    </row>
    <row r="318" spans="1:15" x14ac:dyDescent="0.45">
      <c r="A318" s="1">
        <v>45609</v>
      </c>
      <c r="B318" s="2">
        <v>6</v>
      </c>
      <c r="C318" s="285"/>
      <c r="D318" s="283"/>
      <c r="M318" s="3"/>
      <c r="O318" s="3"/>
    </row>
    <row r="319" spans="1:15" x14ac:dyDescent="0.45">
      <c r="A319" s="1">
        <v>45610</v>
      </c>
      <c r="B319" s="2">
        <v>8</v>
      </c>
      <c r="C319" s="285"/>
      <c r="D319" s="283"/>
    </row>
    <row r="320" spans="1:15" x14ac:dyDescent="0.45">
      <c r="A320" s="1">
        <v>45611</v>
      </c>
      <c r="B320" s="2">
        <v>8</v>
      </c>
      <c r="C320" s="285"/>
      <c r="D320" s="283"/>
    </row>
    <row r="321" spans="1:4" x14ac:dyDescent="0.45">
      <c r="A321" s="1">
        <v>45612</v>
      </c>
      <c r="B321" s="2">
        <v>6</v>
      </c>
      <c r="C321" s="285"/>
      <c r="D321" s="283"/>
    </row>
    <row r="322" spans="1:4" x14ac:dyDescent="0.45">
      <c r="A322" s="1">
        <v>45613</v>
      </c>
      <c r="B322" s="2">
        <v>6</v>
      </c>
      <c r="C322" s="285"/>
      <c r="D322" s="283"/>
    </row>
    <row r="323" spans="1:4" x14ac:dyDescent="0.45">
      <c r="A323" s="1">
        <v>45614</v>
      </c>
      <c r="B323" s="2">
        <v>4</v>
      </c>
      <c r="C323" s="285"/>
      <c r="D323" s="283"/>
    </row>
    <row r="324" spans="1:4" x14ac:dyDescent="0.45">
      <c r="A324" s="1">
        <v>45615</v>
      </c>
      <c r="B324" s="2">
        <v>8</v>
      </c>
      <c r="C324" s="285"/>
      <c r="D324" s="283"/>
    </row>
    <row r="325" spans="1:4" x14ac:dyDescent="0.45">
      <c r="A325" s="1">
        <v>45616</v>
      </c>
      <c r="B325" s="2">
        <v>6</v>
      </c>
      <c r="C325" s="285"/>
      <c r="D325" s="283"/>
    </row>
    <row r="326" spans="1:4" x14ac:dyDescent="0.45">
      <c r="A326" s="1">
        <v>45617</v>
      </c>
      <c r="B326" s="2">
        <v>4</v>
      </c>
      <c r="C326" s="285"/>
      <c r="D326" s="283"/>
    </row>
    <row r="327" spans="1:4" x14ac:dyDescent="0.45">
      <c r="A327" s="1">
        <v>45618</v>
      </c>
      <c r="B327" s="2">
        <v>4</v>
      </c>
      <c r="C327" s="285"/>
      <c r="D327" s="283"/>
    </row>
    <row r="328" spans="1:4" x14ac:dyDescent="0.45">
      <c r="A328" s="1">
        <v>45619</v>
      </c>
      <c r="B328" s="2">
        <v>6</v>
      </c>
      <c r="C328" s="285"/>
      <c r="D328" s="283"/>
    </row>
    <row r="329" spans="1:4" x14ac:dyDescent="0.45">
      <c r="A329" s="1">
        <v>45620</v>
      </c>
      <c r="B329" s="2">
        <v>8</v>
      </c>
      <c r="C329" s="285"/>
      <c r="D329" s="283"/>
    </row>
    <row r="330" spans="1:4" x14ac:dyDescent="0.45">
      <c r="A330" s="1">
        <v>45621</v>
      </c>
      <c r="B330" s="2">
        <v>4</v>
      </c>
      <c r="C330" s="285"/>
      <c r="D330" s="283"/>
    </row>
    <row r="331" spans="1:4" x14ac:dyDescent="0.45">
      <c r="A331" s="1">
        <v>45622</v>
      </c>
      <c r="B331" s="2">
        <v>6</v>
      </c>
      <c r="C331" s="285"/>
      <c r="D331" s="283"/>
    </row>
    <row r="332" spans="1:4" x14ac:dyDescent="0.45">
      <c r="A332" s="1">
        <v>45623</v>
      </c>
      <c r="B332" s="2">
        <v>6</v>
      </c>
      <c r="C332" s="285"/>
      <c r="D332" s="283"/>
    </row>
    <row r="333" spans="1:4" x14ac:dyDescent="0.45">
      <c r="A333" s="1">
        <v>45624</v>
      </c>
      <c r="B333" s="2">
        <v>2</v>
      </c>
      <c r="C333" s="285"/>
      <c r="D333" s="283"/>
    </row>
    <row r="334" spans="1:4" x14ac:dyDescent="0.45">
      <c r="A334" s="1">
        <v>45625</v>
      </c>
      <c r="B334" s="2">
        <v>6</v>
      </c>
      <c r="C334" s="285"/>
      <c r="D334" s="283"/>
    </row>
    <row r="335" spans="1:4" x14ac:dyDescent="0.45">
      <c r="A335" s="1">
        <v>45626</v>
      </c>
      <c r="B335" s="2">
        <v>6</v>
      </c>
      <c r="C335" s="282"/>
      <c r="D335" s="283"/>
    </row>
    <row r="336" spans="1:4" x14ac:dyDescent="0.45">
      <c r="A336" s="1">
        <v>45627</v>
      </c>
      <c r="B336" s="2">
        <v>6</v>
      </c>
      <c r="C336" s="284">
        <f>AVERAGE(B336:B366)</f>
        <v>4.709677419354839</v>
      </c>
      <c r="D336" s="283"/>
    </row>
    <row r="337" spans="1:4" x14ac:dyDescent="0.45">
      <c r="A337" s="1">
        <v>45628</v>
      </c>
      <c r="B337" s="2">
        <v>4</v>
      </c>
      <c r="C337" s="285"/>
      <c r="D337" s="283"/>
    </row>
    <row r="338" spans="1:4" x14ac:dyDescent="0.45">
      <c r="A338" s="1">
        <v>45629</v>
      </c>
      <c r="B338" s="2">
        <v>4</v>
      </c>
      <c r="C338" s="285"/>
      <c r="D338" s="283"/>
    </row>
    <row r="339" spans="1:4" x14ac:dyDescent="0.45">
      <c r="A339" s="1">
        <v>45630</v>
      </c>
      <c r="B339" s="2">
        <v>6</v>
      </c>
      <c r="C339" s="285"/>
      <c r="D339" s="283"/>
    </row>
    <row r="340" spans="1:4" x14ac:dyDescent="0.45">
      <c r="A340" s="1">
        <v>45631</v>
      </c>
      <c r="B340" s="2">
        <v>6</v>
      </c>
      <c r="C340" s="285"/>
      <c r="D340" s="283"/>
    </row>
    <row r="341" spans="1:4" x14ac:dyDescent="0.45">
      <c r="A341" s="1">
        <v>45632</v>
      </c>
      <c r="B341" s="2">
        <v>6</v>
      </c>
      <c r="C341" s="285"/>
      <c r="D341" s="283"/>
    </row>
    <row r="342" spans="1:4" x14ac:dyDescent="0.45">
      <c r="A342" s="1">
        <v>45633</v>
      </c>
      <c r="B342" s="2">
        <v>6</v>
      </c>
      <c r="C342" s="285"/>
      <c r="D342" s="283"/>
    </row>
    <row r="343" spans="1:4" x14ac:dyDescent="0.45">
      <c r="A343" s="1">
        <v>45634</v>
      </c>
      <c r="B343" s="2">
        <v>4</v>
      </c>
      <c r="C343" s="285"/>
      <c r="D343" s="283"/>
    </row>
    <row r="344" spans="1:4" x14ac:dyDescent="0.45">
      <c r="A344" s="1">
        <v>45635</v>
      </c>
      <c r="B344" s="2">
        <v>4</v>
      </c>
      <c r="C344" s="285"/>
      <c r="D344" s="283"/>
    </row>
    <row r="345" spans="1:4" x14ac:dyDescent="0.45">
      <c r="A345" s="1">
        <v>45636</v>
      </c>
      <c r="B345" s="2">
        <v>4</v>
      </c>
      <c r="C345" s="285"/>
      <c r="D345" s="283"/>
    </row>
    <row r="346" spans="1:4" x14ac:dyDescent="0.45">
      <c r="A346" s="1">
        <v>45637</v>
      </c>
      <c r="B346" s="2">
        <v>4</v>
      </c>
      <c r="C346" s="285"/>
      <c r="D346" s="283"/>
    </row>
    <row r="347" spans="1:4" x14ac:dyDescent="0.45">
      <c r="A347" s="1">
        <v>45638</v>
      </c>
      <c r="B347" s="2">
        <v>6</v>
      </c>
      <c r="C347" s="285"/>
      <c r="D347" s="283"/>
    </row>
    <row r="348" spans="1:4" x14ac:dyDescent="0.45">
      <c r="A348" s="1">
        <v>45639</v>
      </c>
      <c r="B348" s="2">
        <v>4</v>
      </c>
      <c r="C348" s="285"/>
      <c r="D348" s="283"/>
    </row>
    <row r="349" spans="1:4" x14ac:dyDescent="0.45">
      <c r="A349" s="1">
        <v>45640</v>
      </c>
      <c r="B349" s="2">
        <v>6</v>
      </c>
      <c r="C349" s="285"/>
      <c r="D349" s="283"/>
    </row>
    <row r="350" spans="1:4" x14ac:dyDescent="0.45">
      <c r="A350" s="1">
        <v>45641</v>
      </c>
      <c r="B350" s="2">
        <v>4</v>
      </c>
      <c r="C350" s="285"/>
      <c r="D350" s="283"/>
    </row>
    <row r="351" spans="1:4" x14ac:dyDescent="0.45">
      <c r="A351" s="1">
        <v>45642</v>
      </c>
      <c r="B351" s="2">
        <v>4</v>
      </c>
      <c r="C351" s="285"/>
      <c r="D351" s="283"/>
    </row>
    <row r="352" spans="1:4" x14ac:dyDescent="0.45">
      <c r="A352" s="1">
        <v>45643</v>
      </c>
      <c r="B352" s="2">
        <v>2</v>
      </c>
      <c r="C352" s="285"/>
      <c r="D352" s="283"/>
    </row>
    <row r="353" spans="1:4" x14ac:dyDescent="0.45">
      <c r="A353" s="1">
        <v>45644</v>
      </c>
      <c r="B353" s="2">
        <v>4</v>
      </c>
      <c r="C353" s="285"/>
      <c r="D353" s="283"/>
    </row>
    <row r="354" spans="1:4" x14ac:dyDescent="0.45">
      <c r="A354" s="1">
        <v>45645</v>
      </c>
      <c r="B354" s="2">
        <v>2</v>
      </c>
      <c r="C354" s="285"/>
      <c r="D354" s="283"/>
    </row>
    <row r="355" spans="1:4" x14ac:dyDescent="0.45">
      <c r="A355" s="1">
        <v>45646</v>
      </c>
      <c r="B355" s="2">
        <v>4</v>
      </c>
      <c r="C355" s="285"/>
      <c r="D355" s="283"/>
    </row>
    <row r="356" spans="1:4" x14ac:dyDescent="0.45">
      <c r="A356" s="1">
        <v>45647</v>
      </c>
      <c r="B356" s="2">
        <v>4</v>
      </c>
      <c r="C356" s="285"/>
      <c r="D356" s="283"/>
    </row>
    <row r="357" spans="1:4" x14ac:dyDescent="0.45">
      <c r="A357" s="1">
        <v>45648</v>
      </c>
      <c r="B357" s="2">
        <v>4</v>
      </c>
      <c r="C357" s="285"/>
      <c r="D357" s="283"/>
    </row>
    <row r="358" spans="1:4" x14ac:dyDescent="0.45">
      <c r="A358" s="1">
        <v>45649</v>
      </c>
      <c r="B358" s="2">
        <v>4</v>
      </c>
      <c r="C358" s="285"/>
      <c r="D358" s="283"/>
    </row>
    <row r="359" spans="1:4" x14ac:dyDescent="0.45">
      <c r="A359" s="1">
        <v>45650</v>
      </c>
      <c r="B359" s="2">
        <v>10</v>
      </c>
      <c r="C359" s="285"/>
      <c r="D359" s="283"/>
    </row>
    <row r="360" spans="1:4" x14ac:dyDescent="0.45">
      <c r="A360" s="1">
        <v>45651</v>
      </c>
      <c r="B360" s="2">
        <v>6</v>
      </c>
      <c r="C360" s="285"/>
      <c r="D360" s="283"/>
    </row>
    <row r="361" spans="1:4" x14ac:dyDescent="0.45">
      <c r="A361" s="1">
        <v>45652</v>
      </c>
      <c r="B361" s="2">
        <v>4</v>
      </c>
      <c r="C361" s="285"/>
      <c r="D361" s="283"/>
    </row>
    <row r="362" spans="1:4" x14ac:dyDescent="0.45">
      <c r="A362" s="1">
        <v>45653</v>
      </c>
      <c r="B362" s="2">
        <v>4</v>
      </c>
      <c r="C362" s="285"/>
      <c r="D362" s="283"/>
    </row>
    <row r="363" spans="1:4" x14ac:dyDescent="0.45">
      <c r="A363" s="1">
        <v>45654</v>
      </c>
      <c r="B363" s="2">
        <v>4</v>
      </c>
      <c r="C363" s="285"/>
      <c r="D363" s="283"/>
    </row>
    <row r="364" spans="1:4" x14ac:dyDescent="0.45">
      <c r="A364" s="1">
        <v>45655</v>
      </c>
      <c r="B364" s="2">
        <v>6</v>
      </c>
      <c r="C364" s="285"/>
      <c r="D364" s="283"/>
    </row>
    <row r="365" spans="1:4" x14ac:dyDescent="0.45">
      <c r="A365" s="1">
        <v>45656</v>
      </c>
      <c r="B365" s="2">
        <v>4</v>
      </c>
      <c r="C365" s="285"/>
      <c r="D365" s="283"/>
    </row>
    <row r="366" spans="1:4" x14ac:dyDescent="0.45">
      <c r="A366" s="1">
        <v>45657</v>
      </c>
      <c r="B366" s="2">
        <v>6</v>
      </c>
      <c r="C366" s="282"/>
      <c r="D366" s="283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92" t="s">
        <v>52</v>
      </c>
      <c r="B1" s="292"/>
      <c r="C1" s="292"/>
      <c r="D1" s="292"/>
      <c r="E1" s="91"/>
      <c r="G1" s="291" t="s">
        <v>53</v>
      </c>
      <c r="H1" s="291"/>
      <c r="I1" s="291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zoomScale="89" zoomScaleNormal="90" workbookViewId="0">
      <selection activeCell="A19" sqref="A19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93" t="s">
        <v>55</v>
      </c>
      <c r="B1" s="293"/>
      <c r="C1" s="293"/>
      <c r="D1" s="293"/>
      <c r="E1" s="295" t="s">
        <v>56</v>
      </c>
      <c r="F1" s="295"/>
      <c r="G1" s="295"/>
      <c r="H1" s="295"/>
      <c r="I1" s="64"/>
      <c r="J1" s="61" t="s">
        <v>26</v>
      </c>
      <c r="K1" s="62" t="s">
        <v>183</v>
      </c>
      <c r="O1" s="293" t="s">
        <v>55</v>
      </c>
      <c r="P1" s="293"/>
      <c r="Q1" s="293"/>
      <c r="R1" s="293"/>
      <c r="S1" s="295" t="s">
        <v>56</v>
      </c>
      <c r="T1" s="295"/>
      <c r="U1" s="295"/>
      <c r="V1" s="295"/>
      <c r="X1" s="61" t="s">
        <v>26</v>
      </c>
      <c r="Y1" s="62" t="s">
        <v>183</v>
      </c>
    </row>
    <row r="2" spans="1:25" x14ac:dyDescent="0.5">
      <c r="A2" s="34" t="s">
        <v>26</v>
      </c>
      <c r="B2" s="294" t="s">
        <v>27</v>
      </c>
      <c r="C2" s="294"/>
      <c r="D2" s="65" t="s">
        <v>187</v>
      </c>
      <c r="E2" s="35" t="s">
        <v>57</v>
      </c>
      <c r="F2" s="294" t="s">
        <v>27</v>
      </c>
      <c r="G2" s="294"/>
      <c r="H2" s="75" t="s">
        <v>187</v>
      </c>
      <c r="J2" s="31" t="s">
        <v>454</v>
      </c>
      <c r="K2" s="31">
        <v>1</v>
      </c>
      <c r="O2" s="34" t="s">
        <v>26</v>
      </c>
      <c r="P2" s="294" t="s">
        <v>27</v>
      </c>
      <c r="Q2" s="294"/>
      <c r="R2" s="65" t="s">
        <v>187</v>
      </c>
      <c r="S2" s="35" t="s">
        <v>57</v>
      </c>
      <c r="T2" s="294" t="s">
        <v>27</v>
      </c>
      <c r="U2" s="294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171" t="s">
        <v>503</v>
      </c>
      <c r="F10" s="171">
        <v>8.1</v>
      </c>
      <c r="H10" s="172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171" t="s">
        <v>504</v>
      </c>
      <c r="F11" s="171">
        <v>7</v>
      </c>
      <c r="H11" s="172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171" t="s">
        <v>505</v>
      </c>
      <c r="F12" s="171">
        <v>7.6</v>
      </c>
      <c r="H12" s="172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171" t="s">
        <v>506</v>
      </c>
      <c r="F13" s="171">
        <v>7.3</v>
      </c>
      <c r="H13" s="172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171" t="s">
        <v>522</v>
      </c>
      <c r="F14" s="171">
        <v>8</v>
      </c>
      <c r="H14" s="172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171" t="s">
        <v>527</v>
      </c>
      <c r="F15" s="171">
        <v>6.9</v>
      </c>
      <c r="H15" s="172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171" t="s">
        <v>529</v>
      </c>
      <c r="F16" s="171">
        <v>6.9</v>
      </c>
      <c r="H16" s="172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5:22" x14ac:dyDescent="0.5">
      <c r="E17" s="171" t="s">
        <v>539</v>
      </c>
      <c r="F17" s="171">
        <v>7</v>
      </c>
      <c r="H17" s="172">
        <v>46143</v>
      </c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5:22" x14ac:dyDescent="0.5">
      <c r="E18" s="171" t="s">
        <v>540</v>
      </c>
      <c r="F18" s="171">
        <v>7.3</v>
      </c>
      <c r="H18" s="172">
        <v>46146</v>
      </c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5:22" x14ac:dyDescent="0.5">
      <c r="E19" s="171" t="s">
        <v>542</v>
      </c>
      <c r="F19" s="171">
        <v>8.6</v>
      </c>
      <c r="H19" s="172">
        <v>46151</v>
      </c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5:22" x14ac:dyDescent="0.5">
      <c r="E20" s="171" t="s">
        <v>541</v>
      </c>
      <c r="F20" s="171">
        <v>9.1</v>
      </c>
      <c r="H20" s="172">
        <v>46152</v>
      </c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5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5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5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5:22" x14ac:dyDescent="0.5">
      <c r="S24" s="31" t="s">
        <v>292</v>
      </c>
      <c r="T24" s="31">
        <v>6.8</v>
      </c>
      <c r="U24" s="31"/>
      <c r="V24" s="63">
        <v>45818</v>
      </c>
    </row>
    <row r="25" spans="5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5:22" x14ac:dyDescent="0.5">
      <c r="S26" s="31" t="s">
        <v>306</v>
      </c>
      <c r="T26" s="31">
        <v>8</v>
      </c>
      <c r="U26" s="31"/>
      <c r="V26" s="63">
        <v>45856</v>
      </c>
    </row>
    <row r="27" spans="5:22" x14ac:dyDescent="0.5">
      <c r="S27" s="31" t="s">
        <v>344</v>
      </c>
      <c r="T27" s="31">
        <v>7.2</v>
      </c>
      <c r="U27" s="31"/>
      <c r="V27" s="63">
        <v>45863</v>
      </c>
    </row>
    <row r="28" spans="5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5:22" x14ac:dyDescent="0.5">
      <c r="S29" s="31" t="s">
        <v>65</v>
      </c>
      <c r="T29" s="31">
        <v>9</v>
      </c>
      <c r="U29" s="31"/>
      <c r="V29" s="63">
        <v>45872</v>
      </c>
    </row>
    <row r="30" spans="5:22" x14ac:dyDescent="0.5">
      <c r="S30" s="31" t="s">
        <v>349</v>
      </c>
      <c r="T30" s="31">
        <v>7</v>
      </c>
      <c r="U30" s="31"/>
      <c r="V30" s="63">
        <v>45879</v>
      </c>
    </row>
    <row r="31" spans="5:22" x14ac:dyDescent="0.5">
      <c r="S31" s="31" t="s">
        <v>382</v>
      </c>
      <c r="T31" s="31">
        <v>7.2</v>
      </c>
      <c r="U31" s="31"/>
      <c r="V31" s="63">
        <v>45886</v>
      </c>
    </row>
    <row r="32" spans="5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2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93" t="s">
        <v>55</v>
      </c>
      <c r="B1" s="293"/>
      <c r="C1" s="293"/>
      <c r="D1" s="295" t="s">
        <v>56</v>
      </c>
      <c r="E1" s="295"/>
      <c r="F1" s="295"/>
    </row>
    <row r="2" spans="1:6" x14ac:dyDescent="0.5">
      <c r="A2" s="34" t="s">
        <v>26</v>
      </c>
      <c r="B2" s="294" t="s">
        <v>27</v>
      </c>
      <c r="C2" s="294"/>
      <c r="D2" s="35" t="s">
        <v>57</v>
      </c>
      <c r="E2" s="294" t="s">
        <v>27</v>
      </c>
      <c r="F2" s="294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0"/>
  <sheetViews>
    <sheetView topLeftCell="B1" zoomScale="77" zoomScaleNormal="100" workbookViewId="0">
      <selection activeCell="W16" sqref="W16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20.1171875" bestFit="1" customWidth="1"/>
    <col min="15" max="15" width="14.8203125" style="184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299" t="s">
        <v>107</v>
      </c>
      <c r="C1" s="299"/>
      <c r="D1" s="299"/>
      <c r="E1" s="299"/>
      <c r="F1" s="299"/>
      <c r="G1" s="299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03">
        <f>AVERAGE(G3:G25)</f>
        <v>8492.2727272727279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04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04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04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04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04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04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COUNTIF(F4:F26,N9)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04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COUNTIF(F5:F27,N10)</f>
        <v>4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04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COUNTIF(F6:F28,N11)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04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COUNTIF(F7:F29,N12)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04"/>
      <c r="I13" s="43">
        <v>2275</v>
      </c>
      <c r="J13" s="41" t="s">
        <v>131</v>
      </c>
      <c r="K13" s="41" t="s">
        <v>144</v>
      </c>
      <c r="L13" s="178" t="s">
        <v>146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04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04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04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04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04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4" x14ac:dyDescent="0.5">
      <c r="A19" s="297">
        <v>17</v>
      </c>
      <c r="B19" s="170">
        <v>45941</v>
      </c>
      <c r="C19" s="41" t="s">
        <v>114</v>
      </c>
      <c r="D19" s="41" t="s">
        <v>366</v>
      </c>
      <c r="E19" s="301" t="s">
        <v>123</v>
      </c>
      <c r="F19" s="98" t="s">
        <v>118</v>
      </c>
      <c r="G19" s="297">
        <v>11466</v>
      </c>
      <c r="H19" s="304"/>
      <c r="I19" s="43">
        <v>1756</v>
      </c>
      <c r="J19" s="41" t="s">
        <v>367</v>
      </c>
      <c r="K19" s="297" t="s">
        <v>144</v>
      </c>
      <c r="L19" s="179" t="s">
        <v>368</v>
      </c>
    </row>
    <row r="20" spans="1:14" x14ac:dyDescent="0.5">
      <c r="A20" s="298"/>
      <c r="B20" s="170">
        <v>45941</v>
      </c>
      <c r="C20" s="41" t="s">
        <v>366</v>
      </c>
      <c r="D20" s="41" t="s">
        <v>115</v>
      </c>
      <c r="E20" s="302"/>
      <c r="F20" s="98" t="s">
        <v>118</v>
      </c>
      <c r="G20" s="298"/>
      <c r="H20" s="304"/>
      <c r="I20" s="43">
        <v>517</v>
      </c>
      <c r="J20" s="41" t="s">
        <v>131</v>
      </c>
      <c r="K20" s="298"/>
      <c r="L20" s="179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04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04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04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04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05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4" x14ac:dyDescent="0.5">
      <c r="A26" s="43"/>
      <c r="B26" s="300" t="s">
        <v>121</v>
      </c>
      <c r="C26" s="300"/>
      <c r="D26" s="300"/>
      <c r="E26" s="300"/>
      <c r="F26" s="300"/>
      <c r="G26" s="40">
        <f>SUM(G3:G25)</f>
        <v>186830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96" t="s">
        <v>474</v>
      </c>
      <c r="R35" s="296"/>
    </row>
    <row r="36" spans="14:18" x14ac:dyDescent="0.5">
      <c r="N36" s="175" t="s">
        <v>427</v>
      </c>
      <c r="O36" s="186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87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87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87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87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5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abSelected="1" topLeftCell="A6" zoomScale="102" zoomScaleNormal="85" workbookViewId="0">
      <selection activeCell="L20" sqref="L20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06" t="s">
        <v>556</v>
      </c>
      <c r="F1" s="307"/>
      <c r="G1" s="307"/>
      <c r="H1" s="307"/>
      <c r="I1" s="307"/>
      <c r="J1" s="307"/>
      <c r="K1" s="308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96"/>
      <c r="F2" s="318" t="s">
        <v>156</v>
      </c>
      <c r="G2" s="318"/>
      <c r="H2" s="296"/>
      <c r="I2" s="296"/>
      <c r="J2" s="309"/>
      <c r="K2" s="310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96"/>
      <c r="F3" s="318"/>
      <c r="G3" s="318"/>
      <c r="H3" s="296"/>
      <c r="I3" s="296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96"/>
      <c r="F4" s="319">
        <f>D9/B9</f>
        <v>10</v>
      </c>
      <c r="G4" s="319"/>
      <c r="H4" s="296"/>
      <c r="I4" s="296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96"/>
      <c r="F5" s="319"/>
      <c r="G5" s="319"/>
      <c r="H5" s="296"/>
      <c r="I5" s="296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96"/>
      <c r="F6" s="324" t="s">
        <v>157</v>
      </c>
      <c r="G6" s="325"/>
      <c r="H6" s="296"/>
      <c r="I6" s="296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96"/>
      <c r="F7" s="326"/>
      <c r="G7" s="327"/>
      <c r="H7" s="296"/>
      <c r="I7" s="296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96"/>
      <c r="F8" s="320">
        <f>M12/L12</f>
        <v>9.741236559139784</v>
      </c>
      <c r="G8" s="321"/>
      <c r="H8" s="296"/>
      <c r="I8" s="296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96"/>
      <c r="F9" s="322"/>
      <c r="G9" s="323"/>
      <c r="H9" s="296"/>
      <c r="I9" s="296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12"/>
      <c r="B10" s="313"/>
      <c r="C10" s="313"/>
      <c r="D10" s="313"/>
      <c r="E10" s="296"/>
      <c r="F10" s="313"/>
      <c r="G10" s="313"/>
      <c r="H10" s="296"/>
      <c r="I10" s="296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14"/>
      <c r="B11" s="296"/>
      <c r="C11" s="296"/>
      <c r="D11" s="296"/>
      <c r="E11" s="296"/>
      <c r="F11" s="296"/>
      <c r="G11" s="296"/>
      <c r="H11" s="296"/>
      <c r="I11" s="296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14"/>
      <c r="B12" s="296"/>
      <c r="C12" s="296"/>
      <c r="D12" s="296"/>
      <c r="E12" s="296"/>
      <c r="F12" s="296" t="s">
        <v>271</v>
      </c>
      <c r="G12" s="296">
        <v>9.74</v>
      </c>
      <c r="H12" s="296"/>
      <c r="I12" s="296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14"/>
      <c r="B13" s="296"/>
      <c r="C13" s="296"/>
      <c r="D13" s="296"/>
      <c r="E13" s="296"/>
      <c r="F13" s="296"/>
      <c r="G13" s="296"/>
      <c r="H13" s="296"/>
      <c r="I13" s="296"/>
      <c r="J13" s="313"/>
      <c r="K13" s="316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15"/>
      <c r="B14" s="311"/>
      <c r="C14" s="311"/>
      <c r="D14" s="311"/>
      <c r="E14" s="311"/>
      <c r="F14" s="85" t="s">
        <v>272</v>
      </c>
      <c r="G14" s="85">
        <f>(G12-F8)*100/G12</f>
        <v>-1.2695679053221987E-2</v>
      </c>
      <c r="H14" s="311"/>
      <c r="I14" s="311"/>
      <c r="J14" s="311"/>
      <c r="K14" s="317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topLeftCell="E1"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28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29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30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31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32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33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34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35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36"/>
      <c r="B9" s="127" t="s">
        <v>237</v>
      </c>
      <c r="C9" s="128"/>
      <c r="D9" s="128"/>
      <c r="E9" s="128"/>
      <c r="F9" s="128"/>
      <c r="G9" s="129"/>
    </row>
    <row r="10" spans="1:7" x14ac:dyDescent="0.5">
      <c r="A10" s="337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38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39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40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3F857-BCDF-4232-9F73-57DA6BE62066}">
  <dimension ref="A1:B870"/>
  <sheetViews>
    <sheetView workbookViewId="0">
      <selection activeCell="O3" sqref="O3"/>
    </sheetView>
  </sheetViews>
  <sheetFormatPr defaultRowHeight="14.35" x14ac:dyDescent="0.5"/>
  <cols>
    <col min="1" max="1" width="9.9375" bestFit="1" customWidth="1"/>
  </cols>
  <sheetData>
    <row r="1" spans="1:2" x14ac:dyDescent="0.5">
      <c r="A1" t="s">
        <v>108</v>
      </c>
      <c r="B1" t="s">
        <v>24</v>
      </c>
    </row>
    <row r="2" spans="1:2" x14ac:dyDescent="0.5">
      <c r="A2" s="1">
        <v>45292</v>
      </c>
      <c r="B2" s="2">
        <v>6</v>
      </c>
    </row>
    <row r="3" spans="1:2" x14ac:dyDescent="0.5">
      <c r="A3" s="1">
        <v>45293</v>
      </c>
      <c r="B3" s="2">
        <v>4</v>
      </c>
    </row>
    <row r="4" spans="1:2" x14ac:dyDescent="0.5">
      <c r="A4" s="1">
        <v>45294</v>
      </c>
      <c r="B4" s="2">
        <v>6</v>
      </c>
    </row>
    <row r="5" spans="1:2" x14ac:dyDescent="0.5">
      <c r="A5" s="1">
        <v>45295</v>
      </c>
      <c r="B5" s="2">
        <v>8</v>
      </c>
    </row>
    <row r="6" spans="1:2" x14ac:dyDescent="0.5">
      <c r="A6" s="1">
        <v>45296</v>
      </c>
      <c r="B6" s="2">
        <v>6</v>
      </c>
    </row>
    <row r="7" spans="1:2" x14ac:dyDescent="0.5">
      <c r="A7" s="1">
        <v>45297</v>
      </c>
      <c r="B7" s="2">
        <v>8</v>
      </c>
    </row>
    <row r="8" spans="1:2" x14ac:dyDescent="0.5">
      <c r="A8" s="1">
        <v>45298</v>
      </c>
      <c r="B8" s="2">
        <v>0</v>
      </c>
    </row>
    <row r="9" spans="1:2" x14ac:dyDescent="0.5">
      <c r="A9" s="1">
        <v>45299</v>
      </c>
      <c r="B9" s="2">
        <v>4</v>
      </c>
    </row>
    <row r="10" spans="1:2" x14ac:dyDescent="0.5">
      <c r="A10" s="1">
        <v>45300</v>
      </c>
      <c r="B10" s="2">
        <v>6</v>
      </c>
    </row>
    <row r="11" spans="1:2" x14ac:dyDescent="0.5">
      <c r="A11" s="1">
        <v>45301</v>
      </c>
      <c r="B11" s="2">
        <v>4</v>
      </c>
    </row>
    <row r="12" spans="1:2" x14ac:dyDescent="0.5">
      <c r="A12" s="1">
        <v>45302</v>
      </c>
      <c r="B12" s="2">
        <v>6</v>
      </c>
    </row>
    <row r="13" spans="1:2" x14ac:dyDescent="0.5">
      <c r="A13" s="1">
        <v>45303</v>
      </c>
      <c r="B13" s="2">
        <v>6</v>
      </c>
    </row>
    <row r="14" spans="1:2" x14ac:dyDescent="0.5">
      <c r="A14" s="1">
        <v>45304</v>
      </c>
      <c r="B14" s="2">
        <v>2</v>
      </c>
    </row>
    <row r="15" spans="1:2" x14ac:dyDescent="0.5">
      <c r="A15" s="1">
        <v>45305</v>
      </c>
      <c r="B15" s="2">
        <v>4</v>
      </c>
    </row>
    <row r="16" spans="1:2" x14ac:dyDescent="0.5">
      <c r="A16" s="1">
        <v>45306</v>
      </c>
      <c r="B16" s="2">
        <v>6</v>
      </c>
    </row>
    <row r="17" spans="1:2" x14ac:dyDescent="0.5">
      <c r="A17" s="1">
        <v>45307</v>
      </c>
      <c r="B17" s="2">
        <v>0</v>
      </c>
    </row>
    <row r="18" spans="1:2" x14ac:dyDescent="0.5">
      <c r="A18" s="1">
        <v>45308</v>
      </c>
      <c r="B18" s="2">
        <v>6</v>
      </c>
    </row>
    <row r="19" spans="1:2" x14ac:dyDescent="0.5">
      <c r="A19" s="1">
        <v>45309</v>
      </c>
      <c r="B19" s="2">
        <v>6</v>
      </c>
    </row>
    <row r="20" spans="1:2" x14ac:dyDescent="0.5">
      <c r="A20" s="1">
        <v>45310</v>
      </c>
      <c r="B20" s="2">
        <v>6</v>
      </c>
    </row>
    <row r="21" spans="1:2" x14ac:dyDescent="0.5">
      <c r="A21" s="1">
        <v>45311</v>
      </c>
      <c r="B21" s="2">
        <v>6</v>
      </c>
    </row>
    <row r="22" spans="1:2" x14ac:dyDescent="0.5">
      <c r="A22" s="1">
        <v>45312</v>
      </c>
      <c r="B22" s="2">
        <v>6</v>
      </c>
    </row>
    <row r="23" spans="1:2" x14ac:dyDescent="0.5">
      <c r="A23" s="1">
        <v>45313</v>
      </c>
      <c r="B23" s="2">
        <v>4</v>
      </c>
    </row>
    <row r="24" spans="1:2" x14ac:dyDescent="0.5">
      <c r="A24" s="1">
        <v>45314</v>
      </c>
      <c r="B24" s="2">
        <v>4</v>
      </c>
    </row>
    <row r="25" spans="1:2" x14ac:dyDescent="0.5">
      <c r="A25" s="1">
        <v>45315</v>
      </c>
      <c r="B25" s="2">
        <v>2</v>
      </c>
    </row>
    <row r="26" spans="1:2" x14ac:dyDescent="0.5">
      <c r="A26" s="1">
        <v>45316</v>
      </c>
      <c r="B26" s="2">
        <v>6</v>
      </c>
    </row>
    <row r="27" spans="1:2" x14ac:dyDescent="0.5">
      <c r="A27" s="1">
        <v>45317</v>
      </c>
      <c r="B27" s="2">
        <v>10</v>
      </c>
    </row>
    <row r="28" spans="1:2" x14ac:dyDescent="0.5">
      <c r="A28" s="1">
        <v>45318</v>
      </c>
      <c r="B28" s="2">
        <v>10</v>
      </c>
    </row>
    <row r="29" spans="1:2" x14ac:dyDescent="0.5">
      <c r="A29" s="1">
        <v>45319</v>
      </c>
      <c r="B29" s="2">
        <v>10</v>
      </c>
    </row>
    <row r="30" spans="1:2" x14ac:dyDescent="0.5">
      <c r="A30" s="1">
        <v>45320</v>
      </c>
      <c r="B30" s="2">
        <v>4</v>
      </c>
    </row>
    <row r="31" spans="1:2" x14ac:dyDescent="0.5">
      <c r="A31" s="1">
        <v>45321</v>
      </c>
      <c r="B31" s="2">
        <v>4</v>
      </c>
    </row>
    <row r="32" spans="1:2" x14ac:dyDescent="0.5">
      <c r="A32" s="1">
        <v>45322</v>
      </c>
      <c r="B32" s="2">
        <v>4</v>
      </c>
    </row>
    <row r="33" spans="1:2" x14ac:dyDescent="0.5">
      <c r="A33" s="1">
        <v>45323</v>
      </c>
      <c r="B33" s="2">
        <v>6</v>
      </c>
    </row>
    <row r="34" spans="1:2" x14ac:dyDescent="0.5">
      <c r="A34" s="1">
        <v>45324</v>
      </c>
      <c r="B34" s="2">
        <v>6</v>
      </c>
    </row>
    <row r="35" spans="1:2" x14ac:dyDescent="0.5">
      <c r="A35" s="1">
        <v>45325</v>
      </c>
      <c r="B35" s="2">
        <v>6</v>
      </c>
    </row>
    <row r="36" spans="1:2" x14ac:dyDescent="0.5">
      <c r="A36" s="1">
        <v>45326</v>
      </c>
      <c r="B36" s="2">
        <v>4</v>
      </c>
    </row>
    <row r="37" spans="1:2" x14ac:dyDescent="0.5">
      <c r="A37" s="1">
        <v>45327</v>
      </c>
      <c r="B37" s="2">
        <v>2</v>
      </c>
    </row>
    <row r="38" spans="1:2" x14ac:dyDescent="0.5">
      <c r="A38" s="1">
        <v>45328</v>
      </c>
      <c r="B38" s="2">
        <v>6</v>
      </c>
    </row>
    <row r="39" spans="1:2" x14ac:dyDescent="0.5">
      <c r="A39" s="1">
        <v>45329</v>
      </c>
      <c r="B39" s="2">
        <v>4</v>
      </c>
    </row>
    <row r="40" spans="1:2" x14ac:dyDescent="0.5">
      <c r="A40" s="1">
        <v>45330</v>
      </c>
      <c r="B40" s="2">
        <v>6</v>
      </c>
    </row>
    <row r="41" spans="1:2" x14ac:dyDescent="0.5">
      <c r="A41" s="1">
        <v>45331</v>
      </c>
      <c r="B41" s="2">
        <v>6</v>
      </c>
    </row>
    <row r="42" spans="1:2" x14ac:dyDescent="0.5">
      <c r="A42" s="1">
        <v>45332</v>
      </c>
      <c r="B42" s="2">
        <v>4</v>
      </c>
    </row>
    <row r="43" spans="1:2" x14ac:dyDescent="0.5">
      <c r="A43" s="1">
        <v>45333</v>
      </c>
      <c r="B43" s="2">
        <v>4</v>
      </c>
    </row>
    <row r="44" spans="1:2" x14ac:dyDescent="0.5">
      <c r="A44" s="1">
        <v>45334</v>
      </c>
      <c r="B44" s="2">
        <v>4</v>
      </c>
    </row>
    <row r="45" spans="1:2" x14ac:dyDescent="0.5">
      <c r="A45" s="1">
        <v>45335</v>
      </c>
      <c r="B45" s="2">
        <v>6</v>
      </c>
    </row>
    <row r="46" spans="1:2" x14ac:dyDescent="0.5">
      <c r="A46" s="1">
        <v>45336</v>
      </c>
      <c r="B46" s="2">
        <v>10</v>
      </c>
    </row>
    <row r="47" spans="1:2" x14ac:dyDescent="0.5">
      <c r="A47" s="1">
        <v>45337</v>
      </c>
      <c r="B47" s="2">
        <v>6</v>
      </c>
    </row>
    <row r="48" spans="1:2" x14ac:dyDescent="0.5">
      <c r="A48" s="1">
        <v>45338</v>
      </c>
      <c r="B48" s="2">
        <v>2</v>
      </c>
    </row>
    <row r="49" spans="1:2" x14ac:dyDescent="0.5">
      <c r="A49" s="1">
        <v>45339</v>
      </c>
      <c r="B49" s="2">
        <v>4</v>
      </c>
    </row>
    <row r="50" spans="1:2" x14ac:dyDescent="0.5">
      <c r="A50" s="1">
        <v>45340</v>
      </c>
      <c r="B50" s="2">
        <v>4</v>
      </c>
    </row>
    <row r="51" spans="1:2" x14ac:dyDescent="0.5">
      <c r="A51" s="1">
        <v>45341</v>
      </c>
      <c r="B51" s="2">
        <v>4</v>
      </c>
    </row>
    <row r="52" spans="1:2" x14ac:dyDescent="0.5">
      <c r="A52" s="1">
        <v>45342</v>
      </c>
      <c r="B52" s="2">
        <v>0</v>
      </c>
    </row>
    <row r="53" spans="1:2" x14ac:dyDescent="0.5">
      <c r="A53" s="1">
        <v>45343</v>
      </c>
      <c r="B53" s="2">
        <v>0</v>
      </c>
    </row>
    <row r="54" spans="1:2" x14ac:dyDescent="0.5">
      <c r="A54" s="1">
        <v>45344</v>
      </c>
      <c r="B54" s="2">
        <v>2</v>
      </c>
    </row>
    <row r="55" spans="1:2" x14ac:dyDescent="0.5">
      <c r="A55" s="1">
        <v>45345</v>
      </c>
      <c r="B55" s="2">
        <v>4</v>
      </c>
    </row>
    <row r="56" spans="1:2" x14ac:dyDescent="0.5">
      <c r="A56" s="1">
        <v>45346</v>
      </c>
      <c r="B56" s="2">
        <v>4</v>
      </c>
    </row>
    <row r="57" spans="1:2" x14ac:dyDescent="0.5">
      <c r="A57" s="1">
        <v>45347</v>
      </c>
      <c r="B57" s="2">
        <v>6</v>
      </c>
    </row>
    <row r="58" spans="1:2" x14ac:dyDescent="0.5">
      <c r="A58" s="1">
        <v>45348</v>
      </c>
      <c r="B58" s="2">
        <v>4</v>
      </c>
    </row>
    <row r="59" spans="1:2" x14ac:dyDescent="0.5">
      <c r="A59" s="1">
        <v>45349</v>
      </c>
      <c r="B59" s="2">
        <v>4</v>
      </c>
    </row>
    <row r="60" spans="1:2" x14ac:dyDescent="0.5">
      <c r="A60" s="1">
        <v>45350</v>
      </c>
      <c r="B60" s="2">
        <v>4</v>
      </c>
    </row>
    <row r="61" spans="1:2" x14ac:dyDescent="0.5">
      <c r="A61" s="1">
        <v>45351</v>
      </c>
      <c r="B61" s="2">
        <v>6</v>
      </c>
    </row>
    <row r="62" spans="1:2" x14ac:dyDescent="0.5">
      <c r="A62" s="1">
        <v>45352</v>
      </c>
      <c r="B62" s="2">
        <v>6</v>
      </c>
    </row>
    <row r="63" spans="1:2" x14ac:dyDescent="0.5">
      <c r="A63" s="1">
        <v>45353</v>
      </c>
      <c r="B63" s="2">
        <v>6</v>
      </c>
    </row>
    <row r="64" spans="1:2" x14ac:dyDescent="0.5">
      <c r="A64" s="1">
        <v>45354</v>
      </c>
      <c r="B64" s="2">
        <v>8</v>
      </c>
    </row>
    <row r="65" spans="1:2" x14ac:dyDescent="0.5">
      <c r="A65" s="1">
        <v>45355</v>
      </c>
      <c r="B65" s="2">
        <v>6</v>
      </c>
    </row>
    <row r="66" spans="1:2" x14ac:dyDescent="0.5">
      <c r="A66" s="1">
        <v>45356</v>
      </c>
      <c r="B66" s="2">
        <v>4</v>
      </c>
    </row>
    <row r="67" spans="1:2" x14ac:dyDescent="0.5">
      <c r="A67" s="1">
        <v>45357</v>
      </c>
      <c r="B67" s="2">
        <v>4</v>
      </c>
    </row>
    <row r="68" spans="1:2" x14ac:dyDescent="0.5">
      <c r="A68" s="1">
        <v>45358</v>
      </c>
      <c r="B68" s="2">
        <v>6</v>
      </c>
    </row>
    <row r="69" spans="1:2" x14ac:dyDescent="0.5">
      <c r="A69" s="1">
        <v>45359</v>
      </c>
      <c r="B69" s="2">
        <v>6</v>
      </c>
    </row>
    <row r="70" spans="1:2" x14ac:dyDescent="0.5">
      <c r="A70" s="1">
        <v>45360</v>
      </c>
      <c r="B70" s="2">
        <v>6</v>
      </c>
    </row>
    <row r="71" spans="1:2" x14ac:dyDescent="0.5">
      <c r="A71" s="1">
        <v>45361</v>
      </c>
      <c r="B71" s="2">
        <v>6</v>
      </c>
    </row>
    <row r="72" spans="1:2" x14ac:dyDescent="0.5">
      <c r="A72" s="1">
        <v>45362</v>
      </c>
      <c r="B72" s="2">
        <v>4</v>
      </c>
    </row>
    <row r="73" spans="1:2" x14ac:dyDescent="0.5">
      <c r="A73" s="1">
        <v>45363</v>
      </c>
      <c r="B73" s="2">
        <v>6</v>
      </c>
    </row>
    <row r="74" spans="1:2" x14ac:dyDescent="0.5">
      <c r="A74" s="1">
        <v>45364</v>
      </c>
      <c r="B74" s="2">
        <v>6</v>
      </c>
    </row>
    <row r="75" spans="1:2" x14ac:dyDescent="0.5">
      <c r="A75" s="1">
        <v>45365</v>
      </c>
      <c r="B75" s="2">
        <v>4</v>
      </c>
    </row>
    <row r="76" spans="1:2" x14ac:dyDescent="0.5">
      <c r="A76" s="1">
        <v>45366</v>
      </c>
      <c r="B76" s="2">
        <v>6</v>
      </c>
    </row>
    <row r="77" spans="1:2" x14ac:dyDescent="0.5">
      <c r="A77" s="1">
        <v>45367</v>
      </c>
      <c r="B77" s="2">
        <v>6</v>
      </c>
    </row>
    <row r="78" spans="1:2" x14ac:dyDescent="0.5">
      <c r="A78" s="1">
        <v>45368</v>
      </c>
      <c r="B78" s="2">
        <v>4</v>
      </c>
    </row>
    <row r="79" spans="1:2" x14ac:dyDescent="0.5">
      <c r="A79" s="1">
        <v>45369</v>
      </c>
      <c r="B79" s="2">
        <v>6</v>
      </c>
    </row>
    <row r="80" spans="1:2" x14ac:dyDescent="0.5">
      <c r="A80" s="1">
        <v>45370</v>
      </c>
      <c r="B80" s="2">
        <v>2</v>
      </c>
    </row>
    <row r="81" spans="1:2" x14ac:dyDescent="0.5">
      <c r="A81" s="1">
        <v>45371</v>
      </c>
      <c r="B81" s="2">
        <v>8</v>
      </c>
    </row>
    <row r="82" spans="1:2" x14ac:dyDescent="0.5">
      <c r="A82" s="1">
        <v>45372</v>
      </c>
      <c r="B82" s="2">
        <v>6</v>
      </c>
    </row>
    <row r="83" spans="1:2" x14ac:dyDescent="0.5">
      <c r="A83" s="1">
        <v>45373</v>
      </c>
      <c r="B83" s="2">
        <v>8</v>
      </c>
    </row>
    <row r="84" spans="1:2" x14ac:dyDescent="0.5">
      <c r="A84" s="1">
        <v>45374</v>
      </c>
      <c r="B84" s="2">
        <v>6</v>
      </c>
    </row>
    <row r="85" spans="1:2" x14ac:dyDescent="0.5">
      <c r="A85" s="1">
        <v>45375</v>
      </c>
      <c r="B85" s="2">
        <v>2</v>
      </c>
    </row>
    <row r="86" spans="1:2" x14ac:dyDescent="0.5">
      <c r="A86" s="1">
        <v>45376</v>
      </c>
      <c r="B86" s="2">
        <v>8</v>
      </c>
    </row>
    <row r="87" spans="1:2" x14ac:dyDescent="0.5">
      <c r="A87" s="1">
        <v>45377</v>
      </c>
      <c r="B87" s="2">
        <v>6</v>
      </c>
    </row>
    <row r="88" spans="1:2" x14ac:dyDescent="0.5">
      <c r="A88" s="1">
        <v>45378</v>
      </c>
      <c r="B88" s="2">
        <v>4</v>
      </c>
    </row>
    <row r="89" spans="1:2" x14ac:dyDescent="0.5">
      <c r="A89" s="1">
        <v>45379</v>
      </c>
      <c r="B89" s="2">
        <v>6</v>
      </c>
    </row>
    <row r="90" spans="1:2" x14ac:dyDescent="0.5">
      <c r="A90" s="1">
        <v>45380</v>
      </c>
      <c r="B90" s="2">
        <v>4</v>
      </c>
    </row>
    <row r="91" spans="1:2" x14ac:dyDescent="0.5">
      <c r="A91" s="1">
        <v>45381</v>
      </c>
      <c r="B91" s="2">
        <v>6</v>
      </c>
    </row>
    <row r="92" spans="1:2" x14ac:dyDescent="0.5">
      <c r="A92" s="1">
        <v>45382</v>
      </c>
      <c r="B92" s="2">
        <v>6</v>
      </c>
    </row>
    <row r="93" spans="1:2" x14ac:dyDescent="0.5">
      <c r="A93" s="1">
        <v>45383</v>
      </c>
      <c r="B93" s="2">
        <v>4</v>
      </c>
    </row>
    <row r="94" spans="1:2" x14ac:dyDescent="0.5">
      <c r="A94" s="1">
        <v>45384</v>
      </c>
      <c r="B94" s="2">
        <v>4</v>
      </c>
    </row>
    <row r="95" spans="1:2" x14ac:dyDescent="0.5">
      <c r="A95" s="1">
        <v>45385</v>
      </c>
      <c r="B95" s="2">
        <v>4</v>
      </c>
    </row>
    <row r="96" spans="1:2" x14ac:dyDescent="0.5">
      <c r="A96" s="1">
        <v>45386</v>
      </c>
      <c r="B96" s="2">
        <v>4</v>
      </c>
    </row>
    <row r="97" spans="1:2" x14ac:dyDescent="0.5">
      <c r="A97" s="1">
        <v>45387</v>
      </c>
      <c r="B97" s="2">
        <v>0</v>
      </c>
    </row>
    <row r="98" spans="1:2" x14ac:dyDescent="0.5">
      <c r="A98" s="1">
        <v>45388</v>
      </c>
      <c r="B98" s="2">
        <v>2</v>
      </c>
    </row>
    <row r="99" spans="1:2" x14ac:dyDescent="0.5">
      <c r="A99" s="1">
        <v>45389</v>
      </c>
      <c r="B99" s="2">
        <v>4</v>
      </c>
    </row>
    <row r="100" spans="1:2" x14ac:dyDescent="0.5">
      <c r="A100" s="1">
        <v>45390</v>
      </c>
      <c r="B100" s="2">
        <v>4</v>
      </c>
    </row>
    <row r="101" spans="1:2" x14ac:dyDescent="0.5">
      <c r="A101" s="1">
        <v>45391</v>
      </c>
      <c r="B101" s="2">
        <v>6</v>
      </c>
    </row>
    <row r="102" spans="1:2" x14ac:dyDescent="0.5">
      <c r="A102" s="1">
        <v>45392</v>
      </c>
      <c r="B102" s="2">
        <v>2</v>
      </c>
    </row>
    <row r="103" spans="1:2" x14ac:dyDescent="0.5">
      <c r="A103" s="1">
        <v>45393</v>
      </c>
      <c r="B103" s="2">
        <v>0</v>
      </c>
    </row>
    <row r="104" spans="1:2" x14ac:dyDescent="0.5">
      <c r="A104" s="1">
        <v>45394</v>
      </c>
      <c r="B104" s="2">
        <v>6</v>
      </c>
    </row>
    <row r="105" spans="1:2" x14ac:dyDescent="0.5">
      <c r="A105" s="1">
        <v>45395</v>
      </c>
      <c r="B105" s="2">
        <v>6</v>
      </c>
    </row>
    <row r="106" spans="1:2" x14ac:dyDescent="0.5">
      <c r="A106" s="1">
        <v>45396</v>
      </c>
      <c r="B106" s="2">
        <v>4</v>
      </c>
    </row>
    <row r="107" spans="1:2" x14ac:dyDescent="0.5">
      <c r="A107" s="1">
        <v>45397</v>
      </c>
      <c r="B107" s="2">
        <v>6</v>
      </c>
    </row>
    <row r="108" spans="1:2" x14ac:dyDescent="0.5">
      <c r="A108" s="1">
        <v>45398</v>
      </c>
      <c r="B108" s="2">
        <v>4</v>
      </c>
    </row>
    <row r="109" spans="1:2" x14ac:dyDescent="0.5">
      <c r="A109" s="1">
        <v>45399</v>
      </c>
      <c r="B109" s="2">
        <v>8</v>
      </c>
    </row>
    <row r="110" spans="1:2" x14ac:dyDescent="0.5">
      <c r="A110" s="1">
        <v>45400</v>
      </c>
      <c r="B110" s="2">
        <v>6</v>
      </c>
    </row>
    <row r="111" spans="1:2" x14ac:dyDescent="0.5">
      <c r="A111" s="1">
        <v>45401</v>
      </c>
      <c r="B111" s="2">
        <v>6</v>
      </c>
    </row>
    <row r="112" spans="1:2" x14ac:dyDescent="0.5">
      <c r="A112" s="1">
        <v>45402</v>
      </c>
      <c r="B112" s="2">
        <v>4</v>
      </c>
    </row>
    <row r="113" spans="1:2" x14ac:dyDescent="0.5">
      <c r="A113" s="1">
        <v>45403</v>
      </c>
      <c r="B113" s="2">
        <v>6</v>
      </c>
    </row>
    <row r="114" spans="1:2" x14ac:dyDescent="0.5">
      <c r="A114" s="1">
        <v>45404</v>
      </c>
      <c r="B114" s="2">
        <v>6</v>
      </c>
    </row>
    <row r="115" spans="1:2" x14ac:dyDescent="0.5">
      <c r="A115" s="1">
        <v>45405</v>
      </c>
      <c r="B115" s="2">
        <v>4</v>
      </c>
    </row>
    <row r="116" spans="1:2" x14ac:dyDescent="0.5">
      <c r="A116" s="1">
        <v>45406</v>
      </c>
      <c r="B116" s="2">
        <v>6</v>
      </c>
    </row>
    <row r="117" spans="1:2" x14ac:dyDescent="0.5">
      <c r="A117" s="1">
        <v>45407</v>
      </c>
      <c r="B117" s="2">
        <v>4</v>
      </c>
    </row>
    <row r="118" spans="1:2" x14ac:dyDescent="0.5">
      <c r="A118" s="1">
        <v>45408</v>
      </c>
      <c r="B118" s="2">
        <v>4</v>
      </c>
    </row>
    <row r="119" spans="1:2" x14ac:dyDescent="0.5">
      <c r="A119" s="1">
        <v>45409</v>
      </c>
      <c r="B119" s="2">
        <v>4</v>
      </c>
    </row>
    <row r="120" spans="1:2" x14ac:dyDescent="0.5">
      <c r="A120" s="1">
        <v>45410</v>
      </c>
      <c r="B120" s="2">
        <v>4</v>
      </c>
    </row>
    <row r="121" spans="1:2" x14ac:dyDescent="0.5">
      <c r="A121" s="1">
        <v>45411</v>
      </c>
      <c r="B121" s="2">
        <v>6</v>
      </c>
    </row>
    <row r="122" spans="1:2" x14ac:dyDescent="0.5">
      <c r="A122" s="1">
        <v>45412</v>
      </c>
      <c r="B122" s="2">
        <v>6</v>
      </c>
    </row>
    <row r="123" spans="1:2" x14ac:dyDescent="0.5">
      <c r="A123" s="1">
        <v>45413</v>
      </c>
      <c r="B123" s="2">
        <v>8</v>
      </c>
    </row>
    <row r="124" spans="1:2" x14ac:dyDescent="0.5">
      <c r="A124" s="1">
        <v>45414</v>
      </c>
      <c r="B124" s="2">
        <v>6</v>
      </c>
    </row>
    <row r="125" spans="1:2" x14ac:dyDescent="0.5">
      <c r="A125" s="1">
        <v>45415</v>
      </c>
      <c r="B125" s="2">
        <v>6</v>
      </c>
    </row>
    <row r="126" spans="1:2" x14ac:dyDescent="0.5">
      <c r="A126" s="1">
        <v>45416</v>
      </c>
      <c r="B126" s="2">
        <v>10</v>
      </c>
    </row>
    <row r="127" spans="1:2" x14ac:dyDescent="0.5">
      <c r="A127" s="1">
        <v>45417</v>
      </c>
      <c r="B127" s="2">
        <v>6</v>
      </c>
    </row>
    <row r="128" spans="1:2" x14ac:dyDescent="0.5">
      <c r="A128" s="1">
        <v>45418</v>
      </c>
      <c r="B128" s="2">
        <v>4</v>
      </c>
    </row>
    <row r="129" spans="1:2" x14ac:dyDescent="0.5">
      <c r="A129" s="1">
        <v>45419</v>
      </c>
      <c r="B129" s="2">
        <v>6</v>
      </c>
    </row>
    <row r="130" spans="1:2" x14ac:dyDescent="0.5">
      <c r="A130" s="1">
        <v>45420</v>
      </c>
      <c r="B130" s="2">
        <v>6</v>
      </c>
    </row>
    <row r="131" spans="1:2" x14ac:dyDescent="0.5">
      <c r="A131" s="1">
        <v>45421</v>
      </c>
      <c r="B131" s="2">
        <v>6</v>
      </c>
    </row>
    <row r="132" spans="1:2" x14ac:dyDescent="0.5">
      <c r="A132" s="1">
        <v>45422</v>
      </c>
      <c r="B132" s="2">
        <v>8</v>
      </c>
    </row>
    <row r="133" spans="1:2" x14ac:dyDescent="0.5">
      <c r="A133" s="1">
        <v>45423</v>
      </c>
      <c r="B133" s="2">
        <v>8</v>
      </c>
    </row>
    <row r="134" spans="1:2" x14ac:dyDescent="0.5">
      <c r="A134" s="1">
        <v>45424</v>
      </c>
      <c r="B134" s="2">
        <v>6</v>
      </c>
    </row>
    <row r="135" spans="1:2" x14ac:dyDescent="0.5">
      <c r="A135" s="1">
        <v>45425</v>
      </c>
      <c r="B135" s="2">
        <v>6</v>
      </c>
    </row>
    <row r="136" spans="1:2" x14ac:dyDescent="0.5">
      <c r="A136" s="1">
        <v>45426</v>
      </c>
      <c r="B136" s="2">
        <v>6</v>
      </c>
    </row>
    <row r="137" spans="1:2" x14ac:dyDescent="0.5">
      <c r="A137" s="1">
        <v>45427</v>
      </c>
      <c r="B137" s="2">
        <v>6</v>
      </c>
    </row>
    <row r="138" spans="1:2" x14ac:dyDescent="0.5">
      <c r="A138" s="1">
        <v>45428</v>
      </c>
      <c r="B138" s="2">
        <v>4</v>
      </c>
    </row>
    <row r="139" spans="1:2" x14ac:dyDescent="0.5">
      <c r="A139" s="1">
        <v>45429</v>
      </c>
      <c r="B139" s="2">
        <v>4</v>
      </c>
    </row>
    <row r="140" spans="1:2" x14ac:dyDescent="0.5">
      <c r="A140" s="1">
        <v>45430</v>
      </c>
      <c r="B140" s="2">
        <v>6</v>
      </c>
    </row>
    <row r="141" spans="1:2" x14ac:dyDescent="0.5">
      <c r="A141" s="1">
        <v>45431</v>
      </c>
      <c r="B141" s="2">
        <v>4</v>
      </c>
    </row>
    <row r="142" spans="1:2" x14ac:dyDescent="0.5">
      <c r="A142" s="1">
        <v>45432</v>
      </c>
      <c r="B142" s="2">
        <v>4</v>
      </c>
    </row>
    <row r="143" spans="1:2" x14ac:dyDescent="0.5">
      <c r="A143" s="1">
        <v>45433</v>
      </c>
      <c r="B143" s="2">
        <v>6</v>
      </c>
    </row>
    <row r="144" spans="1:2" x14ac:dyDescent="0.5">
      <c r="A144" s="1">
        <v>45434</v>
      </c>
      <c r="B144" s="2">
        <v>6</v>
      </c>
    </row>
    <row r="145" spans="1:2" x14ac:dyDescent="0.5">
      <c r="A145" s="1">
        <v>45435</v>
      </c>
      <c r="B145" s="2">
        <v>8</v>
      </c>
    </row>
    <row r="146" spans="1:2" x14ac:dyDescent="0.5">
      <c r="A146" s="1">
        <v>45436</v>
      </c>
      <c r="B146" s="2">
        <v>8</v>
      </c>
    </row>
    <row r="147" spans="1:2" x14ac:dyDescent="0.5">
      <c r="A147" s="1">
        <v>45437</v>
      </c>
      <c r="B147" s="2">
        <v>8</v>
      </c>
    </row>
    <row r="148" spans="1:2" x14ac:dyDescent="0.5">
      <c r="A148" s="1">
        <v>45438</v>
      </c>
      <c r="B148" s="2">
        <v>6</v>
      </c>
    </row>
    <row r="149" spans="1:2" x14ac:dyDescent="0.5">
      <c r="A149" s="1">
        <v>45439</v>
      </c>
      <c r="B149" s="2">
        <v>4</v>
      </c>
    </row>
    <row r="150" spans="1:2" x14ac:dyDescent="0.5">
      <c r="A150" s="1">
        <v>45440</v>
      </c>
      <c r="B150" s="2">
        <v>6</v>
      </c>
    </row>
    <row r="151" spans="1:2" x14ac:dyDescent="0.5">
      <c r="A151" s="1">
        <v>45441</v>
      </c>
      <c r="B151" s="2">
        <v>6</v>
      </c>
    </row>
    <row r="152" spans="1:2" x14ac:dyDescent="0.5">
      <c r="A152" s="1">
        <v>45442</v>
      </c>
      <c r="B152" s="2">
        <v>6</v>
      </c>
    </row>
    <row r="153" spans="1:2" x14ac:dyDescent="0.5">
      <c r="A153" s="1">
        <v>45443</v>
      </c>
      <c r="B153" s="2">
        <v>6</v>
      </c>
    </row>
    <row r="154" spans="1:2" x14ac:dyDescent="0.5">
      <c r="A154" s="1">
        <v>45444</v>
      </c>
      <c r="B154" s="2">
        <v>6</v>
      </c>
    </row>
    <row r="155" spans="1:2" x14ac:dyDescent="0.5">
      <c r="A155" s="1">
        <v>45445</v>
      </c>
      <c r="B155" s="2">
        <v>6</v>
      </c>
    </row>
    <row r="156" spans="1:2" x14ac:dyDescent="0.5">
      <c r="A156" s="1">
        <v>45446</v>
      </c>
      <c r="B156" s="2">
        <v>4</v>
      </c>
    </row>
    <row r="157" spans="1:2" x14ac:dyDescent="0.5">
      <c r="A157" s="1">
        <v>45447</v>
      </c>
      <c r="B157" s="2">
        <v>8</v>
      </c>
    </row>
    <row r="158" spans="1:2" x14ac:dyDescent="0.5">
      <c r="A158" s="1">
        <v>45448</v>
      </c>
      <c r="B158" s="2">
        <v>10</v>
      </c>
    </row>
    <row r="159" spans="1:2" x14ac:dyDescent="0.5">
      <c r="A159" s="1">
        <v>45449</v>
      </c>
      <c r="B159" s="2">
        <v>6</v>
      </c>
    </row>
    <row r="160" spans="1:2" x14ac:dyDescent="0.5">
      <c r="A160" s="1">
        <v>45450</v>
      </c>
      <c r="B160" s="2">
        <v>4</v>
      </c>
    </row>
    <row r="161" spans="1:2" x14ac:dyDescent="0.5">
      <c r="A161" s="1">
        <v>45451</v>
      </c>
      <c r="B161" s="2">
        <v>6</v>
      </c>
    </row>
    <row r="162" spans="1:2" x14ac:dyDescent="0.5">
      <c r="A162" s="1">
        <v>45452</v>
      </c>
      <c r="B162" s="2">
        <v>6</v>
      </c>
    </row>
    <row r="163" spans="1:2" x14ac:dyDescent="0.5">
      <c r="A163" s="1">
        <v>45453</v>
      </c>
      <c r="B163" s="2">
        <v>6</v>
      </c>
    </row>
    <row r="164" spans="1:2" x14ac:dyDescent="0.5">
      <c r="A164" s="1">
        <v>45454</v>
      </c>
      <c r="B164" s="2">
        <v>0</v>
      </c>
    </row>
    <row r="165" spans="1:2" x14ac:dyDescent="0.5">
      <c r="A165" s="1">
        <v>45455</v>
      </c>
      <c r="B165" s="2">
        <v>4</v>
      </c>
    </row>
    <row r="166" spans="1:2" x14ac:dyDescent="0.5">
      <c r="A166" s="1">
        <v>45456</v>
      </c>
      <c r="B166" s="2">
        <v>4</v>
      </c>
    </row>
    <row r="167" spans="1:2" x14ac:dyDescent="0.5">
      <c r="A167" s="1">
        <v>45457</v>
      </c>
      <c r="B167" s="2">
        <v>4</v>
      </c>
    </row>
    <row r="168" spans="1:2" x14ac:dyDescent="0.5">
      <c r="A168" s="1">
        <v>45458</v>
      </c>
      <c r="B168" s="2">
        <v>6</v>
      </c>
    </row>
    <row r="169" spans="1:2" x14ac:dyDescent="0.5">
      <c r="A169" s="1">
        <v>45459</v>
      </c>
      <c r="B169" s="2">
        <v>6</v>
      </c>
    </row>
    <row r="170" spans="1:2" x14ac:dyDescent="0.5">
      <c r="A170" s="1">
        <v>45460</v>
      </c>
      <c r="B170" s="2">
        <v>4</v>
      </c>
    </row>
    <row r="171" spans="1:2" x14ac:dyDescent="0.5">
      <c r="A171" s="1">
        <v>45461</v>
      </c>
      <c r="B171" s="2">
        <v>4</v>
      </c>
    </row>
    <row r="172" spans="1:2" x14ac:dyDescent="0.5">
      <c r="A172" s="1">
        <v>45462</v>
      </c>
      <c r="B172" s="2">
        <v>10</v>
      </c>
    </row>
    <row r="173" spans="1:2" x14ac:dyDescent="0.5">
      <c r="A173" s="1">
        <v>45463</v>
      </c>
      <c r="B173" s="2">
        <v>2</v>
      </c>
    </row>
    <row r="174" spans="1:2" x14ac:dyDescent="0.5">
      <c r="A174" s="1">
        <v>45464</v>
      </c>
      <c r="B174" s="2">
        <v>2</v>
      </c>
    </row>
    <row r="175" spans="1:2" x14ac:dyDescent="0.5">
      <c r="A175" s="1">
        <v>45465</v>
      </c>
      <c r="B175" s="2">
        <v>4</v>
      </c>
    </row>
    <row r="176" spans="1:2" x14ac:dyDescent="0.5">
      <c r="A176" s="1">
        <v>45466</v>
      </c>
      <c r="B176" s="2">
        <v>4</v>
      </c>
    </row>
    <row r="177" spans="1:2" x14ac:dyDescent="0.5">
      <c r="A177" s="1">
        <v>45467</v>
      </c>
      <c r="B177" s="2">
        <v>6</v>
      </c>
    </row>
    <row r="178" spans="1:2" x14ac:dyDescent="0.5">
      <c r="A178" s="1">
        <v>45468</v>
      </c>
      <c r="B178" s="2">
        <v>4</v>
      </c>
    </row>
    <row r="179" spans="1:2" x14ac:dyDescent="0.5">
      <c r="A179" s="1">
        <v>45469</v>
      </c>
      <c r="B179" s="2">
        <v>4</v>
      </c>
    </row>
    <row r="180" spans="1:2" x14ac:dyDescent="0.5">
      <c r="A180" s="1">
        <v>45470</v>
      </c>
      <c r="B180" s="2">
        <v>6</v>
      </c>
    </row>
    <row r="181" spans="1:2" x14ac:dyDescent="0.5">
      <c r="A181" s="1">
        <v>45471</v>
      </c>
      <c r="B181" s="2">
        <v>10</v>
      </c>
    </row>
    <row r="182" spans="1:2" x14ac:dyDescent="0.5">
      <c r="A182" s="1">
        <v>45472</v>
      </c>
      <c r="B182" s="2">
        <v>8</v>
      </c>
    </row>
    <row r="183" spans="1:2" x14ac:dyDescent="0.5">
      <c r="A183" s="1">
        <v>45473</v>
      </c>
      <c r="B183" s="2">
        <v>6</v>
      </c>
    </row>
    <row r="184" spans="1:2" x14ac:dyDescent="0.5">
      <c r="A184" s="1">
        <v>45474</v>
      </c>
      <c r="B184" s="2">
        <v>6</v>
      </c>
    </row>
    <row r="185" spans="1:2" x14ac:dyDescent="0.5">
      <c r="A185" s="1">
        <v>45475</v>
      </c>
      <c r="B185" s="2">
        <v>4</v>
      </c>
    </row>
    <row r="186" spans="1:2" x14ac:dyDescent="0.5">
      <c r="A186" s="1">
        <v>45476</v>
      </c>
      <c r="B186" s="2">
        <v>2</v>
      </c>
    </row>
    <row r="187" spans="1:2" x14ac:dyDescent="0.5">
      <c r="A187" s="1">
        <v>45477</v>
      </c>
      <c r="B187" s="2">
        <v>4</v>
      </c>
    </row>
    <row r="188" spans="1:2" x14ac:dyDescent="0.5">
      <c r="A188" s="1">
        <v>45478</v>
      </c>
      <c r="B188" s="2">
        <v>4</v>
      </c>
    </row>
    <row r="189" spans="1:2" x14ac:dyDescent="0.5">
      <c r="A189" s="1">
        <v>45479</v>
      </c>
      <c r="B189" s="2">
        <v>10</v>
      </c>
    </row>
    <row r="190" spans="1:2" x14ac:dyDescent="0.5">
      <c r="A190" s="1">
        <v>45480</v>
      </c>
      <c r="B190" s="2">
        <v>6</v>
      </c>
    </row>
    <row r="191" spans="1:2" x14ac:dyDescent="0.5">
      <c r="A191" s="1">
        <v>45481</v>
      </c>
      <c r="B191" s="2">
        <v>4</v>
      </c>
    </row>
    <row r="192" spans="1:2" x14ac:dyDescent="0.5">
      <c r="A192" s="1">
        <v>45482</v>
      </c>
      <c r="B192" s="2">
        <v>4</v>
      </c>
    </row>
    <row r="193" spans="1:2" x14ac:dyDescent="0.5">
      <c r="A193" s="1">
        <v>45483</v>
      </c>
      <c r="B193" s="2">
        <v>4</v>
      </c>
    </row>
    <row r="194" spans="1:2" x14ac:dyDescent="0.5">
      <c r="A194" s="1">
        <v>45484</v>
      </c>
      <c r="B194" s="2">
        <v>6</v>
      </c>
    </row>
    <row r="195" spans="1:2" x14ac:dyDescent="0.5">
      <c r="A195" s="1">
        <v>45485</v>
      </c>
      <c r="B195" s="2">
        <v>4</v>
      </c>
    </row>
    <row r="196" spans="1:2" x14ac:dyDescent="0.5">
      <c r="A196" s="1">
        <v>45486</v>
      </c>
      <c r="B196" s="2">
        <v>10</v>
      </c>
    </row>
    <row r="197" spans="1:2" x14ac:dyDescent="0.5">
      <c r="A197" s="1">
        <v>45487</v>
      </c>
      <c r="B197" s="2">
        <v>6</v>
      </c>
    </row>
    <row r="198" spans="1:2" x14ac:dyDescent="0.5">
      <c r="A198" s="1">
        <v>45488</v>
      </c>
      <c r="B198" s="2">
        <v>4</v>
      </c>
    </row>
    <row r="199" spans="1:2" x14ac:dyDescent="0.5">
      <c r="A199" s="1">
        <v>45489</v>
      </c>
      <c r="B199" s="2">
        <v>4</v>
      </c>
    </row>
    <row r="200" spans="1:2" x14ac:dyDescent="0.5">
      <c r="A200" s="1">
        <v>45490</v>
      </c>
      <c r="B200" s="2">
        <v>6</v>
      </c>
    </row>
    <row r="201" spans="1:2" x14ac:dyDescent="0.5">
      <c r="A201" s="1">
        <v>45491</v>
      </c>
      <c r="B201" s="2">
        <v>4</v>
      </c>
    </row>
    <row r="202" spans="1:2" x14ac:dyDescent="0.5">
      <c r="A202" s="1">
        <v>45492</v>
      </c>
      <c r="B202" s="2">
        <v>2</v>
      </c>
    </row>
    <row r="203" spans="1:2" x14ac:dyDescent="0.5">
      <c r="A203" s="1">
        <v>45493</v>
      </c>
      <c r="B203" s="2">
        <v>8</v>
      </c>
    </row>
    <row r="204" spans="1:2" x14ac:dyDescent="0.5">
      <c r="A204" s="1">
        <v>45494</v>
      </c>
      <c r="B204" s="2">
        <v>6</v>
      </c>
    </row>
    <row r="205" spans="1:2" x14ac:dyDescent="0.5">
      <c r="A205" s="1">
        <v>45495</v>
      </c>
      <c r="B205" s="2">
        <v>4</v>
      </c>
    </row>
    <row r="206" spans="1:2" x14ac:dyDescent="0.5">
      <c r="A206" s="1">
        <v>45496</v>
      </c>
      <c r="B206" s="2">
        <v>4</v>
      </c>
    </row>
    <row r="207" spans="1:2" x14ac:dyDescent="0.5">
      <c r="A207" s="1">
        <v>45497</v>
      </c>
      <c r="B207" s="2">
        <v>2</v>
      </c>
    </row>
    <row r="208" spans="1:2" x14ac:dyDescent="0.5">
      <c r="A208" s="1">
        <v>45498</v>
      </c>
      <c r="B208" s="2">
        <v>4</v>
      </c>
    </row>
    <row r="209" spans="1:2" x14ac:dyDescent="0.5">
      <c r="A209" s="1">
        <v>45499</v>
      </c>
      <c r="B209" s="2">
        <v>4</v>
      </c>
    </row>
    <row r="210" spans="1:2" x14ac:dyDescent="0.5">
      <c r="A210" s="1">
        <v>45500</v>
      </c>
      <c r="B210" s="2">
        <v>6</v>
      </c>
    </row>
    <row r="211" spans="1:2" x14ac:dyDescent="0.5">
      <c r="A211" s="1">
        <v>45501</v>
      </c>
      <c r="B211" s="2">
        <v>6</v>
      </c>
    </row>
    <row r="212" spans="1:2" x14ac:dyDescent="0.5">
      <c r="A212" s="1">
        <v>45502</v>
      </c>
      <c r="B212" s="2">
        <v>6</v>
      </c>
    </row>
    <row r="213" spans="1:2" x14ac:dyDescent="0.5">
      <c r="A213" s="1">
        <v>45503</v>
      </c>
      <c r="B213" s="2">
        <v>6</v>
      </c>
    </row>
    <row r="214" spans="1:2" x14ac:dyDescent="0.5">
      <c r="A214" s="1">
        <v>45504</v>
      </c>
      <c r="B214" s="2">
        <v>6</v>
      </c>
    </row>
    <row r="215" spans="1:2" x14ac:dyDescent="0.5">
      <c r="A215" s="1">
        <v>45505</v>
      </c>
      <c r="B215" s="2">
        <v>6</v>
      </c>
    </row>
    <row r="216" spans="1:2" x14ac:dyDescent="0.5">
      <c r="A216" s="1">
        <v>45506</v>
      </c>
      <c r="B216" s="2">
        <v>6</v>
      </c>
    </row>
    <row r="217" spans="1:2" x14ac:dyDescent="0.5">
      <c r="A217" s="1">
        <v>45507</v>
      </c>
      <c r="B217" s="2">
        <v>6</v>
      </c>
    </row>
    <row r="218" spans="1:2" x14ac:dyDescent="0.5">
      <c r="A218" s="1">
        <v>45508</v>
      </c>
      <c r="B218" s="2">
        <v>8</v>
      </c>
    </row>
    <row r="219" spans="1:2" x14ac:dyDescent="0.5">
      <c r="A219" s="1">
        <v>45509</v>
      </c>
      <c r="B219" s="2">
        <v>4</v>
      </c>
    </row>
    <row r="220" spans="1:2" x14ac:dyDescent="0.5">
      <c r="A220" s="1">
        <v>45510</v>
      </c>
      <c r="B220" s="2">
        <v>4</v>
      </c>
    </row>
    <row r="221" spans="1:2" x14ac:dyDescent="0.5">
      <c r="A221" s="1">
        <v>45511</v>
      </c>
      <c r="B221" s="2">
        <v>6</v>
      </c>
    </row>
    <row r="222" spans="1:2" x14ac:dyDescent="0.5">
      <c r="A222" s="1">
        <v>45512</v>
      </c>
      <c r="B222" s="2">
        <v>4</v>
      </c>
    </row>
    <row r="223" spans="1:2" x14ac:dyDescent="0.5">
      <c r="A223" s="1">
        <v>45513</v>
      </c>
      <c r="B223" s="2">
        <v>6</v>
      </c>
    </row>
    <row r="224" spans="1:2" x14ac:dyDescent="0.5">
      <c r="A224" s="1">
        <v>45514</v>
      </c>
      <c r="B224" s="2">
        <v>6</v>
      </c>
    </row>
    <row r="225" spans="1:2" x14ac:dyDescent="0.5">
      <c r="A225" s="1">
        <v>45515</v>
      </c>
      <c r="B225" s="2">
        <v>6</v>
      </c>
    </row>
    <row r="226" spans="1:2" x14ac:dyDescent="0.5">
      <c r="A226" s="1">
        <v>45516</v>
      </c>
      <c r="B226" s="2">
        <v>6</v>
      </c>
    </row>
    <row r="227" spans="1:2" x14ac:dyDescent="0.5">
      <c r="A227" s="1">
        <v>45517</v>
      </c>
      <c r="B227" s="2">
        <v>4</v>
      </c>
    </row>
    <row r="228" spans="1:2" x14ac:dyDescent="0.5">
      <c r="A228" s="1">
        <v>45518</v>
      </c>
      <c r="B228" s="2">
        <v>2</v>
      </c>
    </row>
    <row r="229" spans="1:2" x14ac:dyDescent="0.5">
      <c r="A229" s="1">
        <v>45519</v>
      </c>
      <c r="B229" s="2">
        <v>2</v>
      </c>
    </row>
    <row r="230" spans="1:2" x14ac:dyDescent="0.5">
      <c r="A230" s="1">
        <v>45520</v>
      </c>
      <c r="B230" s="2">
        <v>4</v>
      </c>
    </row>
    <row r="231" spans="1:2" x14ac:dyDescent="0.5">
      <c r="A231" s="1">
        <v>45521</v>
      </c>
      <c r="B231" s="2">
        <v>6</v>
      </c>
    </row>
    <row r="232" spans="1:2" x14ac:dyDescent="0.5">
      <c r="A232" s="1">
        <v>45522</v>
      </c>
      <c r="B232" s="2">
        <v>8</v>
      </c>
    </row>
    <row r="233" spans="1:2" x14ac:dyDescent="0.5">
      <c r="A233" s="1">
        <v>45523</v>
      </c>
      <c r="B233" s="2">
        <v>4</v>
      </c>
    </row>
    <row r="234" spans="1:2" x14ac:dyDescent="0.5">
      <c r="A234" s="1">
        <v>45524</v>
      </c>
      <c r="B234" s="2">
        <v>4</v>
      </c>
    </row>
    <row r="235" spans="1:2" x14ac:dyDescent="0.5">
      <c r="A235" s="1">
        <v>45525</v>
      </c>
      <c r="B235" s="2">
        <v>4</v>
      </c>
    </row>
    <row r="236" spans="1:2" x14ac:dyDescent="0.5">
      <c r="A236" s="1">
        <v>45526</v>
      </c>
      <c r="B236" s="2">
        <v>4</v>
      </c>
    </row>
    <row r="237" spans="1:2" x14ac:dyDescent="0.5">
      <c r="A237" s="1">
        <v>45527</v>
      </c>
      <c r="B237" s="2">
        <v>6</v>
      </c>
    </row>
    <row r="238" spans="1:2" x14ac:dyDescent="0.5">
      <c r="A238" s="1">
        <v>45528</v>
      </c>
      <c r="B238" s="2">
        <v>4</v>
      </c>
    </row>
    <row r="239" spans="1:2" x14ac:dyDescent="0.5">
      <c r="A239" s="1">
        <v>45529</v>
      </c>
      <c r="B239" s="2">
        <v>4</v>
      </c>
    </row>
    <row r="240" spans="1:2" x14ac:dyDescent="0.5">
      <c r="A240" s="1">
        <v>45530</v>
      </c>
      <c r="B240" s="2">
        <v>6</v>
      </c>
    </row>
    <row r="241" spans="1:2" x14ac:dyDescent="0.5">
      <c r="A241" s="1">
        <v>45531</v>
      </c>
      <c r="B241" s="2">
        <v>2</v>
      </c>
    </row>
    <row r="242" spans="1:2" x14ac:dyDescent="0.5">
      <c r="A242" s="1">
        <v>45532</v>
      </c>
      <c r="B242" s="2">
        <v>6</v>
      </c>
    </row>
    <row r="243" spans="1:2" x14ac:dyDescent="0.5">
      <c r="A243" s="1">
        <v>45533</v>
      </c>
      <c r="B243" s="2">
        <v>6</v>
      </c>
    </row>
    <row r="244" spans="1:2" x14ac:dyDescent="0.5">
      <c r="A244" s="1">
        <v>45534</v>
      </c>
      <c r="B244" s="2">
        <v>4</v>
      </c>
    </row>
    <row r="245" spans="1:2" x14ac:dyDescent="0.5">
      <c r="A245" s="1">
        <v>45535</v>
      </c>
      <c r="B245" s="2">
        <v>6</v>
      </c>
    </row>
    <row r="246" spans="1:2" x14ac:dyDescent="0.5">
      <c r="A246" s="1">
        <v>45536</v>
      </c>
      <c r="B246" s="2">
        <v>4</v>
      </c>
    </row>
    <row r="247" spans="1:2" x14ac:dyDescent="0.5">
      <c r="A247" s="1">
        <v>45537</v>
      </c>
      <c r="B247" s="2">
        <v>4</v>
      </c>
    </row>
    <row r="248" spans="1:2" x14ac:dyDescent="0.5">
      <c r="A248" s="1">
        <v>45538</v>
      </c>
      <c r="B248" s="2">
        <v>6</v>
      </c>
    </row>
    <row r="249" spans="1:2" x14ac:dyDescent="0.5">
      <c r="A249" s="1">
        <v>45539</v>
      </c>
      <c r="B249" s="2">
        <v>4</v>
      </c>
    </row>
    <row r="250" spans="1:2" x14ac:dyDescent="0.5">
      <c r="A250" s="1">
        <v>45540</v>
      </c>
      <c r="B250" s="2">
        <v>6</v>
      </c>
    </row>
    <row r="251" spans="1:2" x14ac:dyDescent="0.5">
      <c r="A251" s="1">
        <v>45541</v>
      </c>
      <c r="B251" s="2">
        <v>4</v>
      </c>
    </row>
    <row r="252" spans="1:2" x14ac:dyDescent="0.5">
      <c r="A252" s="1">
        <v>45542</v>
      </c>
      <c r="B252" s="2">
        <v>4</v>
      </c>
    </row>
    <row r="253" spans="1:2" x14ac:dyDescent="0.5">
      <c r="A253" s="1">
        <v>45543</v>
      </c>
      <c r="B253" s="2">
        <v>6</v>
      </c>
    </row>
    <row r="254" spans="1:2" x14ac:dyDescent="0.5">
      <c r="A254" s="1">
        <v>45544</v>
      </c>
      <c r="B254" s="2">
        <v>4</v>
      </c>
    </row>
    <row r="255" spans="1:2" x14ac:dyDescent="0.5">
      <c r="A255" s="1">
        <v>45545</v>
      </c>
      <c r="B255" s="2">
        <v>4</v>
      </c>
    </row>
    <row r="256" spans="1:2" x14ac:dyDescent="0.5">
      <c r="A256" s="1">
        <v>45546</v>
      </c>
      <c r="B256" s="2">
        <v>6</v>
      </c>
    </row>
    <row r="257" spans="1:2" x14ac:dyDescent="0.5">
      <c r="A257" s="1">
        <v>45547</v>
      </c>
      <c r="B257" s="2">
        <v>6</v>
      </c>
    </row>
    <row r="258" spans="1:2" x14ac:dyDescent="0.5">
      <c r="A258" s="1">
        <v>45548</v>
      </c>
      <c r="B258" s="2">
        <v>10</v>
      </c>
    </row>
    <row r="259" spans="1:2" x14ac:dyDescent="0.5">
      <c r="A259" s="1">
        <v>45549</v>
      </c>
      <c r="B259" s="2">
        <v>8</v>
      </c>
    </row>
    <row r="260" spans="1:2" x14ac:dyDescent="0.5">
      <c r="A260" s="1">
        <v>45550</v>
      </c>
      <c r="B260" s="2">
        <v>6</v>
      </c>
    </row>
    <row r="261" spans="1:2" x14ac:dyDescent="0.5">
      <c r="A261" s="1">
        <v>45551</v>
      </c>
      <c r="B261" s="2">
        <v>6</v>
      </c>
    </row>
    <row r="262" spans="1:2" x14ac:dyDescent="0.5">
      <c r="A262" s="1">
        <v>45552</v>
      </c>
      <c r="B262" s="2">
        <v>4</v>
      </c>
    </row>
    <row r="263" spans="1:2" x14ac:dyDescent="0.5">
      <c r="A263" s="1">
        <v>45553</v>
      </c>
      <c r="B263" s="2">
        <v>2</v>
      </c>
    </row>
    <row r="264" spans="1:2" x14ac:dyDescent="0.5">
      <c r="A264" s="1">
        <v>45554</v>
      </c>
      <c r="B264" s="2">
        <v>4</v>
      </c>
    </row>
    <row r="265" spans="1:2" x14ac:dyDescent="0.5">
      <c r="A265" s="1">
        <v>45555</v>
      </c>
      <c r="B265" s="2">
        <v>4</v>
      </c>
    </row>
    <row r="266" spans="1:2" x14ac:dyDescent="0.5">
      <c r="A266" s="1">
        <v>45556</v>
      </c>
      <c r="B266" s="2">
        <v>6</v>
      </c>
    </row>
    <row r="267" spans="1:2" x14ac:dyDescent="0.5">
      <c r="A267" s="1">
        <v>45557</v>
      </c>
      <c r="B267" s="2">
        <v>6</v>
      </c>
    </row>
    <row r="268" spans="1:2" x14ac:dyDescent="0.5">
      <c r="A268" s="1">
        <v>45558</v>
      </c>
      <c r="B268" s="2">
        <v>4</v>
      </c>
    </row>
    <row r="269" spans="1:2" x14ac:dyDescent="0.5">
      <c r="A269" s="1">
        <v>45559</v>
      </c>
      <c r="B269" s="2">
        <v>2</v>
      </c>
    </row>
    <row r="270" spans="1:2" x14ac:dyDescent="0.5">
      <c r="A270" s="1">
        <v>45560</v>
      </c>
      <c r="B270" s="2">
        <v>6</v>
      </c>
    </row>
    <row r="271" spans="1:2" x14ac:dyDescent="0.5">
      <c r="A271" s="1">
        <v>45561</v>
      </c>
      <c r="B271" s="2">
        <v>8</v>
      </c>
    </row>
    <row r="272" spans="1:2" x14ac:dyDescent="0.5">
      <c r="A272" s="1">
        <v>45562</v>
      </c>
      <c r="B272" s="2">
        <v>4</v>
      </c>
    </row>
    <row r="273" spans="1:2" x14ac:dyDescent="0.5">
      <c r="A273" s="1">
        <v>45563</v>
      </c>
      <c r="B273" s="2">
        <v>6</v>
      </c>
    </row>
    <row r="274" spans="1:2" x14ac:dyDescent="0.5">
      <c r="A274" s="1">
        <v>45564</v>
      </c>
      <c r="B274" s="2">
        <v>8</v>
      </c>
    </row>
    <row r="275" spans="1:2" x14ac:dyDescent="0.5">
      <c r="A275" s="1">
        <v>45565</v>
      </c>
      <c r="B275" s="2">
        <v>6</v>
      </c>
    </row>
    <row r="276" spans="1:2" x14ac:dyDescent="0.5">
      <c r="A276" s="1">
        <v>45566</v>
      </c>
      <c r="B276" s="2">
        <v>4</v>
      </c>
    </row>
    <row r="277" spans="1:2" x14ac:dyDescent="0.5">
      <c r="A277" s="1">
        <v>45567</v>
      </c>
      <c r="B277" s="2">
        <v>6</v>
      </c>
    </row>
    <row r="278" spans="1:2" x14ac:dyDescent="0.5">
      <c r="A278" s="1">
        <v>45568</v>
      </c>
      <c r="B278" s="2">
        <v>6</v>
      </c>
    </row>
    <row r="279" spans="1:2" x14ac:dyDescent="0.5">
      <c r="A279" s="1">
        <v>45569</v>
      </c>
      <c r="B279" s="2">
        <v>6</v>
      </c>
    </row>
    <row r="280" spans="1:2" x14ac:dyDescent="0.5">
      <c r="A280" s="1">
        <v>45570</v>
      </c>
      <c r="B280" s="2">
        <v>2</v>
      </c>
    </row>
    <row r="281" spans="1:2" x14ac:dyDescent="0.5">
      <c r="A281" s="1">
        <v>45571</v>
      </c>
      <c r="B281" s="2">
        <v>4</v>
      </c>
    </row>
    <row r="282" spans="1:2" x14ac:dyDescent="0.5">
      <c r="A282" s="1">
        <v>45572</v>
      </c>
      <c r="B282" s="2">
        <v>0</v>
      </c>
    </row>
    <row r="283" spans="1:2" x14ac:dyDescent="0.5">
      <c r="A283" s="1">
        <v>45573</v>
      </c>
      <c r="B283" s="2">
        <v>2</v>
      </c>
    </row>
    <row r="284" spans="1:2" x14ac:dyDescent="0.5">
      <c r="A284" s="1">
        <v>45574</v>
      </c>
      <c r="B284" s="2">
        <v>6</v>
      </c>
    </row>
    <row r="285" spans="1:2" x14ac:dyDescent="0.5">
      <c r="A285" s="1">
        <v>45575</v>
      </c>
      <c r="B285" s="2">
        <v>6</v>
      </c>
    </row>
    <row r="286" spans="1:2" x14ac:dyDescent="0.5">
      <c r="A286" s="1">
        <v>45576</v>
      </c>
      <c r="B286" s="2">
        <v>8</v>
      </c>
    </row>
    <row r="287" spans="1:2" x14ac:dyDescent="0.5">
      <c r="A287" s="1">
        <v>45577</v>
      </c>
      <c r="B287" s="2">
        <v>8</v>
      </c>
    </row>
    <row r="288" spans="1:2" x14ac:dyDescent="0.5">
      <c r="A288" s="1">
        <v>45578</v>
      </c>
      <c r="B288" s="2">
        <v>6</v>
      </c>
    </row>
    <row r="289" spans="1:2" x14ac:dyDescent="0.5">
      <c r="A289" s="1">
        <v>45579</v>
      </c>
      <c r="B289" s="2">
        <v>6</v>
      </c>
    </row>
    <row r="290" spans="1:2" x14ac:dyDescent="0.5">
      <c r="A290" s="1">
        <v>45580</v>
      </c>
      <c r="B290" s="2">
        <v>6</v>
      </c>
    </row>
    <row r="291" spans="1:2" x14ac:dyDescent="0.5">
      <c r="A291" s="1">
        <v>45581</v>
      </c>
      <c r="B291" s="2">
        <v>4</v>
      </c>
    </row>
    <row r="292" spans="1:2" x14ac:dyDescent="0.5">
      <c r="A292" s="1">
        <v>45582</v>
      </c>
      <c r="B292" s="2">
        <v>6</v>
      </c>
    </row>
    <row r="293" spans="1:2" x14ac:dyDescent="0.5">
      <c r="A293" s="1">
        <v>45583</v>
      </c>
      <c r="B293" s="2">
        <v>8</v>
      </c>
    </row>
    <row r="294" spans="1:2" x14ac:dyDescent="0.5">
      <c r="A294" s="1">
        <v>45584</v>
      </c>
      <c r="B294" s="2">
        <v>6</v>
      </c>
    </row>
    <row r="295" spans="1:2" x14ac:dyDescent="0.5">
      <c r="A295" s="1">
        <v>45585</v>
      </c>
      <c r="B295" s="2">
        <v>6</v>
      </c>
    </row>
    <row r="296" spans="1:2" x14ac:dyDescent="0.5">
      <c r="A296" s="1">
        <v>45586</v>
      </c>
      <c r="B296" s="2">
        <v>6</v>
      </c>
    </row>
    <row r="297" spans="1:2" x14ac:dyDescent="0.5">
      <c r="A297" s="1">
        <v>45587</v>
      </c>
      <c r="B297" s="2">
        <v>6</v>
      </c>
    </row>
    <row r="298" spans="1:2" x14ac:dyDescent="0.5">
      <c r="A298" s="1">
        <v>45588</v>
      </c>
      <c r="B298" s="2">
        <v>4</v>
      </c>
    </row>
    <row r="299" spans="1:2" x14ac:dyDescent="0.5">
      <c r="A299" s="1">
        <v>45589</v>
      </c>
      <c r="B299" s="2">
        <v>4</v>
      </c>
    </row>
    <row r="300" spans="1:2" x14ac:dyDescent="0.5">
      <c r="A300" s="1">
        <v>45590</v>
      </c>
      <c r="B300" s="2">
        <v>6</v>
      </c>
    </row>
    <row r="301" spans="1:2" x14ac:dyDescent="0.5">
      <c r="A301" s="1">
        <v>45591</v>
      </c>
      <c r="B301" s="2">
        <v>6</v>
      </c>
    </row>
    <row r="302" spans="1:2" x14ac:dyDescent="0.5">
      <c r="A302" s="1">
        <v>45592</v>
      </c>
      <c r="B302" s="2">
        <v>4</v>
      </c>
    </row>
    <row r="303" spans="1:2" x14ac:dyDescent="0.5">
      <c r="A303" s="1">
        <v>45593</v>
      </c>
      <c r="B303" s="2">
        <v>6</v>
      </c>
    </row>
    <row r="304" spans="1:2" x14ac:dyDescent="0.5">
      <c r="A304" s="1">
        <v>45594</v>
      </c>
      <c r="B304" s="2">
        <v>8</v>
      </c>
    </row>
    <row r="305" spans="1:2" x14ac:dyDescent="0.5">
      <c r="A305" s="1">
        <v>45595</v>
      </c>
      <c r="B305" s="2">
        <v>8</v>
      </c>
    </row>
    <row r="306" spans="1:2" x14ac:dyDescent="0.5">
      <c r="A306" s="1">
        <v>45596</v>
      </c>
      <c r="B306" s="2">
        <v>10</v>
      </c>
    </row>
    <row r="307" spans="1:2" x14ac:dyDescent="0.5">
      <c r="A307" s="1">
        <v>45597</v>
      </c>
      <c r="B307" s="2">
        <v>6</v>
      </c>
    </row>
    <row r="308" spans="1:2" x14ac:dyDescent="0.5">
      <c r="A308" s="1">
        <v>45598</v>
      </c>
      <c r="B308" s="2">
        <v>2</v>
      </c>
    </row>
    <row r="309" spans="1:2" x14ac:dyDescent="0.5">
      <c r="A309" s="1">
        <v>45599</v>
      </c>
      <c r="B309" s="2">
        <v>0</v>
      </c>
    </row>
    <row r="310" spans="1:2" x14ac:dyDescent="0.5">
      <c r="A310" s="1">
        <v>45600</v>
      </c>
      <c r="B310" s="2">
        <v>4</v>
      </c>
    </row>
    <row r="311" spans="1:2" x14ac:dyDescent="0.5">
      <c r="A311" s="1">
        <v>45601</v>
      </c>
      <c r="B311" s="2">
        <v>6</v>
      </c>
    </row>
    <row r="312" spans="1:2" x14ac:dyDescent="0.5">
      <c r="A312" s="1">
        <v>45602</v>
      </c>
      <c r="B312" s="2">
        <v>6</v>
      </c>
    </row>
    <row r="313" spans="1:2" x14ac:dyDescent="0.5">
      <c r="A313" s="1">
        <v>45603</v>
      </c>
      <c r="B313" s="2">
        <v>6</v>
      </c>
    </row>
    <row r="314" spans="1:2" x14ac:dyDescent="0.5">
      <c r="A314" s="1">
        <v>45604</v>
      </c>
      <c r="B314" s="2">
        <v>8</v>
      </c>
    </row>
    <row r="315" spans="1:2" x14ac:dyDescent="0.5">
      <c r="A315" s="1">
        <v>45605</v>
      </c>
      <c r="B315" s="2">
        <v>6</v>
      </c>
    </row>
    <row r="316" spans="1:2" x14ac:dyDescent="0.5">
      <c r="A316" s="1">
        <v>45606</v>
      </c>
      <c r="B316" s="2">
        <v>8</v>
      </c>
    </row>
    <row r="317" spans="1:2" x14ac:dyDescent="0.5">
      <c r="A317" s="1">
        <v>45607</v>
      </c>
      <c r="B317" s="2">
        <v>8</v>
      </c>
    </row>
    <row r="318" spans="1:2" x14ac:dyDescent="0.5">
      <c r="A318" s="1">
        <v>45608</v>
      </c>
      <c r="B318" s="2">
        <v>2</v>
      </c>
    </row>
    <row r="319" spans="1:2" x14ac:dyDescent="0.5">
      <c r="A319" s="1">
        <v>45609</v>
      </c>
      <c r="B319" s="2">
        <v>6</v>
      </c>
    </row>
    <row r="320" spans="1:2" x14ac:dyDescent="0.5">
      <c r="A320" s="1">
        <v>45610</v>
      </c>
      <c r="B320" s="2">
        <v>8</v>
      </c>
    </row>
    <row r="321" spans="1:2" x14ac:dyDescent="0.5">
      <c r="A321" s="1">
        <v>45611</v>
      </c>
      <c r="B321" s="2">
        <v>8</v>
      </c>
    </row>
    <row r="322" spans="1:2" x14ac:dyDescent="0.5">
      <c r="A322" s="1">
        <v>45612</v>
      </c>
      <c r="B322" s="2">
        <v>6</v>
      </c>
    </row>
    <row r="323" spans="1:2" x14ac:dyDescent="0.5">
      <c r="A323" s="1">
        <v>45613</v>
      </c>
      <c r="B323" s="2">
        <v>6</v>
      </c>
    </row>
    <row r="324" spans="1:2" x14ac:dyDescent="0.5">
      <c r="A324" s="1">
        <v>45614</v>
      </c>
      <c r="B324" s="2">
        <v>4</v>
      </c>
    </row>
    <row r="325" spans="1:2" x14ac:dyDescent="0.5">
      <c r="A325" s="1">
        <v>45615</v>
      </c>
      <c r="B325" s="2">
        <v>8</v>
      </c>
    </row>
    <row r="326" spans="1:2" x14ac:dyDescent="0.5">
      <c r="A326" s="1">
        <v>45616</v>
      </c>
      <c r="B326" s="2">
        <v>6</v>
      </c>
    </row>
    <row r="327" spans="1:2" x14ac:dyDescent="0.5">
      <c r="A327" s="1">
        <v>45617</v>
      </c>
      <c r="B327" s="2">
        <v>4</v>
      </c>
    </row>
    <row r="328" spans="1:2" x14ac:dyDescent="0.5">
      <c r="A328" s="1">
        <v>45618</v>
      </c>
      <c r="B328" s="2">
        <v>4</v>
      </c>
    </row>
    <row r="329" spans="1:2" x14ac:dyDescent="0.5">
      <c r="A329" s="1">
        <v>45619</v>
      </c>
      <c r="B329" s="2">
        <v>6</v>
      </c>
    </row>
    <row r="330" spans="1:2" x14ac:dyDescent="0.5">
      <c r="A330" s="1">
        <v>45620</v>
      </c>
      <c r="B330" s="2">
        <v>8</v>
      </c>
    </row>
    <row r="331" spans="1:2" x14ac:dyDescent="0.5">
      <c r="A331" s="1">
        <v>45621</v>
      </c>
      <c r="B331" s="2">
        <v>4</v>
      </c>
    </row>
    <row r="332" spans="1:2" x14ac:dyDescent="0.5">
      <c r="A332" s="1">
        <v>45622</v>
      </c>
      <c r="B332" s="2">
        <v>6</v>
      </c>
    </row>
    <row r="333" spans="1:2" x14ac:dyDescent="0.5">
      <c r="A333" s="1">
        <v>45623</v>
      </c>
      <c r="B333" s="2">
        <v>6</v>
      </c>
    </row>
    <row r="334" spans="1:2" x14ac:dyDescent="0.5">
      <c r="A334" s="1">
        <v>45624</v>
      </c>
      <c r="B334" s="2">
        <v>2</v>
      </c>
    </row>
    <row r="335" spans="1:2" x14ac:dyDescent="0.5">
      <c r="A335" s="1">
        <v>45625</v>
      </c>
      <c r="B335" s="2">
        <v>6</v>
      </c>
    </row>
    <row r="336" spans="1:2" x14ac:dyDescent="0.5">
      <c r="A336" s="1">
        <v>45626</v>
      </c>
      <c r="B336" s="2">
        <v>6</v>
      </c>
    </row>
    <row r="337" spans="1:2" x14ac:dyDescent="0.5">
      <c r="A337" s="1">
        <v>45627</v>
      </c>
      <c r="B337" s="2">
        <v>6</v>
      </c>
    </row>
    <row r="338" spans="1:2" x14ac:dyDescent="0.5">
      <c r="A338" s="1">
        <v>45628</v>
      </c>
      <c r="B338" s="2">
        <v>4</v>
      </c>
    </row>
    <row r="339" spans="1:2" x14ac:dyDescent="0.5">
      <c r="A339" s="1">
        <v>45629</v>
      </c>
      <c r="B339" s="2">
        <v>4</v>
      </c>
    </row>
    <row r="340" spans="1:2" x14ac:dyDescent="0.5">
      <c r="A340" s="1">
        <v>45630</v>
      </c>
      <c r="B340" s="2">
        <v>6</v>
      </c>
    </row>
    <row r="341" spans="1:2" x14ac:dyDescent="0.5">
      <c r="A341" s="1">
        <v>45631</v>
      </c>
      <c r="B341" s="2">
        <v>6</v>
      </c>
    </row>
    <row r="342" spans="1:2" x14ac:dyDescent="0.5">
      <c r="A342" s="1">
        <v>45632</v>
      </c>
      <c r="B342" s="2">
        <v>6</v>
      </c>
    </row>
    <row r="343" spans="1:2" x14ac:dyDescent="0.5">
      <c r="A343" s="1">
        <v>45633</v>
      </c>
      <c r="B343" s="2">
        <v>6</v>
      </c>
    </row>
    <row r="344" spans="1:2" x14ac:dyDescent="0.5">
      <c r="A344" s="1">
        <v>45634</v>
      </c>
      <c r="B344" s="2">
        <v>4</v>
      </c>
    </row>
    <row r="345" spans="1:2" x14ac:dyDescent="0.5">
      <c r="A345" s="1">
        <v>45635</v>
      </c>
      <c r="B345" s="2">
        <v>4</v>
      </c>
    </row>
    <row r="346" spans="1:2" x14ac:dyDescent="0.5">
      <c r="A346" s="1">
        <v>45636</v>
      </c>
      <c r="B346" s="2">
        <v>4</v>
      </c>
    </row>
    <row r="347" spans="1:2" x14ac:dyDescent="0.5">
      <c r="A347" s="1">
        <v>45637</v>
      </c>
      <c r="B347" s="2">
        <v>4</v>
      </c>
    </row>
    <row r="348" spans="1:2" x14ac:dyDescent="0.5">
      <c r="A348" s="1">
        <v>45638</v>
      </c>
      <c r="B348" s="2">
        <v>6</v>
      </c>
    </row>
    <row r="349" spans="1:2" x14ac:dyDescent="0.5">
      <c r="A349" s="1">
        <v>45639</v>
      </c>
      <c r="B349" s="2">
        <v>4</v>
      </c>
    </row>
    <row r="350" spans="1:2" x14ac:dyDescent="0.5">
      <c r="A350" s="1">
        <v>45640</v>
      </c>
      <c r="B350" s="2">
        <v>6</v>
      </c>
    </row>
    <row r="351" spans="1:2" x14ac:dyDescent="0.5">
      <c r="A351" s="1">
        <v>45641</v>
      </c>
      <c r="B351" s="2">
        <v>4</v>
      </c>
    </row>
    <row r="352" spans="1:2" x14ac:dyDescent="0.5">
      <c r="A352" s="1">
        <v>45642</v>
      </c>
      <c r="B352" s="2">
        <v>4</v>
      </c>
    </row>
    <row r="353" spans="1:2" x14ac:dyDescent="0.5">
      <c r="A353" s="1">
        <v>45643</v>
      </c>
      <c r="B353" s="2">
        <v>2</v>
      </c>
    </row>
    <row r="354" spans="1:2" x14ac:dyDescent="0.5">
      <c r="A354" s="1">
        <v>45644</v>
      </c>
      <c r="B354" s="2">
        <v>4</v>
      </c>
    </row>
    <row r="355" spans="1:2" x14ac:dyDescent="0.5">
      <c r="A355" s="1">
        <v>45645</v>
      </c>
      <c r="B355" s="2">
        <v>2</v>
      </c>
    </row>
    <row r="356" spans="1:2" x14ac:dyDescent="0.5">
      <c r="A356" s="1">
        <v>45646</v>
      </c>
      <c r="B356" s="2">
        <v>4</v>
      </c>
    </row>
    <row r="357" spans="1:2" x14ac:dyDescent="0.5">
      <c r="A357" s="1">
        <v>45647</v>
      </c>
      <c r="B357" s="2">
        <v>4</v>
      </c>
    </row>
    <row r="358" spans="1:2" x14ac:dyDescent="0.5">
      <c r="A358" s="1">
        <v>45648</v>
      </c>
      <c r="B358" s="2">
        <v>4</v>
      </c>
    </row>
    <row r="359" spans="1:2" x14ac:dyDescent="0.5">
      <c r="A359" s="1">
        <v>45649</v>
      </c>
      <c r="B359" s="2">
        <v>4</v>
      </c>
    </row>
    <row r="360" spans="1:2" x14ac:dyDescent="0.5">
      <c r="A360" s="1">
        <v>45650</v>
      </c>
      <c r="B360" s="2">
        <v>10</v>
      </c>
    </row>
    <row r="361" spans="1:2" x14ac:dyDescent="0.5">
      <c r="A361" s="1">
        <v>45651</v>
      </c>
      <c r="B361" s="2">
        <v>6</v>
      </c>
    </row>
    <row r="362" spans="1:2" x14ac:dyDescent="0.5">
      <c r="A362" s="1">
        <v>45652</v>
      </c>
      <c r="B362" s="2">
        <v>4</v>
      </c>
    </row>
    <row r="363" spans="1:2" x14ac:dyDescent="0.5">
      <c r="A363" s="1">
        <v>45653</v>
      </c>
      <c r="B363" s="2">
        <v>4</v>
      </c>
    </row>
    <row r="364" spans="1:2" x14ac:dyDescent="0.5">
      <c r="A364" s="1">
        <v>45654</v>
      </c>
      <c r="B364" s="2">
        <v>4</v>
      </c>
    </row>
    <row r="365" spans="1:2" x14ac:dyDescent="0.5">
      <c r="A365" s="1">
        <v>45655</v>
      </c>
      <c r="B365" s="2">
        <v>6</v>
      </c>
    </row>
    <row r="366" spans="1:2" x14ac:dyDescent="0.5">
      <c r="A366" s="1">
        <v>45656</v>
      </c>
      <c r="B366" s="2">
        <v>4</v>
      </c>
    </row>
    <row r="367" spans="1:2" ht="14.7" thickBot="1" x14ac:dyDescent="0.55000000000000004">
      <c r="A367" s="1">
        <v>45657</v>
      </c>
      <c r="B367" s="2">
        <v>6</v>
      </c>
    </row>
    <row r="368" spans="1:2" x14ac:dyDescent="0.5">
      <c r="A368" s="71">
        <v>45658</v>
      </c>
      <c r="B368" s="72">
        <v>2.5</v>
      </c>
    </row>
    <row r="369" spans="1:2" x14ac:dyDescent="0.5">
      <c r="A369" s="53">
        <v>45659</v>
      </c>
      <c r="B369" s="2">
        <v>2.8</v>
      </c>
    </row>
    <row r="370" spans="1:2" x14ac:dyDescent="0.5">
      <c r="A370" s="53">
        <v>45660</v>
      </c>
      <c r="B370" s="2">
        <v>4.8</v>
      </c>
    </row>
    <row r="371" spans="1:2" x14ac:dyDescent="0.5">
      <c r="A371" s="53">
        <v>45661</v>
      </c>
      <c r="B371" s="2">
        <v>8.1999999999999993</v>
      </c>
    </row>
    <row r="372" spans="1:2" x14ac:dyDescent="0.5">
      <c r="A372" s="53">
        <v>45662</v>
      </c>
      <c r="B372" s="2">
        <v>6.2</v>
      </c>
    </row>
    <row r="373" spans="1:2" x14ac:dyDescent="0.5">
      <c r="A373" s="53">
        <v>45663</v>
      </c>
      <c r="B373" s="2">
        <v>6.1</v>
      </c>
    </row>
    <row r="374" spans="1:2" x14ac:dyDescent="0.5">
      <c r="A374" s="53">
        <v>45664</v>
      </c>
      <c r="B374" s="2">
        <v>3.5</v>
      </c>
    </row>
    <row r="375" spans="1:2" x14ac:dyDescent="0.5">
      <c r="A375" s="53">
        <v>45665</v>
      </c>
      <c r="B375" s="2">
        <v>1.2</v>
      </c>
    </row>
    <row r="376" spans="1:2" x14ac:dyDescent="0.5">
      <c r="A376" s="53">
        <v>45666</v>
      </c>
      <c r="B376" s="2">
        <v>5.6</v>
      </c>
    </row>
    <row r="377" spans="1:2" x14ac:dyDescent="0.5">
      <c r="A377" s="53">
        <v>45667</v>
      </c>
      <c r="B377" s="2">
        <v>4.3</v>
      </c>
    </row>
    <row r="378" spans="1:2" x14ac:dyDescent="0.5">
      <c r="A378" s="53">
        <v>45668</v>
      </c>
      <c r="B378" s="2">
        <v>5.4</v>
      </c>
    </row>
    <row r="379" spans="1:2" x14ac:dyDescent="0.5">
      <c r="A379" s="53">
        <v>45669</v>
      </c>
      <c r="B379" s="2">
        <v>7.2</v>
      </c>
    </row>
    <row r="380" spans="1:2" x14ac:dyDescent="0.5">
      <c r="A380" s="53">
        <v>45670</v>
      </c>
      <c r="B380" s="2">
        <v>3.9</v>
      </c>
    </row>
    <row r="381" spans="1:2" x14ac:dyDescent="0.5">
      <c r="A381" s="53">
        <v>45671</v>
      </c>
      <c r="B381" s="2">
        <v>1.5</v>
      </c>
    </row>
    <row r="382" spans="1:2" x14ac:dyDescent="0.5">
      <c r="A382" s="53">
        <v>45672</v>
      </c>
      <c r="B382" s="2">
        <v>5.2</v>
      </c>
    </row>
    <row r="383" spans="1:2" x14ac:dyDescent="0.5">
      <c r="A383" s="53">
        <v>45673</v>
      </c>
      <c r="B383" s="2">
        <v>6.5</v>
      </c>
    </row>
    <row r="384" spans="1:2" x14ac:dyDescent="0.5">
      <c r="A384" s="53">
        <v>45674</v>
      </c>
      <c r="B384" s="2">
        <v>2.9</v>
      </c>
    </row>
    <row r="385" spans="1:2" x14ac:dyDescent="0.5">
      <c r="A385" s="53">
        <v>45675</v>
      </c>
      <c r="B385" s="2">
        <v>3.3</v>
      </c>
    </row>
    <row r="386" spans="1:2" x14ac:dyDescent="0.5">
      <c r="A386" s="53">
        <v>45676</v>
      </c>
      <c r="B386" s="2">
        <v>6.2</v>
      </c>
    </row>
    <row r="387" spans="1:2" x14ac:dyDescent="0.5">
      <c r="A387" s="53">
        <v>45677</v>
      </c>
      <c r="B387" s="2">
        <v>5</v>
      </c>
    </row>
    <row r="388" spans="1:2" x14ac:dyDescent="0.5">
      <c r="A388" s="53">
        <v>45678</v>
      </c>
      <c r="B388" s="2">
        <v>4.3</v>
      </c>
    </row>
    <row r="389" spans="1:2" x14ac:dyDescent="0.5">
      <c r="A389" s="53">
        <v>45679</v>
      </c>
      <c r="B389" s="2">
        <v>4.0999999999999996</v>
      </c>
    </row>
    <row r="390" spans="1:2" x14ac:dyDescent="0.5">
      <c r="A390" s="53">
        <v>45680</v>
      </c>
      <c r="B390" s="2">
        <v>1.2</v>
      </c>
    </row>
    <row r="391" spans="1:2" x14ac:dyDescent="0.5">
      <c r="A391" s="53">
        <v>45681</v>
      </c>
      <c r="B391" s="2">
        <v>6.2</v>
      </c>
    </row>
    <row r="392" spans="1:2" x14ac:dyDescent="0.5">
      <c r="A392" s="53">
        <v>45682</v>
      </c>
      <c r="B392" s="2">
        <v>8.1</v>
      </c>
    </row>
    <row r="393" spans="1:2" x14ac:dyDescent="0.5">
      <c r="A393" s="53">
        <v>45683</v>
      </c>
      <c r="B393" s="2">
        <v>6.8</v>
      </c>
    </row>
    <row r="394" spans="1:2" x14ac:dyDescent="0.5">
      <c r="A394" s="53">
        <v>45684</v>
      </c>
      <c r="B394" s="2">
        <v>5</v>
      </c>
    </row>
    <row r="395" spans="1:2" x14ac:dyDescent="0.5">
      <c r="A395" s="53">
        <v>45685</v>
      </c>
      <c r="B395" s="2">
        <v>5.8</v>
      </c>
    </row>
    <row r="396" spans="1:2" x14ac:dyDescent="0.5">
      <c r="A396" s="53">
        <v>45686</v>
      </c>
      <c r="B396" s="2">
        <v>5.3</v>
      </c>
    </row>
    <row r="397" spans="1:2" x14ac:dyDescent="0.5">
      <c r="A397" s="53">
        <v>45687</v>
      </c>
      <c r="B397" s="2">
        <v>7.4</v>
      </c>
    </row>
    <row r="398" spans="1:2" ht="14.7" thickBot="1" x14ac:dyDescent="0.55000000000000004">
      <c r="A398" s="54">
        <v>45688</v>
      </c>
      <c r="B398" s="55">
        <v>8.5</v>
      </c>
    </row>
    <row r="399" spans="1:2" x14ac:dyDescent="0.5">
      <c r="A399" s="52">
        <v>45689</v>
      </c>
      <c r="B399" s="48">
        <v>4.8</v>
      </c>
    </row>
    <row r="400" spans="1:2" x14ac:dyDescent="0.5">
      <c r="A400" s="1">
        <v>45690</v>
      </c>
      <c r="B400" s="2">
        <v>4.5</v>
      </c>
    </row>
    <row r="401" spans="1:2" x14ac:dyDescent="0.5">
      <c r="A401" s="1">
        <v>45691</v>
      </c>
      <c r="B401" s="2">
        <v>5</v>
      </c>
    </row>
    <row r="402" spans="1:2" x14ac:dyDescent="0.5">
      <c r="A402" s="1">
        <v>45692</v>
      </c>
      <c r="B402" s="2">
        <v>2.2999999999999998</v>
      </c>
    </row>
    <row r="403" spans="1:2" x14ac:dyDescent="0.5">
      <c r="A403" s="1">
        <v>45693</v>
      </c>
      <c r="B403" s="2">
        <v>3.3</v>
      </c>
    </row>
    <row r="404" spans="1:2" x14ac:dyDescent="0.5">
      <c r="A404" s="1">
        <v>45694</v>
      </c>
      <c r="B404" s="2">
        <v>2</v>
      </c>
    </row>
    <row r="405" spans="1:2" x14ac:dyDescent="0.5">
      <c r="A405" s="1">
        <v>45695</v>
      </c>
      <c r="B405" s="2">
        <v>1.3</v>
      </c>
    </row>
    <row r="406" spans="1:2" x14ac:dyDescent="0.5">
      <c r="A406" s="1">
        <v>45696</v>
      </c>
      <c r="B406" s="2">
        <v>8.5</v>
      </c>
    </row>
    <row r="407" spans="1:2" x14ac:dyDescent="0.5">
      <c r="A407" s="1">
        <v>45697</v>
      </c>
      <c r="B407" s="2">
        <v>4.5</v>
      </c>
    </row>
    <row r="408" spans="1:2" x14ac:dyDescent="0.5">
      <c r="A408" s="1">
        <v>45698</v>
      </c>
      <c r="B408" s="2">
        <v>3.8</v>
      </c>
    </row>
    <row r="409" spans="1:2" x14ac:dyDescent="0.5">
      <c r="A409" s="1">
        <v>45699</v>
      </c>
      <c r="B409" s="2">
        <v>5.5</v>
      </c>
    </row>
    <row r="410" spans="1:2" x14ac:dyDescent="0.5">
      <c r="A410" s="1">
        <v>45700</v>
      </c>
      <c r="B410" s="2">
        <v>5.8</v>
      </c>
    </row>
    <row r="411" spans="1:2" x14ac:dyDescent="0.5">
      <c r="A411" s="1">
        <v>45701</v>
      </c>
      <c r="B411" s="2">
        <v>5.5</v>
      </c>
    </row>
    <row r="412" spans="1:2" x14ac:dyDescent="0.5">
      <c r="A412" s="1">
        <v>45702</v>
      </c>
      <c r="B412" s="2">
        <v>0</v>
      </c>
    </row>
    <row r="413" spans="1:2" x14ac:dyDescent="0.5">
      <c r="A413" s="1">
        <v>45703</v>
      </c>
      <c r="B413" s="2">
        <v>4.5</v>
      </c>
    </row>
    <row r="414" spans="1:2" x14ac:dyDescent="0.5">
      <c r="A414" s="1">
        <v>45704</v>
      </c>
      <c r="B414" s="2">
        <v>6.6</v>
      </c>
    </row>
    <row r="415" spans="1:2" x14ac:dyDescent="0.5">
      <c r="A415" s="1">
        <v>45705</v>
      </c>
      <c r="B415" s="2">
        <v>7.5</v>
      </c>
    </row>
    <row r="416" spans="1:2" x14ac:dyDescent="0.5">
      <c r="A416" s="1">
        <v>45706</v>
      </c>
      <c r="B416" s="2">
        <v>5</v>
      </c>
    </row>
    <row r="417" spans="1:2" x14ac:dyDescent="0.5">
      <c r="A417" s="1">
        <v>45707</v>
      </c>
      <c r="B417" s="2">
        <v>4.8</v>
      </c>
    </row>
    <row r="418" spans="1:2" x14ac:dyDescent="0.5">
      <c r="A418" s="1">
        <v>45708</v>
      </c>
      <c r="B418" s="2">
        <v>6.8</v>
      </c>
    </row>
    <row r="419" spans="1:2" x14ac:dyDescent="0.5">
      <c r="A419" s="1">
        <v>45709</v>
      </c>
      <c r="B419" s="2">
        <v>2.2000000000000002</v>
      </c>
    </row>
    <row r="420" spans="1:2" x14ac:dyDescent="0.5">
      <c r="A420" s="1">
        <v>45710</v>
      </c>
      <c r="B420" s="2">
        <v>5.5</v>
      </c>
    </row>
    <row r="421" spans="1:2" x14ac:dyDescent="0.5">
      <c r="A421" s="1">
        <v>45711</v>
      </c>
      <c r="B421" s="2">
        <v>4.5</v>
      </c>
    </row>
    <row r="422" spans="1:2" x14ac:dyDescent="0.5">
      <c r="A422" s="1">
        <v>45712</v>
      </c>
      <c r="B422" s="2">
        <v>6.5</v>
      </c>
    </row>
    <row r="423" spans="1:2" x14ac:dyDescent="0.5">
      <c r="A423" s="1">
        <v>45713</v>
      </c>
      <c r="B423" s="2">
        <v>4.5</v>
      </c>
    </row>
    <row r="424" spans="1:2" x14ac:dyDescent="0.5">
      <c r="A424" s="1">
        <v>45714</v>
      </c>
      <c r="B424" s="2">
        <v>7.5</v>
      </c>
    </row>
    <row r="425" spans="1:2" x14ac:dyDescent="0.5">
      <c r="A425" s="1">
        <v>45715</v>
      </c>
      <c r="B425" s="2">
        <v>5</v>
      </c>
    </row>
    <row r="426" spans="1:2" x14ac:dyDescent="0.5">
      <c r="A426" s="1">
        <v>45716</v>
      </c>
      <c r="B426" s="2">
        <v>5.5</v>
      </c>
    </row>
    <row r="427" spans="1:2" x14ac:dyDescent="0.5">
      <c r="A427" s="1">
        <v>45717</v>
      </c>
      <c r="B427" s="2">
        <v>5</v>
      </c>
    </row>
    <row r="428" spans="1:2" x14ac:dyDescent="0.5">
      <c r="A428" s="1">
        <v>45718</v>
      </c>
      <c r="B428" s="2">
        <v>4.8</v>
      </c>
    </row>
    <row r="429" spans="1:2" x14ac:dyDescent="0.5">
      <c r="A429" s="1">
        <v>45719</v>
      </c>
      <c r="B429" s="2">
        <v>3</v>
      </c>
    </row>
    <row r="430" spans="1:2" x14ac:dyDescent="0.5">
      <c r="A430" s="1">
        <v>45720</v>
      </c>
      <c r="B430" s="2">
        <v>4</v>
      </c>
    </row>
    <row r="431" spans="1:2" x14ac:dyDescent="0.5">
      <c r="A431" s="1">
        <v>45721</v>
      </c>
      <c r="B431" s="2">
        <v>5</v>
      </c>
    </row>
    <row r="432" spans="1:2" x14ac:dyDescent="0.5">
      <c r="A432" s="1">
        <v>45722</v>
      </c>
      <c r="B432" s="2">
        <v>6.5</v>
      </c>
    </row>
    <row r="433" spans="1:2" x14ac:dyDescent="0.5">
      <c r="A433" s="1">
        <v>45723</v>
      </c>
      <c r="B433" s="2">
        <v>6</v>
      </c>
    </row>
    <row r="434" spans="1:2" x14ac:dyDescent="0.5">
      <c r="A434" s="1">
        <v>45724</v>
      </c>
      <c r="B434" s="2">
        <v>6.1</v>
      </c>
    </row>
    <row r="435" spans="1:2" x14ac:dyDescent="0.5">
      <c r="A435" s="1">
        <v>45725</v>
      </c>
      <c r="B435" s="2">
        <v>8</v>
      </c>
    </row>
    <row r="436" spans="1:2" x14ac:dyDescent="0.5">
      <c r="A436" s="1">
        <v>45726</v>
      </c>
      <c r="B436" s="2">
        <v>4.5</v>
      </c>
    </row>
    <row r="437" spans="1:2" x14ac:dyDescent="0.5">
      <c r="A437" s="1">
        <v>45727</v>
      </c>
      <c r="B437" s="2">
        <v>7</v>
      </c>
    </row>
    <row r="438" spans="1:2" x14ac:dyDescent="0.5">
      <c r="A438" s="1">
        <v>45728</v>
      </c>
      <c r="B438" s="2">
        <v>4.8</v>
      </c>
    </row>
    <row r="439" spans="1:2" x14ac:dyDescent="0.5">
      <c r="A439" s="1">
        <v>45729</v>
      </c>
      <c r="B439" s="2">
        <v>5</v>
      </c>
    </row>
    <row r="440" spans="1:2" x14ac:dyDescent="0.5">
      <c r="A440" s="1">
        <v>45730</v>
      </c>
      <c r="B440" s="2">
        <v>4</v>
      </c>
    </row>
    <row r="441" spans="1:2" x14ac:dyDescent="0.5">
      <c r="A441" s="1">
        <v>45731</v>
      </c>
      <c r="B441" s="2">
        <v>4</v>
      </c>
    </row>
    <row r="442" spans="1:2" x14ac:dyDescent="0.5">
      <c r="A442" s="1">
        <v>45732</v>
      </c>
      <c r="B442" s="2">
        <v>5</v>
      </c>
    </row>
    <row r="443" spans="1:2" x14ac:dyDescent="0.5">
      <c r="A443" s="1">
        <v>45733</v>
      </c>
      <c r="B443" s="2">
        <v>4.2</v>
      </c>
    </row>
    <row r="444" spans="1:2" x14ac:dyDescent="0.5">
      <c r="A444" s="1">
        <v>45734</v>
      </c>
      <c r="B444" s="2">
        <v>5.5</v>
      </c>
    </row>
    <row r="445" spans="1:2" x14ac:dyDescent="0.5">
      <c r="A445" s="1">
        <v>45735</v>
      </c>
      <c r="B445" s="2">
        <v>3</v>
      </c>
    </row>
    <row r="446" spans="1:2" x14ac:dyDescent="0.5">
      <c r="A446" s="1">
        <v>45736</v>
      </c>
      <c r="B446" s="2">
        <v>5</v>
      </c>
    </row>
    <row r="447" spans="1:2" x14ac:dyDescent="0.5">
      <c r="A447" s="1">
        <v>45737</v>
      </c>
      <c r="B447" s="2">
        <v>5</v>
      </c>
    </row>
    <row r="448" spans="1:2" x14ac:dyDescent="0.5">
      <c r="A448" s="1">
        <v>45738</v>
      </c>
      <c r="B448" s="2">
        <v>7.5</v>
      </c>
    </row>
    <row r="449" spans="1:2" x14ac:dyDescent="0.5">
      <c r="A449" s="1">
        <v>45739</v>
      </c>
      <c r="B449" s="2">
        <v>7</v>
      </c>
    </row>
    <row r="450" spans="1:2" x14ac:dyDescent="0.5">
      <c r="A450" s="1">
        <v>45740</v>
      </c>
      <c r="B450" s="2">
        <v>4</v>
      </c>
    </row>
    <row r="451" spans="1:2" x14ac:dyDescent="0.5">
      <c r="A451" s="1">
        <v>45741</v>
      </c>
      <c r="B451" s="2">
        <v>5.5</v>
      </c>
    </row>
    <row r="452" spans="1:2" x14ac:dyDescent="0.5">
      <c r="A452" s="1">
        <v>45742</v>
      </c>
      <c r="B452" s="2">
        <v>6</v>
      </c>
    </row>
    <row r="453" spans="1:2" x14ac:dyDescent="0.5">
      <c r="A453" s="1">
        <v>45743</v>
      </c>
      <c r="B453" s="2">
        <v>5.2</v>
      </c>
    </row>
    <row r="454" spans="1:2" x14ac:dyDescent="0.5">
      <c r="A454" s="1">
        <v>45744</v>
      </c>
      <c r="B454" s="2">
        <v>4.5</v>
      </c>
    </row>
    <row r="455" spans="1:2" x14ac:dyDescent="0.5">
      <c r="A455" s="1">
        <v>45745</v>
      </c>
      <c r="B455" s="2">
        <v>4</v>
      </c>
    </row>
    <row r="456" spans="1:2" x14ac:dyDescent="0.5">
      <c r="A456" s="1">
        <v>45746</v>
      </c>
      <c r="B456" s="2">
        <v>6.5</v>
      </c>
    </row>
    <row r="457" spans="1:2" x14ac:dyDescent="0.5">
      <c r="A457" s="1">
        <v>45747</v>
      </c>
      <c r="B457" s="2">
        <v>5.5</v>
      </c>
    </row>
    <row r="458" spans="1:2" x14ac:dyDescent="0.5">
      <c r="A458" s="1">
        <v>45748</v>
      </c>
      <c r="B458" s="2">
        <v>4.8</v>
      </c>
    </row>
    <row r="459" spans="1:2" x14ac:dyDescent="0.5">
      <c r="A459" s="1">
        <v>45749</v>
      </c>
      <c r="B459" s="2">
        <v>4.2</v>
      </c>
    </row>
    <row r="460" spans="1:2" x14ac:dyDescent="0.5">
      <c r="A460" s="1">
        <v>45750</v>
      </c>
      <c r="B460" s="2">
        <v>4</v>
      </c>
    </row>
    <row r="461" spans="1:2" x14ac:dyDescent="0.5">
      <c r="A461" s="1">
        <v>45751</v>
      </c>
      <c r="B461" s="2">
        <v>0</v>
      </c>
    </row>
    <row r="462" spans="1:2" x14ac:dyDescent="0.5">
      <c r="A462" s="1">
        <v>45752</v>
      </c>
      <c r="B462" s="2">
        <v>0.5</v>
      </c>
    </row>
    <row r="463" spans="1:2" x14ac:dyDescent="0.5">
      <c r="A463" s="1">
        <v>45753</v>
      </c>
      <c r="B463" s="2">
        <v>5.2</v>
      </c>
    </row>
    <row r="464" spans="1:2" x14ac:dyDescent="0.5">
      <c r="A464" s="1">
        <v>45754</v>
      </c>
      <c r="B464" s="2">
        <v>6</v>
      </c>
    </row>
    <row r="465" spans="1:2" x14ac:dyDescent="0.5">
      <c r="A465" s="1">
        <v>45755</v>
      </c>
      <c r="B465" s="2">
        <v>4.8</v>
      </c>
    </row>
    <row r="466" spans="1:2" x14ac:dyDescent="0.5">
      <c r="A466" s="1">
        <v>45756</v>
      </c>
      <c r="B466" s="2">
        <v>1</v>
      </c>
    </row>
    <row r="467" spans="1:2" x14ac:dyDescent="0.5">
      <c r="A467" s="1">
        <v>45757</v>
      </c>
      <c r="B467" s="2">
        <v>4</v>
      </c>
    </row>
    <row r="468" spans="1:2" x14ac:dyDescent="0.5">
      <c r="A468" s="1">
        <v>45758</v>
      </c>
      <c r="B468" s="2">
        <v>5</v>
      </c>
    </row>
    <row r="469" spans="1:2" x14ac:dyDescent="0.5">
      <c r="A469" s="1">
        <v>45759</v>
      </c>
      <c r="B469" s="2">
        <v>6</v>
      </c>
    </row>
    <row r="470" spans="1:2" x14ac:dyDescent="0.5">
      <c r="A470" s="1">
        <v>45760</v>
      </c>
      <c r="B470" s="2">
        <v>6.5</v>
      </c>
    </row>
    <row r="471" spans="1:2" x14ac:dyDescent="0.5">
      <c r="A471" s="1">
        <v>45761</v>
      </c>
      <c r="B471" s="2">
        <v>7</v>
      </c>
    </row>
    <row r="472" spans="1:2" x14ac:dyDescent="0.5">
      <c r="A472" s="1">
        <v>45762</v>
      </c>
      <c r="B472" s="2">
        <v>6</v>
      </c>
    </row>
    <row r="473" spans="1:2" x14ac:dyDescent="0.5">
      <c r="A473" s="1">
        <v>45763</v>
      </c>
      <c r="B473" s="2">
        <v>5</v>
      </c>
    </row>
    <row r="474" spans="1:2" x14ac:dyDescent="0.5">
      <c r="A474" s="1">
        <v>45764</v>
      </c>
      <c r="B474" s="2">
        <v>7</v>
      </c>
    </row>
    <row r="475" spans="1:2" x14ac:dyDescent="0.5">
      <c r="A475" s="1">
        <v>45765</v>
      </c>
      <c r="B475" s="2">
        <v>5</v>
      </c>
    </row>
    <row r="476" spans="1:2" x14ac:dyDescent="0.5">
      <c r="A476" s="1">
        <v>45766</v>
      </c>
      <c r="B476" s="2">
        <v>5</v>
      </c>
    </row>
    <row r="477" spans="1:2" x14ac:dyDescent="0.5">
      <c r="A477" s="1">
        <v>45767</v>
      </c>
      <c r="B477" s="2">
        <v>3</v>
      </c>
    </row>
    <row r="478" spans="1:2" x14ac:dyDescent="0.5">
      <c r="A478" s="1">
        <v>45768</v>
      </c>
      <c r="B478" s="2">
        <v>5</v>
      </c>
    </row>
    <row r="479" spans="1:2" x14ac:dyDescent="0.5">
      <c r="A479" s="1">
        <v>45769</v>
      </c>
      <c r="B479" s="2">
        <v>3.5</v>
      </c>
    </row>
    <row r="480" spans="1:2" x14ac:dyDescent="0.5">
      <c r="A480" s="1">
        <v>45770</v>
      </c>
      <c r="B480" s="2">
        <v>2</v>
      </c>
    </row>
    <row r="481" spans="1:2" x14ac:dyDescent="0.5">
      <c r="A481" s="1">
        <v>45771</v>
      </c>
      <c r="B481" s="2">
        <v>5</v>
      </c>
    </row>
    <row r="482" spans="1:2" x14ac:dyDescent="0.5">
      <c r="A482" s="1">
        <v>45772</v>
      </c>
      <c r="B482" s="2">
        <v>7</v>
      </c>
    </row>
    <row r="483" spans="1:2" x14ac:dyDescent="0.5">
      <c r="A483" s="1">
        <v>45773</v>
      </c>
      <c r="B483" s="2">
        <v>4.8</v>
      </c>
    </row>
    <row r="484" spans="1:2" x14ac:dyDescent="0.5">
      <c r="A484" s="1">
        <v>45774</v>
      </c>
      <c r="B484" s="2">
        <v>5</v>
      </c>
    </row>
    <row r="485" spans="1:2" x14ac:dyDescent="0.5">
      <c r="A485" s="1">
        <v>45775</v>
      </c>
      <c r="B485" s="2">
        <v>7</v>
      </c>
    </row>
    <row r="486" spans="1:2" x14ac:dyDescent="0.5">
      <c r="A486" s="1">
        <v>45776</v>
      </c>
      <c r="B486" s="2">
        <v>9</v>
      </c>
    </row>
    <row r="487" spans="1:2" x14ac:dyDescent="0.5">
      <c r="A487" s="1">
        <v>45777</v>
      </c>
      <c r="B487" s="2">
        <v>8.3000000000000007</v>
      </c>
    </row>
    <row r="488" spans="1:2" x14ac:dyDescent="0.5">
      <c r="A488" s="1">
        <v>45778</v>
      </c>
      <c r="B488" s="2">
        <v>6.2</v>
      </c>
    </row>
    <row r="489" spans="1:2" x14ac:dyDescent="0.5">
      <c r="A489" s="1">
        <v>45779</v>
      </c>
      <c r="B489" s="2">
        <v>7.3</v>
      </c>
    </row>
    <row r="490" spans="1:2" x14ac:dyDescent="0.5">
      <c r="A490" s="1">
        <v>45780</v>
      </c>
      <c r="B490" s="2">
        <v>8</v>
      </c>
    </row>
    <row r="491" spans="1:2" x14ac:dyDescent="0.5">
      <c r="A491" s="1">
        <v>45781</v>
      </c>
      <c r="B491" s="2">
        <v>5.5</v>
      </c>
    </row>
    <row r="492" spans="1:2" x14ac:dyDescent="0.5">
      <c r="A492" s="1">
        <v>45782</v>
      </c>
      <c r="B492" s="2">
        <v>5.8</v>
      </c>
    </row>
    <row r="493" spans="1:2" x14ac:dyDescent="0.5">
      <c r="A493" s="1">
        <v>45783</v>
      </c>
      <c r="B493" s="2">
        <v>5.4</v>
      </c>
    </row>
    <row r="494" spans="1:2" x14ac:dyDescent="0.5">
      <c r="A494" s="1">
        <v>45784</v>
      </c>
      <c r="B494" s="2">
        <v>5.2</v>
      </c>
    </row>
    <row r="495" spans="1:2" x14ac:dyDescent="0.5">
      <c r="A495" s="1">
        <v>45785</v>
      </c>
      <c r="B495" s="2">
        <v>5.2</v>
      </c>
    </row>
    <row r="496" spans="1:2" x14ac:dyDescent="0.5">
      <c r="A496" s="1">
        <v>45786</v>
      </c>
      <c r="B496" s="2">
        <v>6</v>
      </c>
    </row>
    <row r="497" spans="1:2" x14ac:dyDescent="0.5">
      <c r="A497" s="1">
        <v>45787</v>
      </c>
      <c r="B497" s="2">
        <v>7</v>
      </c>
    </row>
    <row r="498" spans="1:2" x14ac:dyDescent="0.5">
      <c r="A498" s="1">
        <v>45788</v>
      </c>
      <c r="B498" s="2">
        <v>6.8</v>
      </c>
    </row>
    <row r="499" spans="1:2" x14ac:dyDescent="0.5">
      <c r="A499" s="1">
        <v>45789</v>
      </c>
      <c r="B499" s="2">
        <v>9</v>
      </c>
    </row>
    <row r="500" spans="1:2" x14ac:dyDescent="0.5">
      <c r="A500" s="1">
        <v>45790</v>
      </c>
      <c r="B500" s="2">
        <v>5.5</v>
      </c>
    </row>
    <row r="501" spans="1:2" x14ac:dyDescent="0.5">
      <c r="A501" s="1">
        <v>45791</v>
      </c>
      <c r="B501" s="2">
        <v>5.4</v>
      </c>
    </row>
    <row r="502" spans="1:2" x14ac:dyDescent="0.5">
      <c r="A502" s="1">
        <v>45792</v>
      </c>
      <c r="B502" s="2">
        <v>5.3</v>
      </c>
    </row>
    <row r="503" spans="1:2" x14ac:dyDescent="0.5">
      <c r="A503" s="1">
        <v>45793</v>
      </c>
      <c r="B503" s="2">
        <v>5.2</v>
      </c>
    </row>
    <row r="504" spans="1:2" x14ac:dyDescent="0.5">
      <c r="A504" s="1">
        <v>45794</v>
      </c>
      <c r="B504" s="2">
        <v>6.5</v>
      </c>
    </row>
    <row r="505" spans="1:2" x14ac:dyDescent="0.5">
      <c r="A505" s="1">
        <v>45795</v>
      </c>
      <c r="B505" s="2">
        <v>7</v>
      </c>
    </row>
    <row r="506" spans="1:2" x14ac:dyDescent="0.5">
      <c r="A506" s="1">
        <v>45796</v>
      </c>
      <c r="B506" s="2">
        <v>4.5</v>
      </c>
    </row>
    <row r="507" spans="1:2" x14ac:dyDescent="0.5">
      <c r="A507" s="1">
        <v>45797</v>
      </c>
      <c r="B507" s="2">
        <v>4.5</v>
      </c>
    </row>
    <row r="508" spans="1:2" x14ac:dyDescent="0.5">
      <c r="A508" s="1">
        <v>45798</v>
      </c>
      <c r="B508" s="2">
        <v>6</v>
      </c>
    </row>
    <row r="509" spans="1:2" x14ac:dyDescent="0.5">
      <c r="A509" s="1">
        <v>45799</v>
      </c>
      <c r="B509" s="2">
        <v>7</v>
      </c>
    </row>
    <row r="510" spans="1:2" x14ac:dyDescent="0.5">
      <c r="A510" s="1">
        <v>45800</v>
      </c>
      <c r="B510" s="2">
        <v>5</v>
      </c>
    </row>
    <row r="511" spans="1:2" x14ac:dyDescent="0.5">
      <c r="A511" s="1">
        <v>45801</v>
      </c>
      <c r="B511" s="2">
        <v>7</v>
      </c>
    </row>
    <row r="512" spans="1:2" x14ac:dyDescent="0.5">
      <c r="A512" s="1">
        <v>45802</v>
      </c>
      <c r="B512" s="2">
        <v>7</v>
      </c>
    </row>
    <row r="513" spans="1:2" x14ac:dyDescent="0.5">
      <c r="A513" s="1">
        <v>45803</v>
      </c>
      <c r="B513" s="2">
        <v>6.5</v>
      </c>
    </row>
    <row r="514" spans="1:2" x14ac:dyDescent="0.5">
      <c r="A514" s="1">
        <v>45804</v>
      </c>
      <c r="B514" s="2">
        <v>5.5</v>
      </c>
    </row>
    <row r="515" spans="1:2" x14ac:dyDescent="0.5">
      <c r="A515" s="1">
        <v>45805</v>
      </c>
      <c r="B515" s="2">
        <v>5</v>
      </c>
    </row>
    <row r="516" spans="1:2" x14ac:dyDescent="0.5">
      <c r="A516" s="1">
        <v>45806</v>
      </c>
      <c r="B516" s="2">
        <v>5</v>
      </c>
    </row>
    <row r="517" spans="1:2" x14ac:dyDescent="0.5">
      <c r="A517" s="1">
        <v>45807</v>
      </c>
      <c r="B517" s="2">
        <v>3.5</v>
      </c>
    </row>
    <row r="518" spans="1:2" x14ac:dyDescent="0.5">
      <c r="A518" s="1">
        <v>45808</v>
      </c>
      <c r="B518" s="2">
        <v>4</v>
      </c>
    </row>
    <row r="519" spans="1:2" x14ac:dyDescent="0.5">
      <c r="A519" s="1">
        <v>45809</v>
      </c>
      <c r="B519" s="2">
        <v>5</v>
      </c>
    </row>
    <row r="520" spans="1:2" x14ac:dyDescent="0.5">
      <c r="A520" s="1">
        <v>45810</v>
      </c>
      <c r="B520" s="2">
        <v>0</v>
      </c>
    </row>
    <row r="521" spans="1:2" x14ac:dyDescent="0.5">
      <c r="A521" s="1">
        <v>45811</v>
      </c>
      <c r="B521" s="2">
        <v>4</v>
      </c>
    </row>
    <row r="522" spans="1:2" x14ac:dyDescent="0.5">
      <c r="A522" s="1">
        <v>45812</v>
      </c>
      <c r="B522" s="2">
        <v>4</v>
      </c>
    </row>
    <row r="523" spans="1:2" x14ac:dyDescent="0.5">
      <c r="A523" s="1">
        <v>45813</v>
      </c>
      <c r="B523" s="2">
        <v>6</v>
      </c>
    </row>
    <row r="524" spans="1:2" x14ac:dyDescent="0.5">
      <c r="A524" s="1">
        <v>45814</v>
      </c>
      <c r="B524" s="2">
        <v>5</v>
      </c>
    </row>
    <row r="525" spans="1:2" x14ac:dyDescent="0.5">
      <c r="A525" s="1">
        <v>45815</v>
      </c>
      <c r="B525" s="2">
        <v>5.5</v>
      </c>
    </row>
    <row r="526" spans="1:2" x14ac:dyDescent="0.5">
      <c r="A526" s="1">
        <v>45816</v>
      </c>
      <c r="B526" s="2">
        <v>6</v>
      </c>
    </row>
    <row r="527" spans="1:2" x14ac:dyDescent="0.5">
      <c r="A527" s="1">
        <v>45817</v>
      </c>
      <c r="B527" s="2">
        <v>4</v>
      </c>
    </row>
    <row r="528" spans="1:2" x14ac:dyDescent="0.5">
      <c r="A528" s="1">
        <v>45818</v>
      </c>
      <c r="B528" s="2">
        <v>5</v>
      </c>
    </row>
    <row r="529" spans="1:2" x14ac:dyDescent="0.5">
      <c r="A529" s="1">
        <v>45819</v>
      </c>
      <c r="B529" s="2">
        <v>2</v>
      </c>
    </row>
    <row r="530" spans="1:2" x14ac:dyDescent="0.5">
      <c r="A530" s="1">
        <v>45820</v>
      </c>
      <c r="B530" s="2">
        <v>4</v>
      </c>
    </row>
    <row r="531" spans="1:2" x14ac:dyDescent="0.5">
      <c r="A531" s="1">
        <v>45821</v>
      </c>
      <c r="B531" s="2">
        <v>5</v>
      </c>
    </row>
    <row r="532" spans="1:2" x14ac:dyDescent="0.5">
      <c r="A532" s="1">
        <v>45822</v>
      </c>
      <c r="B532" s="2">
        <v>5</v>
      </c>
    </row>
    <row r="533" spans="1:2" x14ac:dyDescent="0.5">
      <c r="A533" s="1">
        <v>45823</v>
      </c>
      <c r="B533" s="2">
        <v>4.8</v>
      </c>
    </row>
    <row r="534" spans="1:2" x14ac:dyDescent="0.5">
      <c r="A534" s="1">
        <v>45824</v>
      </c>
      <c r="B534" s="2">
        <v>4</v>
      </c>
    </row>
    <row r="535" spans="1:2" x14ac:dyDescent="0.5">
      <c r="A535" s="1">
        <v>45825</v>
      </c>
      <c r="B535" s="2">
        <v>4</v>
      </c>
    </row>
    <row r="536" spans="1:2" x14ac:dyDescent="0.5">
      <c r="A536" s="1">
        <v>45826</v>
      </c>
      <c r="B536" s="2">
        <v>4.5</v>
      </c>
    </row>
    <row r="537" spans="1:2" x14ac:dyDescent="0.5">
      <c r="A537" s="1">
        <v>45827</v>
      </c>
      <c r="B537" s="2">
        <v>4.5</v>
      </c>
    </row>
    <row r="538" spans="1:2" x14ac:dyDescent="0.5">
      <c r="A538" s="1">
        <v>45828</v>
      </c>
      <c r="B538" s="2">
        <v>5</v>
      </c>
    </row>
    <row r="539" spans="1:2" x14ac:dyDescent="0.5">
      <c r="A539" s="1">
        <v>45829</v>
      </c>
      <c r="B539" s="2">
        <v>8.5</v>
      </c>
    </row>
    <row r="540" spans="1:2" x14ac:dyDescent="0.5">
      <c r="A540" s="1">
        <v>45830</v>
      </c>
      <c r="B540" s="2">
        <v>9</v>
      </c>
    </row>
    <row r="541" spans="1:2" x14ac:dyDescent="0.5">
      <c r="A541" s="1">
        <v>45831</v>
      </c>
      <c r="B541" s="2">
        <v>3.5</v>
      </c>
    </row>
    <row r="542" spans="1:2" x14ac:dyDescent="0.5">
      <c r="A542" s="1">
        <v>45832</v>
      </c>
      <c r="B542" s="2">
        <v>6</v>
      </c>
    </row>
    <row r="543" spans="1:2" x14ac:dyDescent="0.5">
      <c r="A543" s="1">
        <v>45833</v>
      </c>
      <c r="B543" s="2">
        <v>6</v>
      </c>
    </row>
    <row r="544" spans="1:2" x14ac:dyDescent="0.5">
      <c r="A544" s="1">
        <v>45834</v>
      </c>
      <c r="B544" s="2">
        <v>4.5</v>
      </c>
    </row>
    <row r="545" spans="1:2" x14ac:dyDescent="0.5">
      <c r="A545" s="1">
        <v>45835</v>
      </c>
      <c r="B545" s="2">
        <v>5</v>
      </c>
    </row>
    <row r="546" spans="1:2" x14ac:dyDescent="0.5">
      <c r="A546" s="1">
        <v>45836</v>
      </c>
      <c r="B546" s="2">
        <v>5</v>
      </c>
    </row>
    <row r="547" spans="1:2" x14ac:dyDescent="0.5">
      <c r="A547" s="1">
        <v>45837</v>
      </c>
      <c r="B547" s="2">
        <v>6</v>
      </c>
    </row>
    <row r="548" spans="1:2" x14ac:dyDescent="0.5">
      <c r="A548" s="1">
        <v>45838</v>
      </c>
      <c r="B548" s="2">
        <v>5</v>
      </c>
    </row>
    <row r="549" spans="1:2" x14ac:dyDescent="0.5">
      <c r="A549" s="1">
        <v>45839</v>
      </c>
      <c r="B549" s="2">
        <v>4</v>
      </c>
    </row>
    <row r="550" spans="1:2" x14ac:dyDescent="0.5">
      <c r="A550" s="1">
        <v>45840</v>
      </c>
      <c r="B550" s="2">
        <v>4.0999999999999996</v>
      </c>
    </row>
    <row r="551" spans="1:2" x14ac:dyDescent="0.5">
      <c r="A551" s="1">
        <v>45841</v>
      </c>
      <c r="B551" s="2">
        <v>4.2</v>
      </c>
    </row>
    <row r="552" spans="1:2" x14ac:dyDescent="0.5">
      <c r="A552" s="1">
        <v>45842</v>
      </c>
      <c r="B552" s="2">
        <v>8.8000000000000007</v>
      </c>
    </row>
    <row r="553" spans="1:2" x14ac:dyDescent="0.5">
      <c r="A553" s="1">
        <v>45843</v>
      </c>
      <c r="B553" s="2">
        <v>9</v>
      </c>
    </row>
    <row r="554" spans="1:2" x14ac:dyDescent="0.5">
      <c r="A554" s="1">
        <v>45844</v>
      </c>
      <c r="B554" s="2">
        <v>4.3</v>
      </c>
    </row>
    <row r="555" spans="1:2" x14ac:dyDescent="0.5">
      <c r="A555" s="1">
        <v>45845</v>
      </c>
      <c r="B555" s="2">
        <v>4.4000000000000004</v>
      </c>
    </row>
    <row r="556" spans="1:2" x14ac:dyDescent="0.5">
      <c r="A556" s="1">
        <v>45846</v>
      </c>
      <c r="B556" s="2">
        <v>5</v>
      </c>
    </row>
    <row r="557" spans="1:2" x14ac:dyDescent="0.5">
      <c r="A557" s="1">
        <v>45847</v>
      </c>
      <c r="B557" s="2">
        <v>1</v>
      </c>
    </row>
    <row r="558" spans="1:2" x14ac:dyDescent="0.5">
      <c r="A558" s="1">
        <v>45848</v>
      </c>
      <c r="B558" s="2">
        <v>6.5</v>
      </c>
    </row>
    <row r="559" spans="1:2" x14ac:dyDescent="0.5">
      <c r="A559" s="1">
        <v>45849</v>
      </c>
      <c r="B559" s="2">
        <v>9.1999999999999993</v>
      </c>
    </row>
    <row r="560" spans="1:2" x14ac:dyDescent="0.5">
      <c r="A560" s="1">
        <v>45850</v>
      </c>
      <c r="B560" s="2">
        <v>4.5</v>
      </c>
    </row>
    <row r="561" spans="1:2" x14ac:dyDescent="0.5">
      <c r="A561" s="1">
        <v>45851</v>
      </c>
      <c r="B561" s="2">
        <v>3</v>
      </c>
    </row>
    <row r="562" spans="1:2" x14ac:dyDescent="0.5">
      <c r="A562" s="1">
        <v>45852</v>
      </c>
      <c r="B562" s="2">
        <v>7.5</v>
      </c>
    </row>
    <row r="563" spans="1:2" x14ac:dyDescent="0.5">
      <c r="A563" s="1">
        <v>45853</v>
      </c>
      <c r="B563" s="2">
        <v>7</v>
      </c>
    </row>
    <row r="564" spans="1:2" x14ac:dyDescent="0.5">
      <c r="A564" s="1">
        <v>45854</v>
      </c>
      <c r="B564" s="2">
        <v>4.5</v>
      </c>
    </row>
    <row r="565" spans="1:2" x14ac:dyDescent="0.5">
      <c r="A565" s="1">
        <v>45855</v>
      </c>
      <c r="B565" s="2">
        <v>4.5</v>
      </c>
    </row>
    <row r="566" spans="1:2" x14ac:dyDescent="0.5">
      <c r="A566" s="1">
        <v>45856</v>
      </c>
      <c r="B566" s="2">
        <v>4.5</v>
      </c>
    </row>
    <row r="567" spans="1:2" x14ac:dyDescent="0.5">
      <c r="A567" s="1">
        <v>45857</v>
      </c>
      <c r="B567" s="2">
        <v>6</v>
      </c>
    </row>
    <row r="568" spans="1:2" x14ac:dyDescent="0.5">
      <c r="A568" s="1">
        <v>45858</v>
      </c>
      <c r="B568" s="2">
        <v>6</v>
      </c>
    </row>
    <row r="569" spans="1:2" x14ac:dyDescent="0.5">
      <c r="A569" s="1">
        <v>45859</v>
      </c>
      <c r="B569" s="2">
        <v>4</v>
      </c>
    </row>
    <row r="570" spans="1:2" x14ac:dyDescent="0.5">
      <c r="A570" s="1">
        <v>45860</v>
      </c>
      <c r="B570" s="2">
        <v>3.5</v>
      </c>
    </row>
    <row r="571" spans="1:2" x14ac:dyDescent="0.5">
      <c r="A571" s="1">
        <v>45861</v>
      </c>
      <c r="B571" s="2">
        <v>4</v>
      </c>
    </row>
    <row r="572" spans="1:2" x14ac:dyDescent="0.5">
      <c r="A572" s="1">
        <v>45862</v>
      </c>
      <c r="B572" s="2">
        <v>4.5</v>
      </c>
    </row>
    <row r="573" spans="1:2" x14ac:dyDescent="0.5">
      <c r="A573" s="1">
        <v>45863</v>
      </c>
      <c r="B573" s="2">
        <v>4.5999999999999996</v>
      </c>
    </row>
    <row r="574" spans="1:2" x14ac:dyDescent="0.5">
      <c r="A574" s="1">
        <v>45864</v>
      </c>
      <c r="B574" s="2">
        <v>8</v>
      </c>
    </row>
    <row r="575" spans="1:2" x14ac:dyDescent="0.5">
      <c r="A575" s="1">
        <v>45865</v>
      </c>
      <c r="B575" s="2">
        <v>7.5</v>
      </c>
    </row>
    <row r="576" spans="1:2" x14ac:dyDescent="0.5">
      <c r="A576" s="1">
        <v>45866</v>
      </c>
      <c r="B576" s="2">
        <v>4.5</v>
      </c>
    </row>
    <row r="577" spans="1:2" x14ac:dyDescent="0.5">
      <c r="A577" s="1">
        <v>45867</v>
      </c>
      <c r="B577" s="2">
        <v>5</v>
      </c>
    </row>
    <row r="578" spans="1:2" x14ac:dyDescent="0.5">
      <c r="A578" s="1">
        <v>45868</v>
      </c>
      <c r="B578" s="2">
        <v>3.5</v>
      </c>
    </row>
    <row r="579" spans="1:2" x14ac:dyDescent="0.5">
      <c r="A579" s="1">
        <v>45869</v>
      </c>
      <c r="B579" s="2">
        <v>10</v>
      </c>
    </row>
    <row r="580" spans="1:2" x14ac:dyDescent="0.5">
      <c r="A580" s="1">
        <v>45870</v>
      </c>
      <c r="B580" s="2">
        <v>7</v>
      </c>
    </row>
    <row r="581" spans="1:2" x14ac:dyDescent="0.5">
      <c r="A581" s="1">
        <v>45871</v>
      </c>
      <c r="B581" s="2">
        <v>4</v>
      </c>
    </row>
    <row r="582" spans="1:2" x14ac:dyDescent="0.5">
      <c r="A582" s="1">
        <v>45872</v>
      </c>
      <c r="B582" s="2">
        <v>2</v>
      </c>
    </row>
    <row r="583" spans="1:2" x14ac:dyDescent="0.5">
      <c r="A583" s="1">
        <v>45873</v>
      </c>
      <c r="B583" s="2">
        <v>4</v>
      </c>
    </row>
    <row r="584" spans="1:2" x14ac:dyDescent="0.5">
      <c r="A584" s="1">
        <v>45874</v>
      </c>
      <c r="B584" s="2">
        <v>3.9</v>
      </c>
    </row>
    <row r="585" spans="1:2" x14ac:dyDescent="0.5">
      <c r="A585" s="1">
        <v>45875</v>
      </c>
      <c r="B585" s="2">
        <v>4</v>
      </c>
    </row>
    <row r="586" spans="1:2" x14ac:dyDescent="0.5">
      <c r="A586" s="1">
        <v>45876</v>
      </c>
      <c r="B586" s="2">
        <v>5.5</v>
      </c>
    </row>
    <row r="587" spans="1:2" x14ac:dyDescent="0.5">
      <c r="A587" s="1">
        <v>45877</v>
      </c>
      <c r="B587" s="2">
        <v>6</v>
      </c>
    </row>
    <row r="588" spans="1:2" x14ac:dyDescent="0.5">
      <c r="A588" s="1">
        <v>45878</v>
      </c>
      <c r="B588" s="2">
        <v>5.8</v>
      </c>
    </row>
    <row r="589" spans="1:2" x14ac:dyDescent="0.5">
      <c r="A589" s="1">
        <v>45879</v>
      </c>
      <c r="B589" s="2">
        <v>4</v>
      </c>
    </row>
    <row r="590" spans="1:2" x14ac:dyDescent="0.5">
      <c r="A590" s="1">
        <v>45880</v>
      </c>
      <c r="B590" s="2">
        <v>5</v>
      </c>
    </row>
    <row r="591" spans="1:2" x14ac:dyDescent="0.5">
      <c r="A591" s="1">
        <v>45881</v>
      </c>
      <c r="B591" s="2">
        <v>5.5</v>
      </c>
    </row>
    <row r="592" spans="1:2" x14ac:dyDescent="0.5">
      <c r="A592" s="1">
        <v>45882</v>
      </c>
      <c r="B592" s="2">
        <v>7.5</v>
      </c>
    </row>
    <row r="593" spans="1:2" x14ac:dyDescent="0.5">
      <c r="A593" s="1">
        <v>45883</v>
      </c>
      <c r="B593" s="2">
        <v>5</v>
      </c>
    </row>
    <row r="594" spans="1:2" x14ac:dyDescent="0.5">
      <c r="A594" s="1">
        <v>45884</v>
      </c>
      <c r="B594" s="2">
        <v>5</v>
      </c>
    </row>
    <row r="595" spans="1:2" x14ac:dyDescent="0.5">
      <c r="A595" s="1">
        <v>45885</v>
      </c>
      <c r="B595" s="2">
        <v>6</v>
      </c>
    </row>
    <row r="596" spans="1:2" x14ac:dyDescent="0.5">
      <c r="A596" s="1">
        <v>45886</v>
      </c>
      <c r="B596" s="2">
        <v>7</v>
      </c>
    </row>
    <row r="597" spans="1:2" x14ac:dyDescent="0.5">
      <c r="A597" s="1">
        <v>45887</v>
      </c>
      <c r="B597" s="2">
        <v>4</v>
      </c>
    </row>
    <row r="598" spans="1:2" x14ac:dyDescent="0.5">
      <c r="A598" s="1">
        <v>45888</v>
      </c>
      <c r="B598" s="2">
        <v>2</v>
      </c>
    </row>
    <row r="599" spans="1:2" x14ac:dyDescent="0.5">
      <c r="A599" s="1">
        <v>45889</v>
      </c>
      <c r="B599" s="2">
        <v>4</v>
      </c>
    </row>
    <row r="600" spans="1:2" x14ac:dyDescent="0.5">
      <c r="A600" s="1">
        <v>45890</v>
      </c>
      <c r="B600" s="2">
        <v>4</v>
      </c>
    </row>
    <row r="601" spans="1:2" x14ac:dyDescent="0.5">
      <c r="A601" s="1">
        <v>45891</v>
      </c>
      <c r="B601" s="2">
        <v>5</v>
      </c>
    </row>
    <row r="602" spans="1:2" x14ac:dyDescent="0.5">
      <c r="A602" s="1">
        <v>45892</v>
      </c>
      <c r="B602" s="2">
        <v>7</v>
      </c>
    </row>
    <row r="603" spans="1:2" x14ac:dyDescent="0.5">
      <c r="A603" s="1">
        <v>45893</v>
      </c>
      <c r="B603" s="2">
        <v>1</v>
      </c>
    </row>
    <row r="604" spans="1:2" x14ac:dyDescent="0.5">
      <c r="A604" s="1">
        <v>45894</v>
      </c>
      <c r="B604" s="2">
        <v>2</v>
      </c>
    </row>
    <row r="605" spans="1:2" x14ac:dyDescent="0.5">
      <c r="A605" s="1">
        <v>45895</v>
      </c>
      <c r="B605" s="2">
        <v>2</v>
      </c>
    </row>
    <row r="606" spans="1:2" x14ac:dyDescent="0.5">
      <c r="A606" s="1">
        <v>45896</v>
      </c>
      <c r="B606" s="2">
        <v>2</v>
      </c>
    </row>
    <row r="607" spans="1:2" x14ac:dyDescent="0.5">
      <c r="A607" s="1">
        <v>45897</v>
      </c>
      <c r="B607" s="2">
        <v>4</v>
      </c>
    </row>
    <row r="608" spans="1:2" x14ac:dyDescent="0.5">
      <c r="A608" s="1">
        <v>45898</v>
      </c>
      <c r="B608" s="2">
        <v>6</v>
      </c>
    </row>
    <row r="609" spans="1:2" x14ac:dyDescent="0.5">
      <c r="A609" s="1">
        <v>45899</v>
      </c>
      <c r="B609" s="2">
        <v>6</v>
      </c>
    </row>
    <row r="610" spans="1:2" x14ac:dyDescent="0.5">
      <c r="A610" s="1">
        <v>45900</v>
      </c>
      <c r="B610" s="2">
        <v>5</v>
      </c>
    </row>
    <row r="611" spans="1:2" x14ac:dyDescent="0.5">
      <c r="A611" s="1">
        <v>45901</v>
      </c>
      <c r="B611" s="2">
        <v>5</v>
      </c>
    </row>
    <row r="612" spans="1:2" x14ac:dyDescent="0.5">
      <c r="A612" s="1">
        <v>45902</v>
      </c>
      <c r="B612" s="2">
        <v>5</v>
      </c>
    </row>
    <row r="613" spans="1:2" x14ac:dyDescent="0.5">
      <c r="A613" s="1">
        <v>45903</v>
      </c>
      <c r="B613" s="2">
        <v>4.5</v>
      </c>
    </row>
    <row r="614" spans="1:2" x14ac:dyDescent="0.5">
      <c r="A614" s="1">
        <v>45904</v>
      </c>
      <c r="B614" s="2">
        <v>5</v>
      </c>
    </row>
    <row r="615" spans="1:2" x14ac:dyDescent="0.5">
      <c r="A615" s="1">
        <v>45905</v>
      </c>
      <c r="B615" s="2">
        <v>6</v>
      </c>
    </row>
    <row r="616" spans="1:2" x14ac:dyDescent="0.5">
      <c r="A616" s="1">
        <v>45906</v>
      </c>
      <c r="B616" s="2">
        <v>7</v>
      </c>
    </row>
    <row r="617" spans="1:2" x14ac:dyDescent="0.5">
      <c r="A617" s="1">
        <v>45907</v>
      </c>
      <c r="B617" s="2">
        <v>7</v>
      </c>
    </row>
    <row r="618" spans="1:2" x14ac:dyDescent="0.5">
      <c r="A618" s="1">
        <v>45908</v>
      </c>
      <c r="B618" s="2">
        <v>6</v>
      </c>
    </row>
    <row r="619" spans="1:2" x14ac:dyDescent="0.5">
      <c r="A619" s="1">
        <v>45909</v>
      </c>
      <c r="B619" s="2">
        <v>3</v>
      </c>
    </row>
    <row r="620" spans="1:2" x14ac:dyDescent="0.5">
      <c r="A620" s="1">
        <v>45910</v>
      </c>
      <c r="B620" s="2">
        <v>5</v>
      </c>
    </row>
    <row r="621" spans="1:2" x14ac:dyDescent="0.5">
      <c r="A621" s="1">
        <v>45911</v>
      </c>
      <c r="B621" s="2">
        <v>4</v>
      </c>
    </row>
    <row r="622" spans="1:2" x14ac:dyDescent="0.5">
      <c r="A622" s="1">
        <v>45912</v>
      </c>
      <c r="B622" s="2">
        <v>4</v>
      </c>
    </row>
    <row r="623" spans="1:2" x14ac:dyDescent="0.5">
      <c r="A623" s="1">
        <v>45913</v>
      </c>
      <c r="B623" s="2">
        <v>4</v>
      </c>
    </row>
    <row r="624" spans="1:2" x14ac:dyDescent="0.5">
      <c r="A624" s="1">
        <v>45914</v>
      </c>
      <c r="B624" s="2">
        <v>3</v>
      </c>
    </row>
    <row r="625" spans="1:2" x14ac:dyDescent="0.5">
      <c r="A625" s="1">
        <v>45915</v>
      </c>
      <c r="B625" s="2">
        <v>8</v>
      </c>
    </row>
    <row r="626" spans="1:2" x14ac:dyDescent="0.5">
      <c r="A626" s="1">
        <v>45916</v>
      </c>
      <c r="B626" s="2">
        <v>6</v>
      </c>
    </row>
    <row r="627" spans="1:2" x14ac:dyDescent="0.5">
      <c r="A627" s="1">
        <v>45917</v>
      </c>
      <c r="B627" s="2">
        <v>10</v>
      </c>
    </row>
    <row r="628" spans="1:2" x14ac:dyDescent="0.5">
      <c r="A628" s="1">
        <v>45918</v>
      </c>
      <c r="B628" s="2">
        <v>6</v>
      </c>
    </row>
    <row r="629" spans="1:2" x14ac:dyDescent="0.5">
      <c r="A629" s="1">
        <v>45919</v>
      </c>
      <c r="B629" s="2">
        <v>8.1</v>
      </c>
    </row>
    <row r="630" spans="1:2" x14ac:dyDescent="0.5">
      <c r="A630" s="1">
        <v>45920</v>
      </c>
      <c r="B630" s="2">
        <v>8</v>
      </c>
    </row>
    <row r="631" spans="1:2" x14ac:dyDescent="0.5">
      <c r="A631" s="1">
        <v>45921</v>
      </c>
      <c r="B631" s="2">
        <v>7.5</v>
      </c>
    </row>
    <row r="632" spans="1:2" x14ac:dyDescent="0.5">
      <c r="A632" s="1">
        <v>45922</v>
      </c>
      <c r="B632" s="2">
        <v>6</v>
      </c>
    </row>
    <row r="633" spans="1:2" x14ac:dyDescent="0.5">
      <c r="A633" s="1">
        <v>45923</v>
      </c>
      <c r="B633" s="2">
        <v>5.5</v>
      </c>
    </row>
    <row r="634" spans="1:2" x14ac:dyDescent="0.5">
      <c r="A634" s="1">
        <v>45924</v>
      </c>
      <c r="B634" s="2">
        <v>5.3</v>
      </c>
    </row>
    <row r="635" spans="1:2" x14ac:dyDescent="0.5">
      <c r="A635" s="1">
        <v>45925</v>
      </c>
      <c r="B635" s="2">
        <v>3.5</v>
      </c>
    </row>
    <row r="636" spans="1:2" x14ac:dyDescent="0.5">
      <c r="A636" s="1">
        <v>45926</v>
      </c>
      <c r="B636" s="2">
        <v>4.5</v>
      </c>
    </row>
    <row r="637" spans="1:2" x14ac:dyDescent="0.5">
      <c r="A637" s="1">
        <v>45927</v>
      </c>
      <c r="B637" s="2">
        <v>6.8</v>
      </c>
    </row>
    <row r="638" spans="1:2" x14ac:dyDescent="0.5">
      <c r="A638" s="1">
        <v>45928</v>
      </c>
      <c r="B638" s="2">
        <v>7.8</v>
      </c>
    </row>
    <row r="639" spans="1:2" x14ac:dyDescent="0.5">
      <c r="A639" s="1">
        <v>45929</v>
      </c>
      <c r="B639" s="2">
        <v>6</v>
      </c>
    </row>
    <row r="640" spans="1:2" x14ac:dyDescent="0.5">
      <c r="A640" s="1">
        <v>45930</v>
      </c>
      <c r="B640" s="2">
        <v>7</v>
      </c>
    </row>
    <row r="641" spans="1:2" x14ac:dyDescent="0.5">
      <c r="A641" s="1">
        <v>45931</v>
      </c>
      <c r="B641" s="2">
        <v>5.6</v>
      </c>
    </row>
    <row r="642" spans="1:2" x14ac:dyDescent="0.5">
      <c r="A642" s="1">
        <v>45932</v>
      </c>
      <c r="B642" s="2">
        <v>6.4</v>
      </c>
    </row>
    <row r="643" spans="1:2" x14ac:dyDescent="0.5">
      <c r="A643" s="1">
        <v>45933</v>
      </c>
      <c r="B643" s="2">
        <v>5</v>
      </c>
    </row>
    <row r="644" spans="1:2" x14ac:dyDescent="0.5">
      <c r="A644" s="1">
        <v>45934</v>
      </c>
      <c r="B644" s="2">
        <v>8</v>
      </c>
    </row>
    <row r="645" spans="1:2" x14ac:dyDescent="0.5">
      <c r="A645" s="1">
        <v>45935</v>
      </c>
      <c r="B645" s="2">
        <v>6.5</v>
      </c>
    </row>
    <row r="646" spans="1:2" x14ac:dyDescent="0.5">
      <c r="A646" s="1">
        <v>45936</v>
      </c>
      <c r="B646" s="2">
        <v>4.5</v>
      </c>
    </row>
    <row r="647" spans="1:2" x14ac:dyDescent="0.5">
      <c r="A647" s="1">
        <v>45937</v>
      </c>
      <c r="B647" s="2">
        <v>4</v>
      </c>
    </row>
    <row r="648" spans="1:2" x14ac:dyDescent="0.5">
      <c r="A648" s="1">
        <v>45938</v>
      </c>
      <c r="B648" s="2">
        <v>4.5</v>
      </c>
    </row>
    <row r="649" spans="1:2" x14ac:dyDescent="0.5">
      <c r="A649" s="1">
        <v>45939</v>
      </c>
      <c r="B649" s="2">
        <v>4.5</v>
      </c>
    </row>
    <row r="650" spans="1:2" x14ac:dyDescent="0.5">
      <c r="A650" s="1">
        <v>45940</v>
      </c>
      <c r="B650" s="2">
        <v>4.5</v>
      </c>
    </row>
    <row r="651" spans="1:2" x14ac:dyDescent="0.5">
      <c r="A651" s="1">
        <v>45941</v>
      </c>
      <c r="B651" s="2">
        <v>6</v>
      </c>
    </row>
    <row r="652" spans="1:2" x14ac:dyDescent="0.5">
      <c r="A652" s="1">
        <v>45942</v>
      </c>
      <c r="B652" s="2">
        <v>3.5</v>
      </c>
    </row>
    <row r="653" spans="1:2" x14ac:dyDescent="0.5">
      <c r="A653" s="1">
        <v>45943</v>
      </c>
      <c r="B653" s="2">
        <v>8</v>
      </c>
    </row>
    <row r="654" spans="1:2" x14ac:dyDescent="0.5">
      <c r="A654" s="1">
        <v>45944</v>
      </c>
      <c r="B654" s="2">
        <v>7</v>
      </c>
    </row>
    <row r="655" spans="1:2" x14ac:dyDescent="0.5">
      <c r="A655" s="1">
        <v>45945</v>
      </c>
      <c r="B655" s="2">
        <v>6</v>
      </c>
    </row>
    <row r="656" spans="1:2" x14ac:dyDescent="0.5">
      <c r="A656" s="1">
        <v>45946</v>
      </c>
      <c r="B656" s="2">
        <v>7</v>
      </c>
    </row>
    <row r="657" spans="1:2" x14ac:dyDescent="0.5">
      <c r="A657" s="1">
        <v>45947</v>
      </c>
      <c r="B657" s="2">
        <v>5.5</v>
      </c>
    </row>
    <row r="658" spans="1:2" x14ac:dyDescent="0.5">
      <c r="A658" s="1">
        <v>45948</v>
      </c>
      <c r="B658" s="2">
        <v>7</v>
      </c>
    </row>
    <row r="659" spans="1:2" x14ac:dyDescent="0.5">
      <c r="A659" s="1">
        <v>45949</v>
      </c>
      <c r="B659" s="2">
        <v>7</v>
      </c>
    </row>
    <row r="660" spans="1:2" x14ac:dyDescent="0.5">
      <c r="A660" s="1">
        <v>45950</v>
      </c>
      <c r="B660" s="2">
        <v>4</v>
      </c>
    </row>
    <row r="661" spans="1:2" x14ac:dyDescent="0.5">
      <c r="A661" s="1">
        <v>45951</v>
      </c>
      <c r="B661" s="2">
        <v>6</v>
      </c>
    </row>
    <row r="662" spans="1:2" x14ac:dyDescent="0.5">
      <c r="A662" s="1">
        <v>45952</v>
      </c>
      <c r="B662" s="2">
        <v>6</v>
      </c>
    </row>
    <row r="663" spans="1:2" x14ac:dyDescent="0.5">
      <c r="A663" s="1">
        <v>45953</v>
      </c>
      <c r="B663" s="2">
        <v>3</v>
      </c>
    </row>
    <row r="664" spans="1:2" x14ac:dyDescent="0.5">
      <c r="A664" s="1">
        <v>45954</v>
      </c>
      <c r="B664" s="2">
        <v>8.3000000000000007</v>
      </c>
    </row>
    <row r="665" spans="1:2" x14ac:dyDescent="0.5">
      <c r="A665" s="1">
        <v>45955</v>
      </c>
      <c r="B665" s="2">
        <v>5.7</v>
      </c>
    </row>
    <row r="666" spans="1:2" x14ac:dyDescent="0.5">
      <c r="A666" s="1">
        <v>45956</v>
      </c>
      <c r="B666" s="2">
        <v>4</v>
      </c>
    </row>
    <row r="667" spans="1:2" x14ac:dyDescent="0.5">
      <c r="A667" s="1">
        <v>45957</v>
      </c>
      <c r="B667" s="2">
        <v>4.5</v>
      </c>
    </row>
    <row r="668" spans="1:2" x14ac:dyDescent="0.5">
      <c r="A668" s="1">
        <v>45958</v>
      </c>
      <c r="B668" s="2">
        <v>7</v>
      </c>
    </row>
    <row r="669" spans="1:2" x14ac:dyDescent="0.5">
      <c r="A669" s="1">
        <v>45959</v>
      </c>
      <c r="B669" s="2">
        <v>4.5</v>
      </c>
    </row>
    <row r="670" spans="1:2" x14ac:dyDescent="0.5">
      <c r="A670" s="1">
        <v>45960</v>
      </c>
      <c r="B670" s="2">
        <v>5</v>
      </c>
    </row>
    <row r="671" spans="1:2" x14ac:dyDescent="0.5">
      <c r="A671" s="1">
        <v>45961</v>
      </c>
      <c r="B671" s="2">
        <v>6</v>
      </c>
    </row>
    <row r="672" spans="1:2" x14ac:dyDescent="0.5">
      <c r="A672" s="1">
        <v>45962</v>
      </c>
      <c r="B672" s="2">
        <v>4.8</v>
      </c>
    </row>
    <row r="673" spans="1:2" x14ac:dyDescent="0.5">
      <c r="A673" s="1">
        <v>45963</v>
      </c>
      <c r="B673" s="2">
        <v>4.5</v>
      </c>
    </row>
    <row r="674" spans="1:2" x14ac:dyDescent="0.5">
      <c r="A674" s="1">
        <v>45964</v>
      </c>
      <c r="B674" s="2">
        <v>0.5</v>
      </c>
    </row>
    <row r="675" spans="1:2" x14ac:dyDescent="0.5">
      <c r="A675" s="1">
        <v>45965</v>
      </c>
      <c r="B675" s="2">
        <v>6</v>
      </c>
    </row>
    <row r="676" spans="1:2" x14ac:dyDescent="0.5">
      <c r="A676" s="1">
        <v>45966</v>
      </c>
      <c r="B676" s="2">
        <v>5</v>
      </c>
    </row>
    <row r="677" spans="1:2" x14ac:dyDescent="0.5">
      <c r="A677" s="1">
        <v>45967</v>
      </c>
      <c r="B677" s="2">
        <v>6</v>
      </c>
    </row>
    <row r="678" spans="1:2" x14ac:dyDescent="0.5">
      <c r="A678" s="1">
        <v>45968</v>
      </c>
      <c r="B678" s="2">
        <v>5.8</v>
      </c>
    </row>
    <row r="679" spans="1:2" x14ac:dyDescent="0.5">
      <c r="A679" s="1">
        <v>45969</v>
      </c>
      <c r="B679" s="2">
        <v>6</v>
      </c>
    </row>
    <row r="680" spans="1:2" x14ac:dyDescent="0.5">
      <c r="A680" s="1">
        <v>45970</v>
      </c>
      <c r="B680" s="2">
        <v>5.5</v>
      </c>
    </row>
    <row r="681" spans="1:2" x14ac:dyDescent="0.5">
      <c r="A681" s="1">
        <v>45971</v>
      </c>
      <c r="B681" s="2">
        <v>5.6</v>
      </c>
    </row>
    <row r="682" spans="1:2" x14ac:dyDescent="0.5">
      <c r="A682" s="1">
        <v>45972</v>
      </c>
      <c r="B682" s="2">
        <v>5</v>
      </c>
    </row>
    <row r="683" spans="1:2" x14ac:dyDescent="0.5">
      <c r="A683" s="1">
        <v>45973</v>
      </c>
      <c r="B683" s="2">
        <v>6.5</v>
      </c>
    </row>
    <row r="684" spans="1:2" x14ac:dyDescent="0.5">
      <c r="A684" s="1">
        <v>45974</v>
      </c>
      <c r="B684" s="2">
        <v>5.5</v>
      </c>
    </row>
    <row r="685" spans="1:2" x14ac:dyDescent="0.5">
      <c r="A685" s="1">
        <v>45975</v>
      </c>
      <c r="B685" s="2">
        <v>7.5</v>
      </c>
    </row>
    <row r="686" spans="1:2" x14ac:dyDescent="0.5">
      <c r="A686" s="1">
        <v>45976</v>
      </c>
      <c r="B686" s="2">
        <v>9</v>
      </c>
    </row>
    <row r="687" spans="1:2" x14ac:dyDescent="0.5">
      <c r="A687" s="1">
        <v>45977</v>
      </c>
      <c r="B687" s="2">
        <v>6.8</v>
      </c>
    </row>
    <row r="688" spans="1:2" x14ac:dyDescent="0.5">
      <c r="A688" s="1">
        <v>45978</v>
      </c>
      <c r="B688" s="2">
        <v>7</v>
      </c>
    </row>
    <row r="689" spans="1:2" x14ac:dyDescent="0.5">
      <c r="A689" s="1">
        <v>45979</v>
      </c>
      <c r="B689" s="2">
        <v>6</v>
      </c>
    </row>
    <row r="690" spans="1:2" x14ac:dyDescent="0.5">
      <c r="A690" s="1">
        <v>45980</v>
      </c>
      <c r="B690" s="2">
        <v>6</v>
      </c>
    </row>
    <row r="691" spans="1:2" x14ac:dyDescent="0.5">
      <c r="A691" s="1">
        <v>45981</v>
      </c>
      <c r="B691" s="2">
        <v>5.6</v>
      </c>
    </row>
    <row r="692" spans="1:2" x14ac:dyDescent="0.5">
      <c r="A692" s="1">
        <v>45982</v>
      </c>
      <c r="B692" s="2">
        <v>5.5</v>
      </c>
    </row>
    <row r="693" spans="1:2" x14ac:dyDescent="0.5">
      <c r="A693" s="1">
        <v>45983</v>
      </c>
      <c r="B693" s="2">
        <v>5</v>
      </c>
    </row>
    <row r="694" spans="1:2" x14ac:dyDescent="0.5">
      <c r="A694" s="1">
        <v>45984</v>
      </c>
      <c r="B694" s="2">
        <v>8</v>
      </c>
    </row>
    <row r="695" spans="1:2" x14ac:dyDescent="0.5">
      <c r="A695" s="1">
        <v>45985</v>
      </c>
      <c r="B695" s="2">
        <v>7.5</v>
      </c>
    </row>
    <row r="696" spans="1:2" x14ac:dyDescent="0.5">
      <c r="A696" s="1">
        <v>45986</v>
      </c>
      <c r="B696" s="2">
        <v>10</v>
      </c>
    </row>
    <row r="697" spans="1:2" x14ac:dyDescent="0.5">
      <c r="A697" s="1">
        <v>45987</v>
      </c>
      <c r="B697" s="2">
        <v>9.9</v>
      </c>
    </row>
    <row r="698" spans="1:2" x14ac:dyDescent="0.5">
      <c r="A698" s="1">
        <v>45988</v>
      </c>
      <c r="B698" s="2">
        <v>4.7</v>
      </c>
    </row>
    <row r="699" spans="1:2" x14ac:dyDescent="0.5">
      <c r="A699" s="1">
        <v>45989</v>
      </c>
      <c r="B699" s="2">
        <v>5.3</v>
      </c>
    </row>
    <row r="700" spans="1:2" x14ac:dyDescent="0.5">
      <c r="A700" s="1">
        <v>45990</v>
      </c>
      <c r="B700" s="2">
        <v>4.7</v>
      </c>
    </row>
    <row r="701" spans="1:2" x14ac:dyDescent="0.5">
      <c r="A701" s="1">
        <v>45991</v>
      </c>
      <c r="B701" s="2">
        <v>7</v>
      </c>
    </row>
    <row r="702" spans="1:2" x14ac:dyDescent="0.5">
      <c r="A702" s="1">
        <v>45992</v>
      </c>
      <c r="B702" s="2">
        <v>7</v>
      </c>
    </row>
    <row r="703" spans="1:2" x14ac:dyDescent="0.5">
      <c r="A703" s="1">
        <v>45993</v>
      </c>
      <c r="B703" s="2">
        <v>7</v>
      </c>
    </row>
    <row r="704" spans="1:2" x14ac:dyDescent="0.5">
      <c r="A704" s="1">
        <v>45994</v>
      </c>
      <c r="B704" s="2">
        <v>5</v>
      </c>
    </row>
    <row r="705" spans="1:2" x14ac:dyDescent="0.5">
      <c r="A705" s="1">
        <v>45995</v>
      </c>
      <c r="B705" s="2">
        <v>5.8</v>
      </c>
    </row>
    <row r="706" spans="1:2" x14ac:dyDescent="0.5">
      <c r="A706" s="1">
        <v>45996</v>
      </c>
      <c r="B706" s="2">
        <v>5.5</v>
      </c>
    </row>
    <row r="707" spans="1:2" x14ac:dyDescent="0.5">
      <c r="A707" s="1">
        <v>45997</v>
      </c>
      <c r="B707" s="2">
        <v>5.4</v>
      </c>
    </row>
    <row r="708" spans="1:2" x14ac:dyDescent="0.5">
      <c r="A708" s="1">
        <v>45998</v>
      </c>
      <c r="B708" s="2">
        <v>5.3</v>
      </c>
    </row>
    <row r="709" spans="1:2" x14ac:dyDescent="0.5">
      <c r="A709" s="1">
        <v>45999</v>
      </c>
      <c r="B709" s="2">
        <v>4.5</v>
      </c>
    </row>
    <row r="710" spans="1:2" x14ac:dyDescent="0.5">
      <c r="A710" s="1">
        <v>46000</v>
      </c>
      <c r="B710" s="2">
        <v>4.7</v>
      </c>
    </row>
    <row r="711" spans="1:2" x14ac:dyDescent="0.5">
      <c r="A711" s="1">
        <v>46001</v>
      </c>
      <c r="B711" s="2">
        <v>5</v>
      </c>
    </row>
    <row r="712" spans="1:2" x14ac:dyDescent="0.5">
      <c r="A712" s="1">
        <v>46002</v>
      </c>
      <c r="B712" s="2">
        <v>5.5</v>
      </c>
    </row>
    <row r="713" spans="1:2" x14ac:dyDescent="0.5">
      <c r="A713" s="1">
        <v>46003</v>
      </c>
      <c r="B713" s="2">
        <v>6</v>
      </c>
    </row>
    <row r="714" spans="1:2" x14ac:dyDescent="0.5">
      <c r="A714" s="1">
        <v>46004</v>
      </c>
      <c r="B714" s="2">
        <v>8</v>
      </c>
    </row>
    <row r="715" spans="1:2" x14ac:dyDescent="0.5">
      <c r="A715" s="1">
        <v>46005</v>
      </c>
      <c r="B715" s="2">
        <v>6</v>
      </c>
    </row>
    <row r="716" spans="1:2" x14ac:dyDescent="0.5">
      <c r="A716" s="1">
        <v>46006</v>
      </c>
      <c r="B716" s="2">
        <v>8</v>
      </c>
    </row>
    <row r="717" spans="1:2" x14ac:dyDescent="0.5">
      <c r="A717" s="1">
        <v>46007</v>
      </c>
      <c r="B717" s="2">
        <v>4.0999999999999996</v>
      </c>
    </row>
    <row r="718" spans="1:2" x14ac:dyDescent="0.5">
      <c r="A718" s="1">
        <v>46008</v>
      </c>
      <c r="B718" s="2">
        <v>4.5</v>
      </c>
    </row>
    <row r="719" spans="1:2" x14ac:dyDescent="0.5">
      <c r="A719" s="1">
        <v>46009</v>
      </c>
      <c r="B719" s="2">
        <v>3</v>
      </c>
    </row>
    <row r="720" spans="1:2" x14ac:dyDescent="0.5">
      <c r="A720" s="1">
        <v>46010</v>
      </c>
      <c r="B720" s="2">
        <v>8</v>
      </c>
    </row>
    <row r="721" spans="1:2" x14ac:dyDescent="0.5">
      <c r="A721" s="1">
        <v>46011</v>
      </c>
      <c r="B721" s="2">
        <v>5.5</v>
      </c>
    </row>
    <row r="722" spans="1:2" x14ac:dyDescent="0.5">
      <c r="A722" s="1">
        <v>46012</v>
      </c>
      <c r="B722" s="2">
        <v>6</v>
      </c>
    </row>
    <row r="723" spans="1:2" x14ac:dyDescent="0.5">
      <c r="A723" s="1">
        <v>46013</v>
      </c>
      <c r="B723" s="2">
        <v>4.9000000000000004</v>
      </c>
    </row>
    <row r="724" spans="1:2" x14ac:dyDescent="0.5">
      <c r="A724" s="1">
        <v>46014</v>
      </c>
      <c r="B724" s="2">
        <v>5.3</v>
      </c>
    </row>
    <row r="725" spans="1:2" x14ac:dyDescent="0.5">
      <c r="A725" s="1">
        <v>46015</v>
      </c>
      <c r="B725" s="2">
        <v>5.3</v>
      </c>
    </row>
    <row r="726" spans="1:2" x14ac:dyDescent="0.5">
      <c r="A726" s="1">
        <v>46016</v>
      </c>
      <c r="B726" s="2">
        <v>6</v>
      </c>
    </row>
    <row r="727" spans="1:2" x14ac:dyDescent="0.5">
      <c r="A727" s="1">
        <v>46017</v>
      </c>
      <c r="B727" s="2">
        <v>9.5</v>
      </c>
    </row>
    <row r="728" spans="1:2" x14ac:dyDescent="0.5">
      <c r="A728" s="1">
        <v>46018</v>
      </c>
      <c r="B728" s="2">
        <v>6</v>
      </c>
    </row>
    <row r="729" spans="1:2" x14ac:dyDescent="0.5">
      <c r="A729" s="1">
        <v>46019</v>
      </c>
      <c r="B729" s="2">
        <v>8</v>
      </c>
    </row>
    <row r="730" spans="1:2" x14ac:dyDescent="0.5">
      <c r="A730" s="1">
        <v>46020</v>
      </c>
      <c r="B730" s="2">
        <v>4.8</v>
      </c>
    </row>
    <row r="731" spans="1:2" x14ac:dyDescent="0.5">
      <c r="A731" s="1">
        <v>46021</v>
      </c>
      <c r="B731" s="2">
        <v>5</v>
      </c>
    </row>
    <row r="732" spans="1:2" ht="14.7" thickBot="1" x14ac:dyDescent="0.55000000000000004">
      <c r="A732" s="1">
        <v>46022</v>
      </c>
      <c r="B732" s="2">
        <v>6</v>
      </c>
    </row>
    <row r="733" spans="1:2" x14ac:dyDescent="0.5">
      <c r="A733" s="71">
        <v>46023</v>
      </c>
      <c r="B733" s="72">
        <v>6</v>
      </c>
    </row>
    <row r="734" spans="1:2" ht="14.7" thickBot="1" x14ac:dyDescent="0.55000000000000004">
      <c r="A734" s="53">
        <v>46024</v>
      </c>
      <c r="B734" s="2">
        <v>4.5</v>
      </c>
    </row>
    <row r="735" spans="1:2" x14ac:dyDescent="0.5">
      <c r="A735" s="71">
        <v>46025</v>
      </c>
      <c r="B735" s="2">
        <v>7.8</v>
      </c>
    </row>
    <row r="736" spans="1:2" ht="14.7" thickBot="1" x14ac:dyDescent="0.55000000000000004">
      <c r="A736" s="53">
        <v>46026</v>
      </c>
      <c r="B736" s="2">
        <v>5.8</v>
      </c>
    </row>
    <row r="737" spans="1:2" x14ac:dyDescent="0.5">
      <c r="A737" s="71">
        <v>46027</v>
      </c>
      <c r="B737" s="2">
        <v>5.9</v>
      </c>
    </row>
    <row r="738" spans="1:2" ht="14.7" thickBot="1" x14ac:dyDescent="0.55000000000000004">
      <c r="A738" s="53">
        <v>46028</v>
      </c>
      <c r="B738" s="2">
        <v>7.5</v>
      </c>
    </row>
    <row r="739" spans="1:2" x14ac:dyDescent="0.5">
      <c r="A739" s="71">
        <v>46029</v>
      </c>
      <c r="B739" s="2">
        <v>4.8</v>
      </c>
    </row>
    <row r="740" spans="1:2" ht="14.7" thickBot="1" x14ac:dyDescent="0.55000000000000004">
      <c r="A740" s="53">
        <v>46030</v>
      </c>
      <c r="B740" s="2">
        <v>4.5</v>
      </c>
    </row>
    <row r="741" spans="1:2" x14ac:dyDescent="0.5">
      <c r="A741" s="71">
        <v>46031</v>
      </c>
      <c r="B741" s="2">
        <v>6.5</v>
      </c>
    </row>
    <row r="742" spans="1:2" ht="14.7" thickBot="1" x14ac:dyDescent="0.55000000000000004">
      <c r="A742" s="53">
        <v>46032</v>
      </c>
      <c r="B742" s="2">
        <v>5.0999999999999996</v>
      </c>
    </row>
    <row r="743" spans="1:2" x14ac:dyDescent="0.5">
      <c r="A743" s="71">
        <v>46033</v>
      </c>
      <c r="B743" s="2">
        <v>6</v>
      </c>
    </row>
    <row r="744" spans="1:2" ht="14.7" thickBot="1" x14ac:dyDescent="0.55000000000000004">
      <c r="A744" s="53">
        <v>46034</v>
      </c>
      <c r="B744" s="2">
        <v>3.9</v>
      </c>
    </row>
    <row r="745" spans="1:2" x14ac:dyDescent="0.5">
      <c r="A745" s="71">
        <v>46035</v>
      </c>
      <c r="B745" s="2">
        <v>4.4000000000000004</v>
      </c>
    </row>
    <row r="746" spans="1:2" ht="14.7" thickBot="1" x14ac:dyDescent="0.55000000000000004">
      <c r="A746" s="53">
        <v>46036</v>
      </c>
      <c r="B746" s="2">
        <v>5.3</v>
      </c>
    </row>
    <row r="747" spans="1:2" x14ac:dyDescent="0.5">
      <c r="A747" s="71">
        <v>46037</v>
      </c>
      <c r="B747" s="2">
        <v>5.4</v>
      </c>
    </row>
    <row r="748" spans="1:2" ht="14.7" thickBot="1" x14ac:dyDescent="0.55000000000000004">
      <c r="A748" s="53">
        <v>46038</v>
      </c>
      <c r="B748" s="2">
        <v>6</v>
      </c>
    </row>
    <row r="749" spans="1:2" x14ac:dyDescent="0.5">
      <c r="A749" s="71">
        <v>46039</v>
      </c>
      <c r="B749" s="2">
        <v>6.9</v>
      </c>
    </row>
    <row r="750" spans="1:2" ht="14.7" thickBot="1" x14ac:dyDescent="0.55000000000000004">
      <c r="A750" s="53">
        <v>46040</v>
      </c>
      <c r="B750" s="2">
        <v>7.6</v>
      </c>
    </row>
    <row r="751" spans="1:2" x14ac:dyDescent="0.5">
      <c r="A751" s="71">
        <v>46041</v>
      </c>
      <c r="B751" s="2">
        <v>6.5</v>
      </c>
    </row>
    <row r="752" spans="1:2" ht="14.7" thickBot="1" x14ac:dyDescent="0.55000000000000004">
      <c r="A752" s="53">
        <v>46042</v>
      </c>
      <c r="B752" s="2">
        <v>6</v>
      </c>
    </row>
    <row r="753" spans="1:2" x14ac:dyDescent="0.5">
      <c r="A753" s="71">
        <v>46043</v>
      </c>
      <c r="B753" s="2">
        <v>6.7</v>
      </c>
    </row>
    <row r="754" spans="1:2" ht="14.7" thickBot="1" x14ac:dyDescent="0.55000000000000004">
      <c r="A754" s="53">
        <v>46044</v>
      </c>
      <c r="B754" s="2">
        <v>5.8</v>
      </c>
    </row>
    <row r="755" spans="1:2" x14ac:dyDescent="0.5">
      <c r="A755" s="71">
        <v>46045</v>
      </c>
      <c r="B755" s="2">
        <v>7</v>
      </c>
    </row>
    <row r="756" spans="1:2" ht="14.7" thickBot="1" x14ac:dyDescent="0.55000000000000004">
      <c r="A756" s="53">
        <v>46046</v>
      </c>
      <c r="B756" s="2">
        <v>7</v>
      </c>
    </row>
    <row r="757" spans="1:2" x14ac:dyDescent="0.5">
      <c r="A757" s="71">
        <v>46047</v>
      </c>
      <c r="B757" s="2">
        <v>6</v>
      </c>
    </row>
    <row r="758" spans="1:2" ht="14.7" thickBot="1" x14ac:dyDescent="0.55000000000000004">
      <c r="A758" s="53">
        <v>46048</v>
      </c>
      <c r="B758" s="2">
        <v>5.0999999999999996</v>
      </c>
    </row>
    <row r="759" spans="1:2" x14ac:dyDescent="0.5">
      <c r="A759" s="71">
        <v>46049</v>
      </c>
      <c r="B759" s="2">
        <v>5.3</v>
      </c>
    </row>
    <row r="760" spans="1:2" ht="14.7" thickBot="1" x14ac:dyDescent="0.55000000000000004">
      <c r="A760" s="53">
        <v>46050</v>
      </c>
      <c r="B760" s="2">
        <v>5</v>
      </c>
    </row>
    <row r="761" spans="1:2" x14ac:dyDescent="0.5">
      <c r="A761" s="71">
        <v>46051</v>
      </c>
      <c r="B761" s="2">
        <v>8</v>
      </c>
    </row>
    <row r="762" spans="1:2" ht="14.7" thickBot="1" x14ac:dyDescent="0.55000000000000004">
      <c r="A762" s="53">
        <v>46052</v>
      </c>
      <c r="B762" s="2">
        <v>7</v>
      </c>
    </row>
    <row r="763" spans="1:2" ht="14.7" thickBot="1" x14ac:dyDescent="0.55000000000000004">
      <c r="A763" s="71">
        <v>46053</v>
      </c>
      <c r="B763" s="55">
        <v>4.5</v>
      </c>
    </row>
    <row r="764" spans="1:2" ht="14.7" thickBot="1" x14ac:dyDescent="0.55000000000000004">
      <c r="A764" s="53">
        <v>46054</v>
      </c>
      <c r="B764" s="48">
        <v>5</v>
      </c>
    </row>
    <row r="765" spans="1:2" x14ac:dyDescent="0.5">
      <c r="A765" s="71">
        <v>46055</v>
      </c>
      <c r="B765" s="2">
        <v>5.4</v>
      </c>
    </row>
    <row r="766" spans="1:2" ht="14.7" thickBot="1" x14ac:dyDescent="0.55000000000000004">
      <c r="A766" s="53">
        <v>46056</v>
      </c>
      <c r="B766" s="2">
        <v>6</v>
      </c>
    </row>
    <row r="767" spans="1:2" x14ac:dyDescent="0.5">
      <c r="A767" s="71">
        <v>46057</v>
      </c>
      <c r="B767" s="2">
        <v>7.4</v>
      </c>
    </row>
    <row r="768" spans="1:2" ht="14.7" thickBot="1" x14ac:dyDescent="0.55000000000000004">
      <c r="A768" s="53">
        <v>46058</v>
      </c>
      <c r="B768" s="2">
        <v>6</v>
      </c>
    </row>
    <row r="769" spans="1:2" x14ac:dyDescent="0.5">
      <c r="A769" s="71">
        <v>46059</v>
      </c>
      <c r="B769" s="2">
        <v>10</v>
      </c>
    </row>
    <row r="770" spans="1:2" ht="14.7" thickBot="1" x14ac:dyDescent="0.55000000000000004">
      <c r="A770" s="53">
        <v>46060</v>
      </c>
      <c r="B770" s="2">
        <v>8</v>
      </c>
    </row>
    <row r="771" spans="1:2" x14ac:dyDescent="0.5">
      <c r="A771" s="71">
        <v>46061</v>
      </c>
      <c r="B771" s="2">
        <v>6</v>
      </c>
    </row>
    <row r="772" spans="1:2" ht="14.7" thickBot="1" x14ac:dyDescent="0.55000000000000004">
      <c r="A772" s="53">
        <v>46062</v>
      </c>
      <c r="B772" s="2">
        <v>5.3</v>
      </c>
    </row>
    <row r="773" spans="1:2" x14ac:dyDescent="0.5">
      <c r="A773" s="71">
        <v>46063</v>
      </c>
      <c r="B773" s="2">
        <v>5.6</v>
      </c>
    </row>
    <row r="774" spans="1:2" ht="14.7" thickBot="1" x14ac:dyDescent="0.55000000000000004">
      <c r="A774" s="53">
        <v>46064</v>
      </c>
      <c r="B774" s="2">
        <v>6.5</v>
      </c>
    </row>
    <row r="775" spans="1:2" x14ac:dyDescent="0.5">
      <c r="A775" s="71">
        <v>46065</v>
      </c>
      <c r="B775" s="2">
        <v>5</v>
      </c>
    </row>
    <row r="776" spans="1:2" ht="14.7" thickBot="1" x14ac:dyDescent="0.55000000000000004">
      <c r="A776" s="53">
        <v>46066</v>
      </c>
      <c r="B776" s="2">
        <v>5.2</v>
      </c>
    </row>
    <row r="777" spans="1:2" x14ac:dyDescent="0.5">
      <c r="A777" s="71">
        <v>46067</v>
      </c>
      <c r="B777" s="2">
        <v>5.5</v>
      </c>
    </row>
    <row r="778" spans="1:2" ht="14.7" thickBot="1" x14ac:dyDescent="0.55000000000000004">
      <c r="A778" s="53">
        <v>46068</v>
      </c>
      <c r="B778" s="2">
        <v>5.8</v>
      </c>
    </row>
    <row r="779" spans="1:2" x14ac:dyDescent="0.5">
      <c r="A779" s="71">
        <v>46069</v>
      </c>
      <c r="B779" s="2">
        <v>4</v>
      </c>
    </row>
    <row r="780" spans="1:2" ht="14.7" thickBot="1" x14ac:dyDescent="0.55000000000000004">
      <c r="A780" s="53">
        <v>46070</v>
      </c>
      <c r="B780" s="2">
        <v>7</v>
      </c>
    </row>
    <row r="781" spans="1:2" x14ac:dyDescent="0.5">
      <c r="A781" s="71">
        <v>46071</v>
      </c>
      <c r="B781" s="2">
        <v>6.8</v>
      </c>
    </row>
    <row r="782" spans="1:2" ht="14.7" thickBot="1" x14ac:dyDescent="0.55000000000000004">
      <c r="A782" s="53">
        <v>46072</v>
      </c>
      <c r="B782" s="2">
        <v>7.5</v>
      </c>
    </row>
    <row r="783" spans="1:2" x14ac:dyDescent="0.5">
      <c r="A783" s="71">
        <v>46073</v>
      </c>
      <c r="B783" s="2">
        <v>7.2</v>
      </c>
    </row>
    <row r="784" spans="1:2" ht="14.7" thickBot="1" x14ac:dyDescent="0.55000000000000004">
      <c r="A784" s="53">
        <v>46074</v>
      </c>
      <c r="B784" s="2">
        <v>7</v>
      </c>
    </row>
    <row r="785" spans="1:2" x14ac:dyDescent="0.5">
      <c r="A785" s="71">
        <v>46075</v>
      </c>
      <c r="B785" s="2">
        <v>7.6</v>
      </c>
    </row>
    <row r="786" spans="1:2" ht="14.7" thickBot="1" x14ac:dyDescent="0.55000000000000004">
      <c r="A786" s="53">
        <v>46076</v>
      </c>
      <c r="B786" s="2">
        <v>9</v>
      </c>
    </row>
    <row r="787" spans="1:2" x14ac:dyDescent="0.5">
      <c r="A787" s="71">
        <v>46077</v>
      </c>
      <c r="B787" s="2">
        <v>5.5</v>
      </c>
    </row>
    <row r="788" spans="1:2" ht="14.7" thickBot="1" x14ac:dyDescent="0.55000000000000004">
      <c r="A788" s="53">
        <v>46078</v>
      </c>
      <c r="B788" s="2">
        <v>7.8</v>
      </c>
    </row>
    <row r="789" spans="1:2" x14ac:dyDescent="0.5">
      <c r="A789" s="71">
        <v>46079</v>
      </c>
      <c r="B789" s="2">
        <v>6</v>
      </c>
    </row>
    <row r="790" spans="1:2" ht="14.7" thickBot="1" x14ac:dyDescent="0.55000000000000004">
      <c r="A790" s="53">
        <v>46080</v>
      </c>
      <c r="B790" s="2">
        <v>6.5</v>
      </c>
    </row>
    <row r="791" spans="1:2" x14ac:dyDescent="0.5">
      <c r="A791" s="71">
        <v>46081</v>
      </c>
      <c r="B791" s="2">
        <v>7.3</v>
      </c>
    </row>
    <row r="792" spans="1:2" ht="14.7" thickBot="1" x14ac:dyDescent="0.55000000000000004">
      <c r="A792" s="53">
        <v>46082</v>
      </c>
      <c r="B792" s="2">
        <v>6.5</v>
      </c>
    </row>
    <row r="793" spans="1:2" x14ac:dyDescent="0.5">
      <c r="A793" s="71">
        <v>46083</v>
      </c>
      <c r="B793" s="2">
        <v>6</v>
      </c>
    </row>
    <row r="794" spans="1:2" ht="14.7" thickBot="1" x14ac:dyDescent="0.55000000000000004">
      <c r="A794" s="53">
        <v>46084</v>
      </c>
      <c r="B794" s="2">
        <v>6.8</v>
      </c>
    </row>
    <row r="795" spans="1:2" x14ac:dyDescent="0.5">
      <c r="A795" s="71">
        <v>46085</v>
      </c>
      <c r="B795" s="2">
        <v>7</v>
      </c>
    </row>
    <row r="796" spans="1:2" ht="14.7" thickBot="1" x14ac:dyDescent="0.55000000000000004">
      <c r="A796" s="53">
        <v>46086</v>
      </c>
      <c r="B796" s="2">
        <v>6.9</v>
      </c>
    </row>
    <row r="797" spans="1:2" x14ac:dyDescent="0.5">
      <c r="A797" s="71">
        <v>46087</v>
      </c>
      <c r="B797" s="2">
        <v>6.5</v>
      </c>
    </row>
    <row r="798" spans="1:2" ht="14.7" thickBot="1" x14ac:dyDescent="0.55000000000000004">
      <c r="A798" s="53">
        <v>46088</v>
      </c>
      <c r="B798" s="2">
        <v>5</v>
      </c>
    </row>
    <row r="799" spans="1:2" x14ac:dyDescent="0.5">
      <c r="A799" s="71">
        <v>46089</v>
      </c>
      <c r="B799" s="2">
        <v>8.4</v>
      </c>
    </row>
    <row r="800" spans="1:2" ht="14.7" thickBot="1" x14ac:dyDescent="0.55000000000000004">
      <c r="A800" s="53">
        <v>46090</v>
      </c>
      <c r="B800" s="2">
        <v>5.3</v>
      </c>
    </row>
    <row r="801" spans="1:2" x14ac:dyDescent="0.5">
      <c r="A801" s="71">
        <v>46091</v>
      </c>
      <c r="B801" s="2">
        <v>5.8</v>
      </c>
    </row>
    <row r="802" spans="1:2" ht="14.7" thickBot="1" x14ac:dyDescent="0.55000000000000004">
      <c r="A802" s="53">
        <v>46092</v>
      </c>
      <c r="B802" s="2">
        <v>5.5</v>
      </c>
    </row>
    <row r="803" spans="1:2" x14ac:dyDescent="0.5">
      <c r="A803" s="71">
        <v>46093</v>
      </c>
      <c r="B803" s="2">
        <v>5.6</v>
      </c>
    </row>
    <row r="804" spans="1:2" ht="14.7" thickBot="1" x14ac:dyDescent="0.55000000000000004">
      <c r="A804" s="53">
        <v>46094</v>
      </c>
      <c r="B804" s="2">
        <v>8.5</v>
      </c>
    </row>
    <row r="805" spans="1:2" x14ac:dyDescent="0.5">
      <c r="A805" s="71">
        <v>46095</v>
      </c>
      <c r="B805" s="2">
        <v>7.8</v>
      </c>
    </row>
    <row r="806" spans="1:2" ht="14.7" thickBot="1" x14ac:dyDescent="0.55000000000000004">
      <c r="A806" s="53">
        <v>46096</v>
      </c>
      <c r="B806" s="2">
        <v>10</v>
      </c>
    </row>
    <row r="807" spans="1:2" x14ac:dyDescent="0.5">
      <c r="A807" s="71">
        <v>46097</v>
      </c>
      <c r="B807" s="2">
        <v>7.5</v>
      </c>
    </row>
    <row r="808" spans="1:2" ht="14.7" thickBot="1" x14ac:dyDescent="0.55000000000000004">
      <c r="A808" s="53">
        <v>46098</v>
      </c>
      <c r="B808" s="2">
        <v>6.2</v>
      </c>
    </row>
    <row r="809" spans="1:2" x14ac:dyDescent="0.5">
      <c r="A809" s="71">
        <v>46099</v>
      </c>
      <c r="B809" s="2">
        <v>6.2</v>
      </c>
    </row>
    <row r="810" spans="1:2" ht="14.7" thickBot="1" x14ac:dyDescent="0.55000000000000004">
      <c r="A810" s="53">
        <v>46100</v>
      </c>
      <c r="B810" s="2">
        <v>8</v>
      </c>
    </row>
    <row r="811" spans="1:2" x14ac:dyDescent="0.5">
      <c r="A811" s="71">
        <v>46101</v>
      </c>
      <c r="B811" s="2">
        <v>4</v>
      </c>
    </row>
    <row r="812" spans="1:2" ht="14.7" thickBot="1" x14ac:dyDescent="0.55000000000000004">
      <c r="A812" s="53">
        <v>46102</v>
      </c>
      <c r="B812" s="2">
        <v>5</v>
      </c>
    </row>
    <row r="813" spans="1:2" x14ac:dyDescent="0.5">
      <c r="A813" s="71">
        <v>46103</v>
      </c>
      <c r="B813" s="2">
        <v>5.9</v>
      </c>
    </row>
    <row r="814" spans="1:2" ht="14.7" thickBot="1" x14ac:dyDescent="0.55000000000000004">
      <c r="A814" s="53">
        <v>46104</v>
      </c>
      <c r="B814" s="2">
        <v>6</v>
      </c>
    </row>
    <row r="815" spans="1:2" x14ac:dyDescent="0.5">
      <c r="A815" s="71">
        <v>46105</v>
      </c>
      <c r="B815" s="2">
        <v>7</v>
      </c>
    </row>
    <row r="816" spans="1:2" ht="14.7" thickBot="1" x14ac:dyDescent="0.55000000000000004">
      <c r="A816" s="53">
        <v>46106</v>
      </c>
      <c r="B816" s="2">
        <v>6.5</v>
      </c>
    </row>
    <row r="817" spans="1:2" x14ac:dyDescent="0.5">
      <c r="A817" s="71">
        <v>46107</v>
      </c>
      <c r="B817" s="2">
        <v>5.9</v>
      </c>
    </row>
    <row r="818" spans="1:2" ht="14.7" thickBot="1" x14ac:dyDescent="0.55000000000000004">
      <c r="A818" s="53">
        <v>46108</v>
      </c>
      <c r="B818" s="2">
        <v>6.2</v>
      </c>
    </row>
    <row r="819" spans="1:2" x14ac:dyDescent="0.5">
      <c r="A819" s="71">
        <v>46109</v>
      </c>
      <c r="B819" s="2">
        <v>5.5</v>
      </c>
    </row>
    <row r="820" spans="1:2" ht="14.7" thickBot="1" x14ac:dyDescent="0.55000000000000004">
      <c r="A820" s="53">
        <v>46110</v>
      </c>
      <c r="B820" s="2">
        <v>5.5</v>
      </c>
    </row>
    <row r="821" spans="1:2" x14ac:dyDescent="0.5">
      <c r="A821" s="71">
        <v>46111</v>
      </c>
      <c r="B821" s="2">
        <v>8</v>
      </c>
    </row>
    <row r="822" spans="1:2" ht="14.7" thickBot="1" x14ac:dyDescent="0.55000000000000004">
      <c r="A822" s="53">
        <v>46112</v>
      </c>
      <c r="B822" s="2">
        <v>7</v>
      </c>
    </row>
    <row r="823" spans="1:2" x14ac:dyDescent="0.5">
      <c r="A823" s="71">
        <v>46113</v>
      </c>
      <c r="B823" s="2">
        <v>5.5</v>
      </c>
    </row>
    <row r="824" spans="1:2" ht="14.7" thickBot="1" x14ac:dyDescent="0.55000000000000004">
      <c r="A824" s="53">
        <v>46114</v>
      </c>
      <c r="B824" s="2">
        <v>5</v>
      </c>
    </row>
    <row r="825" spans="1:2" x14ac:dyDescent="0.5">
      <c r="A825" s="71">
        <v>46115</v>
      </c>
      <c r="B825" s="2">
        <v>5.8</v>
      </c>
    </row>
    <row r="826" spans="1:2" ht="14.7" thickBot="1" x14ac:dyDescent="0.55000000000000004">
      <c r="A826" s="53">
        <v>46116</v>
      </c>
      <c r="B826" s="2">
        <v>5.5</v>
      </c>
    </row>
    <row r="827" spans="1:2" x14ac:dyDescent="0.5">
      <c r="A827" s="71">
        <v>46117</v>
      </c>
      <c r="B827" s="2">
        <v>6</v>
      </c>
    </row>
    <row r="828" spans="1:2" ht="14.7" thickBot="1" x14ac:dyDescent="0.55000000000000004">
      <c r="A828" s="53">
        <v>46118</v>
      </c>
      <c r="B828" s="2">
        <v>6.6</v>
      </c>
    </row>
    <row r="829" spans="1:2" x14ac:dyDescent="0.5">
      <c r="A829" s="71">
        <v>46119</v>
      </c>
      <c r="B829" s="2">
        <v>5.8</v>
      </c>
    </row>
    <row r="830" spans="1:2" ht="14.7" thickBot="1" x14ac:dyDescent="0.55000000000000004">
      <c r="A830" s="53">
        <v>46120</v>
      </c>
      <c r="B830" s="2">
        <v>5.9</v>
      </c>
    </row>
    <row r="831" spans="1:2" x14ac:dyDescent="0.5">
      <c r="A831" s="71">
        <v>46121</v>
      </c>
      <c r="B831" s="2">
        <v>6</v>
      </c>
    </row>
    <row r="832" spans="1:2" ht="14.7" thickBot="1" x14ac:dyDescent="0.55000000000000004">
      <c r="A832" s="53">
        <v>46122</v>
      </c>
      <c r="B832" s="2">
        <v>6.2</v>
      </c>
    </row>
    <row r="833" spans="1:2" x14ac:dyDescent="0.5">
      <c r="A833" s="71">
        <v>46123</v>
      </c>
      <c r="B833" s="2">
        <v>7.5</v>
      </c>
    </row>
    <row r="834" spans="1:2" ht="14.7" thickBot="1" x14ac:dyDescent="0.55000000000000004">
      <c r="A834" s="53">
        <v>46124</v>
      </c>
      <c r="B834" s="2">
        <v>6.3</v>
      </c>
    </row>
    <row r="835" spans="1:2" x14ac:dyDescent="0.5">
      <c r="A835" s="71">
        <v>46125</v>
      </c>
      <c r="B835" s="2">
        <v>6.5</v>
      </c>
    </row>
    <row r="836" spans="1:2" ht="14.7" thickBot="1" x14ac:dyDescent="0.55000000000000004">
      <c r="A836" s="53">
        <v>46126</v>
      </c>
      <c r="B836" s="2">
        <v>5</v>
      </c>
    </row>
    <row r="837" spans="1:2" x14ac:dyDescent="0.5">
      <c r="A837" s="71">
        <v>46127</v>
      </c>
      <c r="B837" s="2">
        <v>5.7</v>
      </c>
    </row>
    <row r="838" spans="1:2" ht="14.7" thickBot="1" x14ac:dyDescent="0.55000000000000004">
      <c r="A838" s="53">
        <v>46128</v>
      </c>
      <c r="B838" s="2">
        <v>6</v>
      </c>
    </row>
    <row r="839" spans="1:2" x14ac:dyDescent="0.5">
      <c r="A839" s="71">
        <v>46129</v>
      </c>
      <c r="B839" s="2">
        <v>5.9</v>
      </c>
    </row>
    <row r="840" spans="1:2" ht="14.7" thickBot="1" x14ac:dyDescent="0.55000000000000004">
      <c r="A840" s="53">
        <v>46130</v>
      </c>
      <c r="B840" s="2">
        <v>5.8</v>
      </c>
    </row>
    <row r="841" spans="1:2" x14ac:dyDescent="0.5">
      <c r="A841" s="71">
        <v>46131</v>
      </c>
      <c r="B841" s="2">
        <v>7.2</v>
      </c>
    </row>
    <row r="842" spans="1:2" ht="14.7" thickBot="1" x14ac:dyDescent="0.55000000000000004">
      <c r="A842" s="53">
        <v>46132</v>
      </c>
      <c r="B842" s="2">
        <v>5.5</v>
      </c>
    </row>
    <row r="843" spans="1:2" x14ac:dyDescent="0.5">
      <c r="A843" s="71">
        <v>46133</v>
      </c>
      <c r="B843" s="2">
        <v>6.3</v>
      </c>
    </row>
    <row r="844" spans="1:2" ht="14.7" thickBot="1" x14ac:dyDescent="0.55000000000000004">
      <c r="A844" s="53">
        <v>46134</v>
      </c>
      <c r="B844" s="2">
        <v>2</v>
      </c>
    </row>
    <row r="845" spans="1:2" x14ac:dyDescent="0.5">
      <c r="A845" s="71">
        <v>46135</v>
      </c>
      <c r="B845" s="2">
        <v>7</v>
      </c>
    </row>
    <row r="846" spans="1:2" ht="14.7" thickBot="1" x14ac:dyDescent="0.55000000000000004">
      <c r="A846" s="53">
        <v>46136</v>
      </c>
      <c r="B846" s="2">
        <v>10</v>
      </c>
    </row>
    <row r="847" spans="1:2" x14ac:dyDescent="0.5">
      <c r="A847" s="71">
        <v>46137</v>
      </c>
      <c r="B847" s="2">
        <v>9</v>
      </c>
    </row>
    <row r="848" spans="1:2" ht="14.7" thickBot="1" x14ac:dyDescent="0.55000000000000004">
      <c r="A848" s="53">
        <v>46138</v>
      </c>
      <c r="B848" s="2">
        <v>6.3</v>
      </c>
    </row>
    <row r="849" spans="1:2" x14ac:dyDescent="0.5">
      <c r="A849" s="71">
        <v>46139</v>
      </c>
      <c r="B849" s="2">
        <v>6.2</v>
      </c>
    </row>
    <row r="850" spans="1:2" ht="14.7" thickBot="1" x14ac:dyDescent="0.55000000000000004">
      <c r="A850" s="53">
        <v>46140</v>
      </c>
      <c r="B850" s="2">
        <v>5.7</v>
      </c>
    </row>
    <row r="851" spans="1:2" x14ac:dyDescent="0.5">
      <c r="A851" s="71">
        <v>46141</v>
      </c>
      <c r="B851" s="2">
        <v>4.8</v>
      </c>
    </row>
    <row r="852" spans="1:2" ht="14.7" thickBot="1" x14ac:dyDescent="0.55000000000000004">
      <c r="A852" s="53">
        <v>46142</v>
      </c>
      <c r="B852" s="2">
        <v>7</v>
      </c>
    </row>
    <row r="853" spans="1:2" x14ac:dyDescent="0.5">
      <c r="A853" s="71">
        <v>46143</v>
      </c>
      <c r="B853" s="2">
        <v>6.2</v>
      </c>
    </row>
    <row r="854" spans="1:2" ht="14.7" thickBot="1" x14ac:dyDescent="0.55000000000000004">
      <c r="A854" s="53">
        <v>46144</v>
      </c>
      <c r="B854" s="2">
        <v>5.6</v>
      </c>
    </row>
    <row r="855" spans="1:2" x14ac:dyDescent="0.5">
      <c r="A855" s="71">
        <v>46145</v>
      </c>
      <c r="B855" s="2">
        <v>5.4</v>
      </c>
    </row>
    <row r="856" spans="1:2" ht="14.7" thickBot="1" x14ac:dyDescent="0.55000000000000004">
      <c r="A856" s="53">
        <v>46146</v>
      </c>
      <c r="B856" s="2">
        <v>4.8</v>
      </c>
    </row>
    <row r="857" spans="1:2" x14ac:dyDescent="0.5">
      <c r="A857" s="71">
        <v>46147</v>
      </c>
      <c r="B857" s="2">
        <v>4.5</v>
      </c>
    </row>
    <row r="858" spans="1:2" ht="14.7" thickBot="1" x14ac:dyDescent="0.55000000000000004">
      <c r="A858" s="53">
        <v>46148</v>
      </c>
      <c r="B858" s="2">
        <v>6</v>
      </c>
    </row>
    <row r="859" spans="1:2" x14ac:dyDescent="0.5">
      <c r="A859" s="71">
        <v>46149</v>
      </c>
      <c r="B859" s="2">
        <v>7</v>
      </c>
    </row>
    <row r="860" spans="1:2" ht="14.7" thickBot="1" x14ac:dyDescent="0.55000000000000004">
      <c r="A860" s="53">
        <v>46150</v>
      </c>
      <c r="B860" s="2">
        <v>4.8</v>
      </c>
    </row>
    <row r="861" spans="1:2" x14ac:dyDescent="0.5">
      <c r="A861" s="71">
        <v>46151</v>
      </c>
      <c r="B861" s="2">
        <v>6.5</v>
      </c>
    </row>
    <row r="862" spans="1:2" ht="14.7" thickBot="1" x14ac:dyDescent="0.55000000000000004">
      <c r="A862" s="53">
        <v>46152</v>
      </c>
      <c r="B862" s="2">
        <v>6.2</v>
      </c>
    </row>
    <row r="863" spans="1:2" x14ac:dyDescent="0.5">
      <c r="A863" s="71">
        <v>46153</v>
      </c>
      <c r="B863" s="2">
        <v>6.9</v>
      </c>
    </row>
    <row r="864" spans="1:2" ht="14.7" thickBot="1" x14ac:dyDescent="0.55000000000000004">
      <c r="A864" s="53">
        <v>46154</v>
      </c>
      <c r="B864" s="2">
        <v>5.2</v>
      </c>
    </row>
    <row r="865" spans="1:2" x14ac:dyDescent="0.5">
      <c r="A865" s="71">
        <v>46155</v>
      </c>
      <c r="B865" s="2">
        <v>5.8</v>
      </c>
    </row>
    <row r="866" spans="1:2" ht="14.7" thickBot="1" x14ac:dyDescent="0.55000000000000004">
      <c r="A866" s="53">
        <v>46156</v>
      </c>
      <c r="B866" s="2">
        <v>5.5</v>
      </c>
    </row>
    <row r="867" spans="1:2" x14ac:dyDescent="0.5">
      <c r="A867" s="71">
        <v>46157</v>
      </c>
      <c r="B867" s="2">
        <v>5.2</v>
      </c>
    </row>
    <row r="868" spans="1:2" ht="14.7" thickBot="1" x14ac:dyDescent="0.55000000000000004">
      <c r="A868" s="53">
        <v>46158</v>
      </c>
      <c r="B868" s="2">
        <v>5.4</v>
      </c>
    </row>
    <row r="869" spans="1:2" x14ac:dyDescent="0.5">
      <c r="A869" s="71">
        <v>46159</v>
      </c>
      <c r="B869" s="2">
        <v>5.6</v>
      </c>
    </row>
    <row r="870" spans="1:2" x14ac:dyDescent="0.5">
      <c r="A870" s="53">
        <v>46160</v>
      </c>
      <c r="B870" s="2">
        <v>5.2</v>
      </c>
    </row>
  </sheetData>
  <conditionalFormatting sqref="B2:B36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8:B7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33:B87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HI2026</vt:lpstr>
      <vt:lpstr>Sheet3</vt:lpstr>
      <vt:lpstr>HI2025</vt:lpstr>
      <vt:lpstr>HI2024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Sheet4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2026-05-23T15:10:37Z</dcterms:modified>
</cp:coreProperties>
</file>