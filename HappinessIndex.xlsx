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1FE6EC9A-7E9B-4219-886F-050B5D64B00B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appinessIndex2025" sheetId="7" r:id="rId1"/>
    <sheet name="HappinessIndex2024" sheetId="1" r:id="rId2"/>
    <sheet name="FriendsList" sheetId="3" r:id="rId3"/>
    <sheet name="Movies2025" sheetId="8" r:id="rId4"/>
    <sheet name="Movies2024" sheetId="4" r:id="rId5"/>
    <sheet name="FlightDetails" sheetId="5" r:id="rId6"/>
    <sheet name="Sheet1" sheetId="6" r:id="rId7"/>
    <sheet name="Sheet2" sheetId="10" r:id="rId8"/>
    <sheet name="Table1" sheetId="9" r:id="rId9"/>
  </sheets>
  <definedNames>
    <definedName name="_xlnm._FilterDatabase" localSheetId="2" hidden="1">FriendsList!$G$2:$J$2</definedName>
    <definedName name="_xlnm._FilterDatabase" localSheetId="4" hidden="1">Movies2024!$A$2:$C$2</definedName>
    <definedName name="_xlnm._FilterDatabase" localSheetId="6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67" i="1" l="1"/>
  <c r="I22" i="5"/>
  <c r="H3" i="5"/>
  <c r="G23" i="5"/>
  <c r="G22" i="5"/>
  <c r="T15" i="7"/>
  <c r="T14" i="7"/>
  <c r="S15" i="7"/>
  <c r="S14" i="7"/>
  <c r="R15" i="7"/>
  <c r="R14" i="7"/>
  <c r="Q15" i="7"/>
  <c r="Q14" i="7"/>
  <c r="P15" i="7"/>
  <c r="P14" i="7"/>
  <c r="O15" i="7"/>
  <c r="O14" i="7"/>
  <c r="C306" i="7"/>
  <c r="M15" i="7" s="1"/>
  <c r="U62" i="7" s="1"/>
  <c r="W62" i="7" s="1"/>
  <c r="K10" i="10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63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Q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K122" i="7"/>
  <c r="AL122" i="7"/>
  <c r="AM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K123" i="7"/>
  <c r="AL123" i="7"/>
  <c r="AM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K124" i="7"/>
  <c r="AL124" i="7"/>
  <c r="AM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K125" i="7"/>
  <c r="AL125" i="7"/>
  <c r="AM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K126" i="7"/>
  <c r="AL126" i="7"/>
  <c r="AM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K127" i="7"/>
  <c r="AL127" i="7"/>
  <c r="AM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K128" i="7"/>
  <c r="AL128" i="7"/>
  <c r="AM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K129" i="7"/>
  <c r="AL129" i="7"/>
  <c r="AM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K130" i="7"/>
  <c r="AL130" i="7"/>
  <c r="AM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K131" i="7"/>
  <c r="AL131" i="7"/>
  <c r="AM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K132" i="7"/>
  <c r="AL132" i="7"/>
  <c r="AM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K133" i="7"/>
  <c r="AL133" i="7"/>
  <c r="AM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K134" i="7"/>
  <c r="AL134" i="7"/>
  <c r="AM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K135" i="7"/>
  <c r="AL135" i="7"/>
  <c r="AM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K136" i="7"/>
  <c r="AL136" i="7"/>
  <c r="AM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K137" i="7"/>
  <c r="AL137" i="7"/>
  <c r="AM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K138" i="7"/>
  <c r="AL138" i="7"/>
  <c r="AM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K139" i="7"/>
  <c r="AL139" i="7"/>
  <c r="AM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K140" i="7"/>
  <c r="AL140" i="7"/>
  <c r="AM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K141" i="7"/>
  <c r="AL141" i="7"/>
  <c r="AM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K142" i="7"/>
  <c r="AL142" i="7"/>
  <c r="AM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K143" i="7"/>
  <c r="AL143" i="7"/>
  <c r="AM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K144" i="7"/>
  <c r="AL144" i="7"/>
  <c r="AM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K145" i="7"/>
  <c r="AL145" i="7"/>
  <c r="AM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K146" i="7"/>
  <c r="AL146" i="7"/>
  <c r="AM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K147" i="7"/>
  <c r="AL147" i="7"/>
  <c r="AM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K148" i="7"/>
  <c r="AL148" i="7"/>
  <c r="AM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K149" i="7"/>
  <c r="AL149" i="7"/>
  <c r="AM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K150" i="7"/>
  <c r="AL150" i="7"/>
  <c r="AM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K151" i="7"/>
  <c r="AL151" i="7"/>
  <c r="AM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K152" i="7"/>
  <c r="AL152" i="7"/>
  <c r="AM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K153" i="7"/>
  <c r="AL153" i="7"/>
  <c r="AM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K154" i="7"/>
  <c r="AL154" i="7"/>
  <c r="AM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K155" i="7"/>
  <c r="AL155" i="7"/>
  <c r="AM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K156" i="7"/>
  <c r="AL156" i="7"/>
  <c r="AM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K157" i="7"/>
  <c r="AL157" i="7"/>
  <c r="AM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K158" i="7"/>
  <c r="AL158" i="7"/>
  <c r="AM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K159" i="7"/>
  <c r="AL159" i="7"/>
  <c r="AM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K160" i="7"/>
  <c r="AL160" i="7"/>
  <c r="AM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K161" i="7"/>
  <c r="AL161" i="7"/>
  <c r="AM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K162" i="7"/>
  <c r="AL162" i="7"/>
  <c r="AM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K163" i="7"/>
  <c r="AL163" i="7"/>
  <c r="AM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K164" i="7"/>
  <c r="AL164" i="7"/>
  <c r="AM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K165" i="7"/>
  <c r="AL165" i="7"/>
  <c r="AM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K166" i="7"/>
  <c r="AL166" i="7"/>
  <c r="AM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K167" i="7"/>
  <c r="AL167" i="7"/>
  <c r="AM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K168" i="7"/>
  <c r="AL168" i="7"/>
  <c r="AM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K169" i="7"/>
  <c r="AL169" i="7"/>
  <c r="AM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K170" i="7"/>
  <c r="AL170" i="7"/>
  <c r="AM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K171" i="7"/>
  <c r="AL171" i="7"/>
  <c r="AM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K172" i="7"/>
  <c r="AL172" i="7"/>
  <c r="AM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K173" i="7"/>
  <c r="AL173" i="7"/>
  <c r="AM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K174" i="7"/>
  <c r="AL174" i="7"/>
  <c r="AM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K175" i="7"/>
  <c r="AL175" i="7"/>
  <c r="AM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K176" i="7"/>
  <c r="AL176" i="7"/>
  <c r="AM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K177" i="7"/>
  <c r="AL177" i="7"/>
  <c r="AM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K178" i="7"/>
  <c r="AL178" i="7"/>
  <c r="AM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K179" i="7"/>
  <c r="AL179" i="7"/>
  <c r="AM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K180" i="7"/>
  <c r="AL180" i="7"/>
  <c r="AM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K181" i="7"/>
  <c r="AL181" i="7"/>
  <c r="AM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K182" i="7"/>
  <c r="AL182" i="7"/>
  <c r="AM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K183" i="7"/>
  <c r="AL183" i="7"/>
  <c r="AM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K184" i="7"/>
  <c r="AL184" i="7"/>
  <c r="AM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K185" i="7"/>
  <c r="AL185" i="7"/>
  <c r="AM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K186" i="7"/>
  <c r="AL186" i="7"/>
  <c r="AM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K187" i="7"/>
  <c r="AL187" i="7"/>
  <c r="AM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K188" i="7"/>
  <c r="AL188" i="7"/>
  <c r="AM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K189" i="7"/>
  <c r="AL189" i="7"/>
  <c r="AM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K190" i="7"/>
  <c r="AL190" i="7"/>
  <c r="AM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K191" i="7"/>
  <c r="AL191" i="7"/>
  <c r="AM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K192" i="7"/>
  <c r="AL192" i="7"/>
  <c r="AM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K193" i="7"/>
  <c r="AL193" i="7"/>
  <c r="AM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K194" i="7"/>
  <c r="AL194" i="7"/>
  <c r="AM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K195" i="7"/>
  <c r="AL195" i="7"/>
  <c r="AM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K196" i="7"/>
  <c r="AL196" i="7"/>
  <c r="AM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K197" i="7"/>
  <c r="AL197" i="7"/>
  <c r="AM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K198" i="7"/>
  <c r="AL198" i="7"/>
  <c r="AM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K199" i="7"/>
  <c r="AL199" i="7"/>
  <c r="AM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K200" i="7"/>
  <c r="AL200" i="7"/>
  <c r="AM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K201" i="7"/>
  <c r="AL201" i="7"/>
  <c r="AM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K202" i="7"/>
  <c r="AL202" i="7"/>
  <c r="AM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K203" i="7"/>
  <c r="AL203" i="7"/>
  <c r="AM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K204" i="7"/>
  <c r="AL204" i="7"/>
  <c r="AM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K205" i="7"/>
  <c r="AL205" i="7"/>
  <c r="AM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K206" i="7"/>
  <c r="AL206" i="7"/>
  <c r="AM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K207" i="7"/>
  <c r="AL207" i="7"/>
  <c r="AM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K208" i="7"/>
  <c r="AL208" i="7"/>
  <c r="AM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K209" i="7"/>
  <c r="AL209" i="7"/>
  <c r="AM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K210" i="7"/>
  <c r="AL210" i="7"/>
  <c r="AM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K211" i="7"/>
  <c r="AL211" i="7"/>
  <c r="AM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K212" i="7"/>
  <c r="AL212" i="7"/>
  <c r="AM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K213" i="7"/>
  <c r="AL213" i="7"/>
  <c r="AM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K214" i="7"/>
  <c r="AL214" i="7"/>
  <c r="AM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K215" i="7"/>
  <c r="AL215" i="7"/>
  <c r="AM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K216" i="7"/>
  <c r="AL216" i="7"/>
  <c r="AM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K217" i="7"/>
  <c r="AL217" i="7"/>
  <c r="AM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K218" i="7"/>
  <c r="AL218" i="7"/>
  <c r="AM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K219" i="7"/>
  <c r="AL219" i="7"/>
  <c r="AM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K220" i="7"/>
  <c r="AL220" i="7"/>
  <c r="AM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K221" i="7"/>
  <c r="AL221" i="7"/>
  <c r="AM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K222" i="7"/>
  <c r="AL222" i="7"/>
  <c r="AM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K223" i="7"/>
  <c r="AL223" i="7"/>
  <c r="AM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K224" i="7"/>
  <c r="AL224" i="7"/>
  <c r="AM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K225" i="7"/>
  <c r="AL225" i="7"/>
  <c r="AM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K226" i="7"/>
  <c r="AL226" i="7"/>
  <c r="AM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K227" i="7"/>
  <c r="AL227" i="7"/>
  <c r="AM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K228" i="7"/>
  <c r="AL228" i="7"/>
  <c r="AM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K229" i="7"/>
  <c r="AL229" i="7"/>
  <c r="AM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K230" i="7"/>
  <c r="AL230" i="7"/>
  <c r="AM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K231" i="7"/>
  <c r="AL231" i="7"/>
  <c r="AM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K232" i="7"/>
  <c r="AL232" i="7"/>
  <c r="AM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K233" i="7"/>
  <c r="AL233" i="7"/>
  <c r="AM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K234" i="7"/>
  <c r="AL234" i="7"/>
  <c r="AM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K235" i="7"/>
  <c r="AL235" i="7"/>
  <c r="AM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K236" i="7"/>
  <c r="AL236" i="7"/>
  <c r="AM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K237" i="7"/>
  <c r="AL237" i="7"/>
  <c r="AM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K238" i="7"/>
  <c r="AL238" i="7"/>
  <c r="AM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K239" i="7"/>
  <c r="AL239" i="7"/>
  <c r="AM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K240" i="7"/>
  <c r="AL240" i="7"/>
  <c r="AM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K241" i="7"/>
  <c r="AL241" i="7"/>
  <c r="AM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K242" i="7"/>
  <c r="AL242" i="7"/>
  <c r="AM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K243" i="7"/>
  <c r="AL243" i="7"/>
  <c r="AM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K244" i="7"/>
  <c r="AL244" i="7"/>
  <c r="AM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K245" i="7"/>
  <c r="AL245" i="7"/>
  <c r="AM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K246" i="7"/>
  <c r="AL246" i="7"/>
  <c r="AM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K247" i="7"/>
  <c r="AL247" i="7"/>
  <c r="AM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K248" i="7"/>
  <c r="AL248" i="7"/>
  <c r="AM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K249" i="7"/>
  <c r="AL249" i="7"/>
  <c r="AM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K250" i="7"/>
  <c r="AL250" i="7"/>
  <c r="AM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K251" i="7"/>
  <c r="AL251" i="7"/>
  <c r="AM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K252" i="7"/>
  <c r="AL252" i="7"/>
  <c r="AM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K253" i="7"/>
  <c r="AL253" i="7"/>
  <c r="AM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K254" i="7"/>
  <c r="AL254" i="7"/>
  <c r="AM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K255" i="7"/>
  <c r="AL255" i="7"/>
  <c r="AM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K256" i="7"/>
  <c r="AL256" i="7"/>
  <c r="AM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K257" i="7"/>
  <c r="AL257" i="7"/>
  <c r="AM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K258" i="7"/>
  <c r="AL258" i="7"/>
  <c r="AM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K259" i="7"/>
  <c r="AL259" i="7"/>
  <c r="AM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K260" i="7"/>
  <c r="AL260" i="7"/>
  <c r="AM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K261" i="7"/>
  <c r="AL261" i="7"/>
  <c r="AM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K262" i="7"/>
  <c r="AL262" i="7"/>
  <c r="AM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K263" i="7"/>
  <c r="AL263" i="7"/>
  <c r="AM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K264" i="7"/>
  <c r="AL264" i="7"/>
  <c r="AM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K265" i="7"/>
  <c r="AL265" i="7"/>
  <c r="AM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K266" i="7"/>
  <c r="AL266" i="7"/>
  <c r="AM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K267" i="7"/>
  <c r="AL267" i="7"/>
  <c r="AM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K268" i="7"/>
  <c r="AL268" i="7"/>
  <c r="AM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K269" i="7"/>
  <c r="AL269" i="7"/>
  <c r="AM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K270" i="7"/>
  <c r="AL270" i="7"/>
  <c r="AM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K271" i="7"/>
  <c r="AL271" i="7"/>
  <c r="AM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K272" i="7"/>
  <c r="AL272" i="7"/>
  <c r="AM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K273" i="7"/>
  <c r="AL273" i="7"/>
  <c r="AM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K274" i="7"/>
  <c r="AL274" i="7"/>
  <c r="AM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K275" i="7"/>
  <c r="AL275" i="7"/>
  <c r="AM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K276" i="7"/>
  <c r="AL276" i="7"/>
  <c r="AM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K277" i="7"/>
  <c r="AL277" i="7"/>
  <c r="AM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K278" i="7"/>
  <c r="AL278" i="7"/>
  <c r="AM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K279" i="7"/>
  <c r="AL279" i="7"/>
  <c r="AM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K280" i="7"/>
  <c r="AL280" i="7"/>
  <c r="AM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K281" i="7"/>
  <c r="AL281" i="7"/>
  <c r="AM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K282" i="7"/>
  <c r="AL282" i="7"/>
  <c r="AM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K283" i="7"/>
  <c r="AL283" i="7"/>
  <c r="AM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K284" i="7"/>
  <c r="AL284" i="7"/>
  <c r="AM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K285" i="7"/>
  <c r="AL285" i="7"/>
  <c r="AM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K286" i="7"/>
  <c r="AL286" i="7"/>
  <c r="AM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K287" i="7"/>
  <c r="AL287" i="7"/>
  <c r="AM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K288" i="7"/>
  <c r="AL288" i="7"/>
  <c r="AM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K289" i="7"/>
  <c r="AL289" i="7"/>
  <c r="AM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K290" i="7"/>
  <c r="AL290" i="7"/>
  <c r="AM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K291" i="7"/>
  <c r="AL291" i="7"/>
  <c r="AM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K292" i="7"/>
  <c r="AL292" i="7"/>
  <c r="AM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K293" i="7"/>
  <c r="AL293" i="7"/>
  <c r="AM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K294" i="7"/>
  <c r="AL294" i="7"/>
  <c r="AM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K295" i="7"/>
  <c r="AL295" i="7"/>
  <c r="AM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K296" i="7"/>
  <c r="AL296" i="7"/>
  <c r="AM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K297" i="7"/>
  <c r="AL297" i="7"/>
  <c r="AM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K298" i="7"/>
  <c r="AL298" i="7"/>
  <c r="AM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K299" i="7"/>
  <c r="AL299" i="7"/>
  <c r="AM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K300" i="7"/>
  <c r="AL300" i="7"/>
  <c r="AM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K301" i="7"/>
  <c r="AL301" i="7"/>
  <c r="AM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K302" i="7"/>
  <c r="AL302" i="7"/>
  <c r="AM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K303" i="7"/>
  <c r="AL303" i="7"/>
  <c r="AM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K304" i="7"/>
  <c r="AL304" i="7"/>
  <c r="AM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K305" i="7"/>
  <c r="AL305" i="7"/>
  <c r="AM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K306" i="7"/>
  <c r="AL306" i="7"/>
  <c r="AM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K307" i="7"/>
  <c r="AL307" i="7"/>
  <c r="AM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K308" i="7"/>
  <c r="AL308" i="7"/>
  <c r="AM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K309" i="7"/>
  <c r="AL309" i="7"/>
  <c r="AM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K310" i="7"/>
  <c r="AL310" i="7"/>
  <c r="AM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K311" i="7"/>
  <c r="AL311" i="7"/>
  <c r="AM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K312" i="7"/>
  <c r="AL312" i="7"/>
  <c r="AM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K313" i="7"/>
  <c r="AL313" i="7"/>
  <c r="AM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K314" i="7"/>
  <c r="AL314" i="7"/>
  <c r="AM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K315" i="7"/>
  <c r="AL315" i="7"/>
  <c r="AM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K316" i="7"/>
  <c r="AL316" i="7"/>
  <c r="AM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K317" i="7"/>
  <c r="AL317" i="7"/>
  <c r="AM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K318" i="7"/>
  <c r="AL318" i="7"/>
  <c r="AM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K319" i="7"/>
  <c r="AL319" i="7"/>
  <c r="AM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K320" i="7"/>
  <c r="AL320" i="7"/>
  <c r="AM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K321" i="7"/>
  <c r="AL321" i="7"/>
  <c r="AM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K322" i="7"/>
  <c r="AL322" i="7"/>
  <c r="AM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K323" i="7"/>
  <c r="AL323" i="7"/>
  <c r="AM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K324" i="7"/>
  <c r="AL324" i="7"/>
  <c r="AM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K325" i="7"/>
  <c r="AL325" i="7"/>
  <c r="AM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K326" i="7"/>
  <c r="AL326" i="7"/>
  <c r="AM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K327" i="7"/>
  <c r="AL327" i="7"/>
  <c r="AM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K328" i="7"/>
  <c r="AL328" i="7"/>
  <c r="AM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K329" i="7"/>
  <c r="AL329" i="7"/>
  <c r="AM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K330" i="7"/>
  <c r="AL330" i="7"/>
  <c r="AM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K331" i="7"/>
  <c r="AL331" i="7"/>
  <c r="AM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K332" i="7"/>
  <c r="AL332" i="7"/>
  <c r="AM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K333" i="7"/>
  <c r="AL333" i="7"/>
  <c r="AM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K334" i="7"/>
  <c r="AL334" i="7"/>
  <c r="AM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K335" i="7"/>
  <c r="AL335" i="7"/>
  <c r="AM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K336" i="7"/>
  <c r="AL336" i="7"/>
  <c r="AM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K337" i="7"/>
  <c r="AL337" i="7"/>
  <c r="AM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K338" i="7"/>
  <c r="AL338" i="7"/>
  <c r="AM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K339" i="7"/>
  <c r="AL339" i="7"/>
  <c r="AM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K340" i="7"/>
  <c r="AL340" i="7"/>
  <c r="AM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K341" i="7"/>
  <c r="AL341" i="7"/>
  <c r="AM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K342" i="7"/>
  <c r="AL342" i="7"/>
  <c r="AM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K343" i="7"/>
  <c r="AL343" i="7"/>
  <c r="AM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K344" i="7"/>
  <c r="AL344" i="7"/>
  <c r="AM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K345" i="7"/>
  <c r="AL345" i="7"/>
  <c r="AM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K346" i="7"/>
  <c r="AL346" i="7"/>
  <c r="AM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K347" i="7"/>
  <c r="AL347" i="7"/>
  <c r="AM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K348" i="7"/>
  <c r="AL348" i="7"/>
  <c r="AM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K349" i="7"/>
  <c r="AL349" i="7"/>
  <c r="AM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K350" i="7"/>
  <c r="AL350" i="7"/>
  <c r="AM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K351" i="7"/>
  <c r="AL351" i="7"/>
  <c r="AM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K352" i="7"/>
  <c r="AL352" i="7"/>
  <c r="AM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K353" i="7"/>
  <c r="AL353" i="7"/>
  <c r="AM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K354" i="7"/>
  <c r="AL354" i="7"/>
  <c r="AM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K355" i="7"/>
  <c r="AL355" i="7"/>
  <c r="AM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K356" i="7"/>
  <c r="AL356" i="7"/>
  <c r="AM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K357" i="7"/>
  <c r="AL357" i="7"/>
  <c r="AM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K358" i="7"/>
  <c r="AL358" i="7"/>
  <c r="AM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K359" i="7"/>
  <c r="AL359" i="7"/>
  <c r="AM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K360" i="7"/>
  <c r="AL360" i="7"/>
  <c r="AM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K361" i="7"/>
  <c r="AL361" i="7"/>
  <c r="AM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K362" i="7"/>
  <c r="AL362" i="7"/>
  <c r="AM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K363" i="7"/>
  <c r="AL363" i="7"/>
  <c r="AM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K364" i="7"/>
  <c r="AL364" i="7"/>
  <c r="AM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K365" i="7"/>
  <c r="AL365" i="7"/>
  <c r="AM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K366" i="7"/>
  <c r="AL366" i="7"/>
  <c r="AM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13" i="7" l="1"/>
  <c r="X12" i="10"/>
  <c r="X13" i="10" s="1"/>
  <c r="D9" i="10"/>
  <c r="F4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<sst xmlns="http://schemas.openxmlformats.org/spreadsheetml/2006/main" count="1228" uniqueCount="421">
  <si>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</si>
  <si>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</si>
  <si>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</si>
  <si>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</si>
  <si>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</si>
  <si>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</si>
  <si>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</si>
  <si>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</si>
  <si>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</si>
  <si>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</si>
  <si>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</si>
  <si>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</si>
  <si>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</si>
  <si>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</si>
  <si>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</si>
  <si>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</si>
  <si>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</si>
  <si>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</si>
  <si>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</si>
  <si>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</si>
  <si>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</si>
  <si>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</si>
  <si>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</si>
  <si>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</si>
  <si>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</si>
  <si>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</si>
  <si>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</si>
  <si>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</si>
  <si>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</si>
  <si>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</si>
  <si>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</si>
  <si>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</si>
  <si>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</si>
  <si>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</si>
  <si>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</si>
  <si>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</si>
  <si>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</si>
  <si>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</si>
  <si>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</si>
  <si>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</si>
  <si>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</si>
  <si>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</si>
  <si>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</si>
  <si>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</si>
  <si>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</si>
  <si>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</si>
  <si>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</si>
  <si>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</si>
  <si>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</si>
  <si>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</si>
  <si>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</si>
  <si>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</si>
  <si>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</si>
  <si>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</si>
  <si>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</si>
  <si>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</si>
  <si>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</si>
  <si>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</si>
  <si>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</si>
  <si>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</si>
  <si>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</si>
  <si>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</si>
  <si>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</si>
  <si>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</si>
  <si>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</si>
  <si>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</si>
  <si>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</si>
  <si>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</si>
  <si>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</si>
  <si>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</si>
  <si>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</si>
  <si>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</si>
  <si>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</si>
  <si>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</si>
  <si>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</si>
  <si>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</si>
  <si>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</si>
  <si>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</si>
  <si>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</si>
  <si>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</si>
  <si>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</si>
  <si>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</si>
  <si>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</si>
  <si>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</si>
  <si>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</si>
  <si>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</si>
  <si>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</si>
  <si>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</si>
  <si>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</si>
  <si>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</si>
  <si>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</si>
  <si>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</si>
  <si>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</si>
  <si>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</si>
  <si>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</si>
  <si>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</si>
  <si>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</si>
  <si>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</si>
  <si>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</si>
  <si>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</si>
  <si>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</si>
  <si>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</si>
  <si>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</si>
  <si>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</si>
  <si>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</si>
  <si>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</si>
  <si>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</si>
  <si>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</si>
  <si>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</si>
  <si>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</si>
  <si>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</si>
  <si>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</si>
  <si>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</si>
  <si>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</si>
  <si>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</si>
  <si>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</si>
  <si>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</si>
  <si>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</si>
  <si>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</si>
  <si>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</si>
  <si>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</si>
  <si>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</si>
  <si>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</si>
  <si>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</si>
  <si>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</si>
  <si>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</si>
  <si>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</si>
  <si>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</si>
  <si>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</si>
  <si>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</si>
  <si>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</si>
  <si>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</si>
  <si>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</si>
  <si>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</si>
  <si>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</si>
  <si>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</si>
  <si>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</si>
  <si>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</si>
  <si>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</si>
  <si>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</si>
  <si>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</si>
  <si>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</si>
  <si>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</si>
  <si>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</si>
  <si>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</si>
  <si>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</si>
  <si>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</si>
  <si>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</si>
  <si>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</si>
  <si>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</si>
  <si>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</si>
  <si>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</si>
  <si>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</si>
  <si>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</si>
  <si>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</si>
  <si>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</si>
  <si>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</si>
  <si>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</si>
  <si>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</si>
  <si>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</si>
  <si>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</si>
  <si>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</si>
  <si>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</si>
  <si>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</si>
  <si>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</si>
  <si>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</si>
  <si>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</si>
  <si>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</si>
  <si>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</si>
  <si>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</si>
  <si>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</si>
  <si>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</si>
  <si>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</si>
  <si>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</si>
  <si>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</si>
  <si>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</si>
  <si>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</si>
  <si>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</si>
  <si>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</si>
  <si>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</si>
  <si>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</si>
  <si>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</si>
  <si>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</si>
  <si>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</si>
  <si>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</si>
  <si>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</si>
  <si>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</si>
  <si>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</si>
  <si>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</si>
  <si>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</si>
  <si>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</si>
  <si>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</si>
  <si>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</si>
  <si>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</si>
  <si>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</si>
  <si>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</si>
  <si>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REASON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</si>
  <si>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</si>
  <si>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</si>
  <si>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</si>
  <si>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</si>
  <si>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</si>
  <si>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</si>
  <si>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</si>
  <si>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</si>
  <si>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</si>
  <si>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</si>
  <si>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</si>
  <si>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</si>
  <si>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</si>
  <si>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</si>
  <si>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</si>
  <si>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</si>
  <si>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</si>
  <si>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</si>
  <si>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</si>
  <si>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</si>
  <si>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</si>
  <si>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</si>
  <si>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</si>
  <si>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</si>
  <si>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</si>
  <si>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</si>
  <si>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</si>
  <si>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</si>
  <si>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</si>
  <si>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</si>
  <si>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</si>
  <si>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</si>
  <si>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</si>
  <si>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</si>
  <si>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</si>
  <si>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</si>
  <si>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</si>
  <si>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</si>
  <si>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</si>
  <si>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</si>
  <si>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</si>
  <si>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</si>
  <si>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</si>
  <si>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</si>
  <si>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</si>
  <si>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</si>
  <si>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</si>
  <si>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</si>
  <si>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</si>
  <si>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</si>
  <si>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</si>
  <si>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</si>
  <si>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</si>
  <si>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</si>
  <si>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</si>
  <si>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</si>
  <si>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</si>
  <si>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</si>
  <si>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</si>
  <si>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</si>
  <si>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</si>
  <si>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</si>
  <si>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</si>
  <si>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</si>
  <si>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</si>
  <si>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</si>
  <si>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</si>
  <si>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</si>
  <si>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</si>
  <si>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</si>
  <si>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</si>
  <si>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</si>
  <si>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</si>
  <si>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</si>
  <si>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</si>
  <si>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</si>
  <si>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</si>
  <si>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</si>
  <si>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</si>
  <si>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</si>
  <si>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</si>
  <si>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</si>
  <si>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</si>
  <si>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</si>
  <si>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</si>
  <si>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</si>
  <si>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</si>
  <si>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</si>
  <si>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</si>
  <si>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</si>
  <si>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</si>
  <si>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</si>
  <si>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</si>
  <si>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</si>
  <si>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</si>
  <si>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</si>
  <si>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</si>
  <si>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</si>
  <si>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</si>
  <si>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</si>
  <si>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</si>
  <si>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</si>
  <si>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</si>
  <si>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</si>
  <si>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</si>
  <si>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</si>
  <si>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</si>
  <si>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</si>
  <si>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</si>
  <si>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</si>
  <si>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</si>
  <si>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</si>
  <si>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</si>
  <si>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</si>
  <si>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</si>
  <si>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</si>
  <si>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</si>
  <si>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</si>
  <si>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</si>
  <si>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</si>
  <si>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</si>
  <si>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</si>
  <si>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</si>
  <si>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</si>
  <si>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</si>
  <si>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</si>
  <si>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</si>
  <si>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</si>
  <si>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</si>
  <si>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</si>
  <si>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</si>
  <si>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</si>
  <si>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</si>
  <si>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</si>
  <si>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</si>
  <si>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</si>
  <si>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</si>
  <si>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</si>
  <si>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</si>
  <si>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</si>
  <si>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</si>
  <si>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</si>
  <si>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</si>
  <si>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</si>
  <si>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</si>
  <si>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</si>
  <si>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</si>
  <si>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</si>
  <si>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</si>
  <si>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</si>
  <si>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</si>
  <si>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</si>
  <si>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</si>
  <si>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</si>
  <si>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</si>
  <si>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Abstinence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</si>
  <si>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</si>
  <si>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</si>
  <si>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</si>
  <si>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</si>
  <si>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</si>
  <si>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</si>
  <si>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</si>
  <si>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</si>
  <si>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</si>
  <si>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</si>
  <si>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</si>
  <si>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</si>
  <si>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</si>
  <si>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</si>
  <si>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</si>
  <si>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</si>
  <si>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</si>
  <si>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</si>
  <si>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</si>
  <si>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</si>
  <si>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</si>
  <si>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</si>
  <si>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</si>
  <si>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</si>
  <si>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</si>
  <si>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</si>
  <si>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</si>
  <si>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Bajranii Bhaijan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</si>
  <si>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</si>
  <si>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</si>
  <si>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</si>
  <si>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</si>
  <si>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</si>
  <si>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</si>
  <si>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</si>
  <si>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</si>
  <si>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</si>
  <si>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</si>
  <si>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</si>
  <si>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</si>
  <si>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</si>
  <si>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</si>
  <si>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</si>
  <si>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</si>
  <si>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</si>
  <si>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</si>
  <si>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</si>
  <si>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</si>
  <si>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</si>
  <si>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</si>
  <si>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</si>
  <si>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</si>
  <si>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</si>
  <si>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</si>
  <si>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</si>
  <si>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</si>
  <si>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</si>
  <si>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</si>
  <si>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</si>
  <si>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</si>
  <si>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</si>
  <si>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</si>
  <si>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</si>
  <si>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Kottayam,Kochi</t>
  </si>
  <si>
    <t>Kochi,Munnar</t>
  </si>
  <si>
    <t>Munnar</t>
  </si>
  <si>
    <t>Munnar,Kochi,Kottayam</t>
  </si>
  <si>
    <t>DE Shaw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</si>
</sst>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8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left" vertical="center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4" fillId="0" borderId="29" xfId="0" applyFont="1" applyBorder="1" applyAlignment="1">
      <alignment horizontal="left" vertical="center"/>
    </xf>
    <xf numFmtId="0" fontId="4" fillId="0" borderId="30" xfId="0" applyFont="1" applyBorder="1" applyAlignment="1">
      <alignment horizontal="center"/>
    </xf>
    <xf numFmtId="0" fontId="3" fillId="10" borderId="8" xfId="0" applyFont="1" applyFill="1" applyBorder="1" applyAlignment="1">
      <alignment horizontal="left" vertical="center"/>
    </xf>
    <xf numFmtId="0" fontId="4" fillId="8" borderId="20" xfId="0" applyFont="1" applyFill="1" applyBorder="1" applyAlignment="1">
      <alignment horizontal="center" vertical="center"/>
    </xf>
    <xf numFmtId="0" fontId="4" fillId="0" borderId="7" xfId="0" applyFont="1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0" xfId="0" applyFont="1" applyFill="1" applyAlignment="1">
      <alignment horizontal="center" wrapText="1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2" fontId="5" fillId="4" borderId="0" xfId="0" applyNumberFormat="1" applyFont="1" applyFill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4.8499999999999996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2</c:v>
                </c:pt>
                <c:pt idx="1">
                  <c:v>21</c:v>
                </c:pt>
                <c:pt idx="2">
                  <c:v>88</c:v>
                </c:pt>
                <c:pt idx="3">
                  <c:v>156</c:v>
                </c:pt>
                <c:pt idx="4">
                  <c:v>33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</a:t>
            </a:r>
            <a:r>
              <a:rPr lang="en-IN" baseline="0"/>
              <a:t> with Previous Year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HappinessIndex2025!$AL$2:$AL$121</c:f>
              <c:numCache>
                <c:formatCode>General</c:formatCode>
                <c:ptCount val="120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HappinessIndex2025!$AM$2:$AM$121</c:f>
              <c:numCache>
                <c:formatCode>General</c:formatCode>
                <c:ptCount val="120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100</c:v>
                </c:pt>
                <c:pt idx="11" formatCode="General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4.8499999999999996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9.6666666666666661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38416</xdr:colOff>
      <xdr:row>2</xdr:row>
      <xdr:rowOff>128856</xdr:rowOff>
    </xdr:from>
    <xdr:to>
      <xdr:col>29</xdr:col>
      <xdr:colOff>27421</xdr:colOff>
      <xdr:row>16</xdr:row>
      <xdr:rowOff>17453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289277</xdr:colOff>
      <xdr:row>31</xdr:row>
      <xdr:rowOff>167793</xdr:rowOff>
    </xdr:from>
    <xdr:to>
      <xdr:col>28</xdr:col>
      <xdr:colOff>7055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17388</xdr:rowOff>
    </xdr:from>
    <xdr:to>
      <xdr:col>27</xdr:col>
      <xdr:colOff>609290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611482</xdr:colOff>
      <xdr:row>26</xdr:row>
      <xdr:rowOff>819</xdr:rowOff>
    </xdr:from>
    <xdr:to>
      <xdr:col>35</xdr:col>
      <xdr:colOff>620889</xdr:colOff>
      <xdr:row>42</xdr:row>
      <xdr:rowOff>88763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25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26</xdr:row>
      <xdr:rowOff>6414</xdr:rowOff>
    </xdr:from>
    <xdr:to>
      <xdr:col>12</xdr:col>
      <xdr:colOff>536502</xdr:colOff>
      <xdr:row>37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27516</xdr:colOff>
      <xdr:row>15</xdr:row>
      <xdr:rowOff>19050</xdr:rowOff>
    </xdr:from>
    <xdr:to>
      <xdr:col>8</xdr:col>
      <xdr:colOff>440266</xdr:colOff>
      <xdr:row>23</xdr:row>
      <xdr:rowOff>4234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abSelected="1" topLeftCell="A285" zoomScale="56" zoomScaleNormal="70" workbookViewId="0">
      <selection activeCell="B314" sqref="B314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703125" style="61" customWidth="1"/>
    <col min="6" max="6" width="10.703125" style="38" customWidth="1"/>
    <col min="7" max="7" width="7.46875" style="38" customWidth="1"/>
    <col min="8" max="8" width="11.1757812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9.9375" bestFit="1" customWidth="1"/>
    <col min="40" max="40" width="8.9375" customWidth="1"/>
  </cols>
  <sheetData>
    <row r="1" spans="1:53" ht="29" thickBot="1" x14ac:dyDescent="0.55000000000000004">
      <c r="A1" s="70" t="s">
        <v>108</v>
      </c>
      <c r="B1" s="70" t="s">
        <v>24</v>
      </c>
      <c r="C1" s="70" t="s">
        <v>177</v>
      </c>
      <c r="D1" s="62" t="s">
        <v>178</v>
      </c>
      <c r="E1" s="63" t="s">
        <v>179</v>
      </c>
      <c r="F1" s="70" t="s">
        <v>180</v>
      </c>
      <c r="G1" s="76" t="s">
        <v>196</v>
      </c>
      <c r="H1" s="176" t="s">
        <v>175</v>
      </c>
      <c r="I1" s="177"/>
      <c r="J1" s="177"/>
      <c r="AK1" t="s">
        <v>209</v>
      </c>
      <c r="AL1">
        <v>2025</v>
      </c>
      <c r="AM1">
        <v>2024</v>
      </c>
    </row>
    <row r="2" spans="1:53" x14ac:dyDescent="0.5">
      <c r="A2" s="74">
        <v>45658</v>
      </c>
      <c r="B2" s="75">
        <v>2.5</v>
      </c>
      <c r="C2" s="165">
        <f>AVERAGE(B2:B32)</f>
        <v>5</v>
      </c>
      <c r="D2" s="172">
        <v>6</v>
      </c>
      <c r="E2" s="61">
        <v>1</v>
      </c>
      <c r="F2" s="38" t="s">
        <v>194</v>
      </c>
      <c r="H2" s="178"/>
      <c r="I2" s="179"/>
      <c r="J2" s="179"/>
      <c r="AK2" s="74">
        <v>45658</v>
      </c>
      <c r="AL2" s="75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5">
        <v>45659</v>
      </c>
      <c r="B3" s="2">
        <v>2.8</v>
      </c>
      <c r="C3" s="166"/>
      <c r="D3" s="173"/>
      <c r="E3" s="61">
        <v>1</v>
      </c>
      <c r="F3" s="71" t="s">
        <v>195</v>
      </c>
      <c r="G3" s="77"/>
      <c r="AK3" s="55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x14ac:dyDescent="0.5">
      <c r="A4" s="55">
        <v>45660</v>
      </c>
      <c r="B4" s="2">
        <v>4.8</v>
      </c>
      <c r="C4" s="166"/>
      <c r="D4" s="173"/>
      <c r="E4" s="61">
        <v>1</v>
      </c>
      <c r="F4" s="72" t="s">
        <v>114</v>
      </c>
      <c r="H4" s="157" t="s">
        <v>30</v>
      </c>
      <c r="I4" s="153" t="s">
        <v>24</v>
      </c>
      <c r="J4" s="154" t="s">
        <v>25</v>
      </c>
      <c r="L4" s="53" t="s">
        <v>7</v>
      </c>
      <c r="M4" s="53" t="s">
        <v>20</v>
      </c>
      <c r="N4" s="58" t="s">
        <v>21</v>
      </c>
      <c r="O4" s="22" t="s">
        <v>0</v>
      </c>
      <c r="P4" s="22" t="s">
        <v>1</v>
      </c>
      <c r="Q4" s="22" t="s">
        <v>2</v>
      </c>
      <c r="R4" s="22" t="s">
        <v>3</v>
      </c>
      <c r="S4" s="22" t="s">
        <v>4</v>
      </c>
      <c r="T4" s="22" t="s">
        <v>5</v>
      </c>
      <c r="U4" s="2"/>
      <c r="AK4" s="55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5">
        <v>45661</v>
      </c>
      <c r="B5" s="2">
        <v>8.1999999999999993</v>
      </c>
      <c r="C5" s="166"/>
      <c r="D5" s="173"/>
      <c r="E5" s="61">
        <v>1</v>
      </c>
      <c r="F5" s="71" t="s">
        <v>114</v>
      </c>
      <c r="G5" s="77"/>
      <c r="H5" s="155" t="s">
        <v>0</v>
      </c>
      <c r="I5" s="25">
        <v>10</v>
      </c>
      <c r="J5" s="156">
        <f>COUNTIFS(B2:B366,"&gt;=10")</f>
        <v>2</v>
      </c>
      <c r="L5" s="59" t="s">
        <v>8</v>
      </c>
      <c r="M5" s="32">
        <v>5</v>
      </c>
      <c r="N5" s="169">
        <f>AVERAGE(M5:M16)</f>
        <v>5.1761749882571007</v>
      </c>
      <c r="O5" s="60">
        <f>COUNTIFS(B2:B32,"&gt;=10")</f>
        <v>0</v>
      </c>
      <c r="P5" s="60">
        <f>COUNTIFS(B2:B32,"&gt;=8", B2:B32,"&lt;10")</f>
        <v>3</v>
      </c>
      <c r="Q5" s="60">
        <f>COUNTIFS(B2:B32,"&gt;=6", B2:B32,"&lt;8")</f>
        <v>8</v>
      </c>
      <c r="R5" s="60">
        <f>COUNTIFS(B2:B32,"&gt;=4", B2:B32,"&lt;6")</f>
        <v>11</v>
      </c>
      <c r="S5" s="60">
        <f>COUNTIFS(B2:B32,"&gt;=2", B2:B32,"&lt;4")</f>
        <v>6</v>
      </c>
      <c r="T5" s="60">
        <f>COUNTIFS(B2:B32,"&gt;=0", B2:B32,"&lt;2")</f>
        <v>3</v>
      </c>
      <c r="U5" s="169">
        <f>AVERAGE(M5:M8)</f>
        <v>4.9601459293394772</v>
      </c>
      <c r="AK5" s="55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5">
        <v>45662</v>
      </c>
      <c r="B6" s="2">
        <v>6.2</v>
      </c>
      <c r="C6" s="166"/>
      <c r="D6" s="173"/>
      <c r="E6" s="61">
        <v>1</v>
      </c>
      <c r="F6" s="72" t="s">
        <v>114</v>
      </c>
      <c r="H6" s="7" t="s">
        <v>1</v>
      </c>
      <c r="I6" s="8">
        <v>8</v>
      </c>
      <c r="J6" s="9">
        <f>COUNTIFS(B2:B366,"&gt;=8", B2:B366,"&lt;10")</f>
        <v>21</v>
      </c>
      <c r="L6" s="59" t="s">
        <v>9</v>
      </c>
      <c r="M6" s="32">
        <v>4.7571428571428571</v>
      </c>
      <c r="N6" s="170"/>
      <c r="O6" s="60">
        <f>COUNTIFS(B33:B60,"&gt;=10")</f>
        <v>0</v>
      </c>
      <c r="P6" s="60">
        <f>COUNTIFS(B33:B60,"&gt;=8", B33:B60,"&lt;10")</f>
        <v>1</v>
      </c>
      <c r="Q6" s="60">
        <f>COUNTIFS(B33:B60,"&gt;=6", B33:B60,"&lt;8")</f>
        <v>5</v>
      </c>
      <c r="R6" s="60">
        <f>COUNTIFS(B33:B60,"&gt;=4", B33:B60,"&lt;6")</f>
        <v>15</v>
      </c>
      <c r="S6" s="60">
        <f>COUNTIFS(B33:B60,"&gt;=2", B33:B60,"&lt;4")</f>
        <v>5</v>
      </c>
      <c r="T6" s="60">
        <f>COUNTIFS(B33:B60,"&gt;=0", B33:B60,"&lt;2")</f>
        <v>2</v>
      </c>
      <c r="U6" s="170"/>
      <c r="AK6" s="55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5">
        <v>45663</v>
      </c>
      <c r="B7" s="2">
        <v>6.1</v>
      </c>
      <c r="C7" s="166"/>
      <c r="D7" s="173"/>
      <c r="E7" s="61">
        <v>1</v>
      </c>
      <c r="F7" s="71" t="s">
        <v>114</v>
      </c>
      <c r="G7" s="77"/>
      <c r="H7" s="11" t="s">
        <v>2</v>
      </c>
      <c r="I7" s="8">
        <v>6</v>
      </c>
      <c r="J7" s="9">
        <f>COUNTIFS(B2:B366,"&gt;=6", B2:B366,"&lt;8")</f>
        <v>88</v>
      </c>
      <c r="L7" s="59" t="s">
        <v>10</v>
      </c>
      <c r="M7" s="32">
        <v>5.1967741935483867</v>
      </c>
      <c r="N7" s="170"/>
      <c r="O7" s="60">
        <f>COUNTIFS(B61:B91,"&gt;=10")</f>
        <v>0</v>
      </c>
      <c r="P7" s="60">
        <f>COUNTIFS(B61:B91,"&gt;=8", B61:B91,"&lt;10")</f>
        <v>1</v>
      </c>
      <c r="Q7" s="60">
        <f>COUNTIFS(B61:B91,"&gt;=6", B61:B91,"&lt;8")</f>
        <v>8</v>
      </c>
      <c r="R7" s="60">
        <f>COUNTIFS(B61:B91,"&gt;=4", B61:B91,"&lt;6")</f>
        <v>20</v>
      </c>
      <c r="S7" s="60">
        <f>COUNTIFS(B61:B91,"&gt;=2", B61:B91,"&lt;4")</f>
        <v>2</v>
      </c>
      <c r="T7" s="60">
        <f>COUNTIFS(B61:B91,"&gt;=0", B61:B91,"&lt;2")</f>
        <v>0</v>
      </c>
      <c r="U7" s="170"/>
      <c r="AK7" s="55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5">
        <v>45664</v>
      </c>
      <c r="B8" s="2">
        <v>3.5</v>
      </c>
      <c r="C8" s="166"/>
      <c r="D8" s="173"/>
      <c r="E8" s="61">
        <v>1</v>
      </c>
      <c r="F8" s="72" t="s">
        <v>114</v>
      </c>
      <c r="H8" s="12" t="s">
        <v>3</v>
      </c>
      <c r="I8" s="8">
        <v>4</v>
      </c>
      <c r="J8" s="9">
        <f>COUNTIFS(B2:B366,"&gt;=4", B2:B366,"&lt;6")</f>
        <v>156</v>
      </c>
      <c r="L8" s="59" t="s">
        <v>11</v>
      </c>
      <c r="M8" s="32">
        <v>4.8866666666666676</v>
      </c>
      <c r="N8" s="170"/>
      <c r="O8" s="60">
        <f>COUNTIFS(B92:B121,"&gt;=10")</f>
        <v>0</v>
      </c>
      <c r="P8" s="60">
        <f>COUNTIFS(B92:B121,"&gt;=8", B92:B121,"&lt;10")</f>
        <v>2</v>
      </c>
      <c r="Q8" s="60">
        <f>COUNTIFS(B92:B121,"&gt;=6",B92:B121,"&lt;8")</f>
        <v>8</v>
      </c>
      <c r="R8" s="60">
        <f>COUNTIFS(B92:B121,"&gt;=4", B92:B121,"&lt;6")</f>
        <v>14</v>
      </c>
      <c r="S8" s="60">
        <f>COUNTIFS(B92:B121,"&gt;=2", B92:B121,"&lt;4")</f>
        <v>3</v>
      </c>
      <c r="T8" s="60">
        <f>COUNTIFS(B92:B121,"&gt;=0", B92:B121,"&lt;2")</f>
        <v>3</v>
      </c>
      <c r="U8" s="171"/>
      <c r="AK8" s="55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5">
        <v>45665</v>
      </c>
      <c r="B9" s="2">
        <v>1.2</v>
      </c>
      <c r="C9" s="166"/>
      <c r="D9" s="173"/>
      <c r="E9" s="61">
        <v>1</v>
      </c>
      <c r="F9" s="71" t="s">
        <v>114</v>
      </c>
      <c r="G9" s="77" t="s">
        <v>197</v>
      </c>
      <c r="H9" s="13" t="s">
        <v>4</v>
      </c>
      <c r="I9" s="8">
        <v>2</v>
      </c>
      <c r="J9" s="9">
        <f>COUNTIFS(B2:B366,"&gt;=2", B2:B366,"&lt;4")</f>
        <v>33</v>
      </c>
      <c r="L9" s="59" t="s">
        <v>12</v>
      </c>
      <c r="M9" s="32">
        <v>5.8967741935483877</v>
      </c>
      <c r="N9" s="170"/>
      <c r="O9" s="60">
        <f>COUNTIFS(B122:B152,"&gt;=10")</f>
        <v>0</v>
      </c>
      <c r="P9" s="60">
        <f>COUNTIFS(B122:B152,"&gt;=8", B122:B152,"&lt;10")</f>
        <v>2</v>
      </c>
      <c r="Q9" s="60">
        <f>COUNTIFS(B122:B152,"&gt;=6",B122:B152,"&lt;8")</f>
        <v>12</v>
      </c>
      <c r="R9" s="60">
        <f>COUNTIFS(B122:B152,"&gt;=4", B122:B152,"&lt;6")</f>
        <v>16</v>
      </c>
      <c r="S9" s="60">
        <f>COUNTIFS(B122:B152,"&gt;=2", B122:B152,"&lt;4")</f>
        <v>1</v>
      </c>
      <c r="T9" s="60">
        <f>COUNTIFS(B122:B152,"&gt;=0", B122:B152,"&lt;2")</f>
        <v>0</v>
      </c>
      <c r="U9" s="169">
        <f>AVERAGE(M9:M12)</f>
        <v>5.2004105571847514</v>
      </c>
      <c r="AK9" s="55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5">
        <v>45666</v>
      </c>
      <c r="B10" s="2">
        <v>5.6</v>
      </c>
      <c r="C10" s="166"/>
      <c r="D10" s="173"/>
      <c r="E10" s="61">
        <v>1</v>
      </c>
      <c r="F10" s="72" t="s">
        <v>346</v>
      </c>
      <c r="H10" s="14" t="s">
        <v>5</v>
      </c>
      <c r="I10" s="15">
        <v>0</v>
      </c>
      <c r="J10" s="16">
        <f>COUNTIFS(B2:B366,"&gt;=0", B2:B366,"&lt;2")</f>
        <v>12</v>
      </c>
      <c r="L10" s="59" t="s">
        <v>13</v>
      </c>
      <c r="M10" s="32">
        <v>4.8600000000000003</v>
      </c>
      <c r="N10" s="170"/>
      <c r="O10" s="60">
        <f>COUNTIFS(B153:B182,"&gt;=10")</f>
        <v>0</v>
      </c>
      <c r="P10" s="60">
        <f>COUNTIFS(B153:B182,"&gt;=8", B153:B182,"&lt;10")</f>
        <v>2</v>
      </c>
      <c r="Q10" s="60">
        <f>COUNTIFS(B153:B182,"&gt;=6",B153:B182,"&lt;8")</f>
        <v>5</v>
      </c>
      <c r="R10" s="60">
        <f>COUNTIFS(B153:B182,"&gt;=4", B153:B182,"&lt;6")</f>
        <v>20</v>
      </c>
      <c r="S10" s="60">
        <f>COUNTIFS(B153:B182,"&gt;=2", B153:B182,"&lt;4")</f>
        <v>2</v>
      </c>
      <c r="T10" s="60">
        <f>COUNTIFS(B153:B182,"&gt;=0", B153:B182,"&lt;2")</f>
        <v>1</v>
      </c>
      <c r="U10" s="170"/>
      <c r="AK10" s="55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5">
        <v>45667</v>
      </c>
      <c r="B11" s="2">
        <v>4.3</v>
      </c>
      <c r="C11" s="166"/>
      <c r="D11" s="173"/>
      <c r="E11" s="61">
        <v>1</v>
      </c>
      <c r="F11" s="71" t="s">
        <v>176</v>
      </c>
      <c r="G11" s="77"/>
      <c r="H11" s="162" t="s">
        <v>6</v>
      </c>
      <c r="I11" s="163"/>
      <c r="J11" s="17">
        <f>SUM(J5:J10)</f>
        <v>312</v>
      </c>
      <c r="L11" s="59" t="s">
        <v>14</v>
      </c>
      <c r="M11" s="32">
        <v>5.3903225806451607</v>
      </c>
      <c r="N11" s="170"/>
      <c r="O11" s="60">
        <f>COUNTIFS(B183:B213,"&gt;=10")</f>
        <v>1</v>
      </c>
      <c r="P11" s="60">
        <f>COUNTIFS(B183:B213,"&gt;=8", B183:B213,"&lt;10")</f>
        <v>4</v>
      </c>
      <c r="Q11" s="60">
        <f>COUNTIFS(B183:B213,"&gt;=6",B183:B213,"&lt;8")</f>
        <v>6</v>
      </c>
      <c r="R11" s="60">
        <f>COUNTIFS(B183:B213,"&gt;=4", B183:B213,"&lt;6")</f>
        <v>16</v>
      </c>
      <c r="S11" s="60">
        <f>COUNTIFS(B183:B213,"&gt;=2", B183:B213,"&lt;4")</f>
        <v>3</v>
      </c>
      <c r="T11" s="60">
        <f>COUNTIFS(B183:B213,"&gt;=0", B183:B213,"&lt;2")</f>
        <v>1</v>
      </c>
      <c r="U11" s="170"/>
      <c r="AK11" s="55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x14ac:dyDescent="0.5">
      <c r="A12" s="55">
        <v>45668</v>
      </c>
      <c r="B12" s="2">
        <v>5.4</v>
      </c>
      <c r="C12" s="166"/>
      <c r="D12" s="173"/>
      <c r="E12" s="61">
        <v>1</v>
      </c>
      <c r="F12" s="72" t="s">
        <v>176</v>
      </c>
      <c r="L12" s="59" t="s">
        <v>15</v>
      </c>
      <c r="M12" s="32">
        <v>4.6545454545454543</v>
      </c>
      <c r="N12" s="170"/>
      <c r="O12" s="60">
        <f>COUNTIFS(B214:B244,"&gt;=10")</f>
        <v>0</v>
      </c>
      <c r="P12" s="60">
        <f>COUNTIFS(B214:B244,"&gt;=8", B214:B244,"&lt;10")</f>
        <v>0</v>
      </c>
      <c r="Q12" s="60">
        <f>COUNTIFS(B214:B244,"&gt;=6",B214:B244,"&lt;8")</f>
        <v>8</v>
      </c>
      <c r="R12" s="60">
        <f>COUNTIFS(B214:B244,"&gt;=4", B214:B244,"&lt;6")</f>
        <v>16</v>
      </c>
      <c r="S12" s="60">
        <f>COUNTIFS(B214:B244,"&gt;=2", B214:B244,"&lt;4")</f>
        <v>6</v>
      </c>
      <c r="T12" s="60">
        <f>COUNTIFS(B214:B244,"&gt;=0", B214:B244,"&lt;2")</f>
        <v>1</v>
      </c>
      <c r="U12" s="171"/>
      <c r="AK12" s="55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5">
        <v>45669</v>
      </c>
      <c r="B13" s="2">
        <v>7.2</v>
      </c>
      <c r="C13" s="166"/>
      <c r="D13" s="173"/>
      <c r="E13" s="61">
        <v>1</v>
      </c>
      <c r="F13" s="71" t="s">
        <v>176</v>
      </c>
      <c r="G13" s="77"/>
      <c r="H13" s="164" t="s">
        <v>174</v>
      </c>
      <c r="I13" s="164"/>
      <c r="J13" s="175">
        <f>J11/3.65</f>
        <v>85.479452054794521</v>
      </c>
      <c r="L13" s="59" t="s">
        <v>16</v>
      </c>
      <c r="M13" s="32">
        <f>C245</f>
        <v>5.8166666666666673</v>
      </c>
      <c r="N13" s="170"/>
      <c r="O13" s="60">
        <f>COUNTIFS(B245:B274,"&gt;=10")</f>
        <v>1</v>
      </c>
      <c r="P13" s="60">
        <f>COUNTIFS(B245:B274,"&gt;=8", B245:B274,"&lt;10")</f>
        <v>3</v>
      </c>
      <c r="Q13" s="60">
        <f>COUNTIFS(B245:B274,"&gt;=6",B245:B274,"&lt;8")</f>
        <v>12</v>
      </c>
      <c r="R13" s="60">
        <f>COUNTIFS(B245:B274,"&gt;=4", B245:B274,"&lt;6")</f>
        <v>11</v>
      </c>
      <c r="S13" s="60">
        <f>COUNTIFS(B245:B274,"&gt;=2", B245:B274,"&lt;4")</f>
        <v>3</v>
      </c>
      <c r="T13" s="60">
        <f>COUNTIFS(B245:B274,"&gt;=0", B245:B274,"&lt;2")</f>
        <v>0</v>
      </c>
      <c r="U13" s="169">
        <f>AVERAGE(M13:M16)</f>
        <v>5.4318996415770613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5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x14ac:dyDescent="0.5">
      <c r="A14" s="55">
        <v>45670</v>
      </c>
      <c r="B14" s="2">
        <v>3.9</v>
      </c>
      <c r="C14" s="166"/>
      <c r="D14" s="173"/>
      <c r="E14" s="61">
        <v>0.8</v>
      </c>
      <c r="F14" s="72" t="s">
        <v>176</v>
      </c>
      <c r="H14" s="164"/>
      <c r="I14" s="164"/>
      <c r="J14" s="175"/>
      <c r="L14" s="59" t="s">
        <v>17</v>
      </c>
      <c r="M14" s="32">
        <f>C275</f>
        <v>5.629032258064516</v>
      </c>
      <c r="N14" s="170"/>
      <c r="O14" s="60">
        <f>COUNTIFS(B275:B305,"&gt;=10")</f>
        <v>0</v>
      </c>
      <c r="P14" s="60">
        <f>COUNTIFS(B275:B305,"&gt;=8", B275:B305,"&lt;10")</f>
        <v>3</v>
      </c>
      <c r="Q14" s="60">
        <f>COUNTIFS(B275:B305,"&gt;=6",B275:B305,"&lt;8")</f>
        <v>12</v>
      </c>
      <c r="R14" s="60">
        <f>COUNTIFS(B275:B305,"&gt;=4", B275:B305,"&lt;6")</f>
        <v>14</v>
      </c>
      <c r="S14" s="60">
        <f>COUNTIFS(B275:B305,"&gt;=2", B275:B305,"&lt;4")</f>
        <v>2</v>
      </c>
      <c r="T14" s="60">
        <f>COUNTIFS(B275:B305,"&gt;=0", B275:B305,"&lt;2")</f>
        <v>0</v>
      </c>
      <c r="U14" s="170"/>
      <c r="AD14" s="31" t="s">
        <v>8</v>
      </c>
      <c r="AE14" s="69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5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5">
        <v>45671</v>
      </c>
      <c r="B15" s="2">
        <v>1.5</v>
      </c>
      <c r="C15" s="166"/>
      <c r="D15" s="173"/>
      <c r="E15" s="61">
        <v>1</v>
      </c>
      <c r="F15" s="71" t="s">
        <v>176</v>
      </c>
      <c r="G15" s="77" t="s">
        <v>198</v>
      </c>
      <c r="L15" s="59" t="s">
        <v>18</v>
      </c>
      <c r="M15" s="32">
        <f>C306</f>
        <v>4.8499999999999996</v>
      </c>
      <c r="N15" s="170"/>
      <c r="O15" s="60">
        <f>COUNTIFS(B306:B335,"&gt;=10")</f>
        <v>0</v>
      </c>
      <c r="P15" s="60">
        <f>COUNTIFS(B306:B335,"&gt;=8", B306:B335,"&lt;10")</f>
        <v>0</v>
      </c>
      <c r="Q15" s="60">
        <f>COUNTIFS(B306:B335,"&gt;=6",B306:B335,"&lt;8")</f>
        <v>4</v>
      </c>
      <c r="R15" s="60">
        <f>COUNTIFS(B306:B335,"&gt;=4", B306:B335,"&lt;6")</f>
        <v>3</v>
      </c>
      <c r="S15" s="60">
        <f>COUNTIFS(B306:B335,"&gt;=2", B306:B335,"&lt;4")</f>
        <v>0</v>
      </c>
      <c r="T15" s="60">
        <f>COUNTIFS(B306:B335,"&gt;=0", B306:B335,"&lt;2")</f>
        <v>1</v>
      </c>
      <c r="U15" s="170"/>
      <c r="AD15" s="31" t="s">
        <v>9</v>
      </c>
      <c r="AE15" s="69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5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5">
        <v>45672</v>
      </c>
      <c r="B16" s="2">
        <v>5.2</v>
      </c>
      <c r="C16" s="166"/>
      <c r="D16" s="173"/>
      <c r="E16" s="61">
        <v>1</v>
      </c>
      <c r="F16" s="72" t="s">
        <v>176</v>
      </c>
      <c r="L16" s="59" t="s">
        <v>19</v>
      </c>
      <c r="M16" s="32"/>
      <c r="N16" s="171"/>
      <c r="O16" s="60"/>
      <c r="P16" s="60"/>
      <c r="Q16" s="60"/>
      <c r="R16" s="60"/>
      <c r="S16" s="60"/>
      <c r="T16" s="60"/>
      <c r="U16" s="171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5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x14ac:dyDescent="0.5">
      <c r="A17" s="55">
        <v>45673</v>
      </c>
      <c r="B17" s="2">
        <v>6.5</v>
      </c>
      <c r="C17" s="166"/>
      <c r="D17" s="173"/>
      <c r="E17" s="61">
        <v>1</v>
      </c>
      <c r="F17" s="71" t="s">
        <v>176</v>
      </c>
      <c r="G17" s="77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5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5">
        <v>45674</v>
      </c>
      <c r="B18" s="2">
        <v>2.9</v>
      </c>
      <c r="C18" s="166"/>
      <c r="D18" s="173"/>
      <c r="E18" s="61">
        <v>0.6</v>
      </c>
      <c r="F18" s="72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5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5">
        <v>45675</v>
      </c>
      <c r="B19" s="2">
        <v>3.3</v>
      </c>
      <c r="C19" s="166"/>
      <c r="D19" s="173"/>
      <c r="E19" s="61">
        <v>0</v>
      </c>
      <c r="F19" s="71" t="s">
        <v>176</v>
      </c>
      <c r="G19" s="77"/>
      <c r="AD19" s="31" t="s">
        <v>13</v>
      </c>
      <c r="AE19" s="90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5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5">
        <v>45676</v>
      </c>
      <c r="B20" s="2">
        <v>6.2</v>
      </c>
      <c r="C20" s="166"/>
      <c r="D20" s="173"/>
      <c r="E20" s="61">
        <v>1</v>
      </c>
      <c r="F20" s="72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5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5">
        <v>45677</v>
      </c>
      <c r="B21" s="2">
        <v>5</v>
      </c>
      <c r="C21" s="166"/>
      <c r="D21" s="173"/>
      <c r="E21" s="61">
        <v>1</v>
      </c>
      <c r="F21" s="71" t="s">
        <v>176</v>
      </c>
      <c r="G21" s="77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5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5">
        <v>45678</v>
      </c>
      <c r="B22" s="2">
        <v>4.3</v>
      </c>
      <c r="C22" s="166"/>
      <c r="D22" s="173"/>
      <c r="E22" s="61">
        <v>0</v>
      </c>
      <c r="F22" s="72" t="s">
        <v>176</v>
      </c>
      <c r="AD22" s="31" t="s">
        <v>16</v>
      </c>
      <c r="AE22" s="31">
        <f>AVERAGE(E245:E274)*100</f>
        <v>50</v>
      </c>
      <c r="AK22" s="55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5">
        <v>45679</v>
      </c>
      <c r="B23" s="2">
        <v>4.0999999999999996</v>
      </c>
      <c r="C23" s="166"/>
      <c r="D23" s="173"/>
      <c r="E23" s="61">
        <v>0</v>
      </c>
      <c r="F23" s="71" t="s">
        <v>176</v>
      </c>
      <c r="G23" s="77"/>
      <c r="AD23" s="31" t="s">
        <v>17</v>
      </c>
      <c r="AE23" s="31">
        <f>AVERAGE(E275:E305)*100</f>
        <v>74.193548387096769</v>
      </c>
      <c r="AK23" s="55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5">
        <v>45680</v>
      </c>
      <c r="B24" s="2">
        <v>1.2</v>
      </c>
      <c r="C24" s="166"/>
      <c r="D24" s="173"/>
      <c r="E24" s="61">
        <v>1</v>
      </c>
      <c r="F24" s="72" t="s">
        <v>176</v>
      </c>
      <c r="AD24" s="31" t="s">
        <v>18</v>
      </c>
      <c r="AE24" s="31">
        <f>AVERAGE(E306:E335)*100</f>
        <v>100</v>
      </c>
      <c r="AG24" s="89">
        <f>AVERAGE(E2:E366)*100</f>
        <v>69.589041095890408</v>
      </c>
      <c r="AK24" s="55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Q24" t="str">
        <f>TRIM(MID(SUBSTITUTE($F24, ",", REPT(" ", 100)), (COLUMNS($AH$2:AQ24)-1)*100+1,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5">
        <v>45681</v>
      </c>
      <c r="B25" s="2">
        <v>6.2</v>
      </c>
      <c r="C25" s="166"/>
      <c r="D25" s="173"/>
      <c r="E25" s="61">
        <v>1</v>
      </c>
      <c r="F25" s="71" t="s">
        <v>176</v>
      </c>
      <c r="G25" s="77"/>
      <c r="AD25" s="31" t="s">
        <v>19</v>
      </c>
      <c r="AE25" s="31">
        <f>AVERAGE(E336:E366)*100</f>
        <v>100</v>
      </c>
      <c r="AK25" s="55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5">
        <v>45682</v>
      </c>
      <c r="B26" s="2">
        <v>8.1</v>
      </c>
      <c r="C26" s="166"/>
      <c r="D26" s="173"/>
      <c r="E26" s="61">
        <v>0</v>
      </c>
      <c r="F26" s="72" t="s">
        <v>176</v>
      </c>
      <c r="AK26" s="55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5">
        <v>45683</v>
      </c>
      <c r="B27" s="2">
        <v>6.8</v>
      </c>
      <c r="C27" s="166"/>
      <c r="D27" s="173"/>
      <c r="E27" s="61">
        <v>0</v>
      </c>
      <c r="F27" s="71" t="s">
        <v>176</v>
      </c>
      <c r="G27" s="77"/>
      <c r="AK27" s="55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5">
        <v>45684</v>
      </c>
      <c r="B28" s="2">
        <v>5</v>
      </c>
      <c r="C28" s="166"/>
      <c r="D28" s="173"/>
      <c r="E28" s="61">
        <v>1</v>
      </c>
      <c r="F28" s="72" t="s">
        <v>176</v>
      </c>
      <c r="AK28" s="55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5">
        <v>45685</v>
      </c>
      <c r="B29" s="2">
        <v>5.8</v>
      </c>
      <c r="C29" s="166"/>
      <c r="D29" s="173"/>
      <c r="E29" s="61">
        <v>1</v>
      </c>
      <c r="F29" s="71" t="s">
        <v>176</v>
      </c>
      <c r="G29" s="77"/>
      <c r="AK29" s="55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5">
        <v>45686</v>
      </c>
      <c r="B30" s="2">
        <v>5.3</v>
      </c>
      <c r="C30" s="166"/>
      <c r="D30" s="173"/>
      <c r="E30" s="61">
        <v>0</v>
      </c>
      <c r="F30" s="72" t="s">
        <v>176</v>
      </c>
      <c r="AK30" s="55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5">
        <v>45687</v>
      </c>
      <c r="B31" s="2">
        <v>7.4</v>
      </c>
      <c r="C31" s="166"/>
      <c r="D31" s="173"/>
      <c r="E31" s="61">
        <v>1</v>
      </c>
      <c r="F31" s="71" t="s">
        <v>176</v>
      </c>
      <c r="G31" s="77"/>
      <c r="AK31" s="55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6">
        <v>45688</v>
      </c>
      <c r="B32" s="57">
        <v>8.5</v>
      </c>
      <c r="C32" s="167"/>
      <c r="D32" s="173"/>
      <c r="E32" s="61">
        <v>1</v>
      </c>
      <c r="F32" s="72" t="s">
        <v>176</v>
      </c>
      <c r="G32" s="38" t="s">
        <v>199</v>
      </c>
      <c r="AJ32" t="str">
        <f>TRIM(MID(SUBSTITUTE($F32, ",", REPT(" ", 100)), (COLUMNS($AH$2:AJ32)-1)*100+1, 100))</f>
        <v/>
      </c>
      <c r="AK32" s="56">
        <v>45688</v>
      </c>
      <c r="AL32" s="57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4">
        <v>45689</v>
      </c>
      <c r="B33" s="50">
        <v>4.8</v>
      </c>
      <c r="C33" s="168">
        <f>AVERAGE(B33:B60)</f>
        <v>4.7571428571428571</v>
      </c>
      <c r="D33" s="174"/>
      <c r="E33" s="61">
        <v>1</v>
      </c>
      <c r="F33" s="71" t="s">
        <v>176</v>
      </c>
      <c r="G33" s="77"/>
      <c r="K33" s="73"/>
      <c r="AJ33" t="str">
        <f>TRIM(MID(SUBSTITUTE($F33, ",", REPT(" ", 100)), (COLUMNS($AH$2:AJ33)-1)*100+1, 100))</f>
        <v/>
      </c>
      <c r="AK33" s="54">
        <v>45689</v>
      </c>
      <c r="AL33" s="50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60"/>
      <c r="D34" s="174"/>
      <c r="E34" s="61">
        <v>0</v>
      </c>
      <c r="F34" s="72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60"/>
      <c r="D35" s="174"/>
      <c r="E35" s="61">
        <v>1</v>
      </c>
      <c r="F35" s="71" t="s">
        <v>176</v>
      </c>
      <c r="G35" s="77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60"/>
      <c r="D36" s="174"/>
      <c r="E36" s="61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60"/>
      <c r="D37" s="174"/>
      <c r="E37" s="61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60"/>
      <c r="D38" s="174"/>
      <c r="E38" s="61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60"/>
      <c r="D39" s="174"/>
      <c r="E39" s="61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60"/>
      <c r="D40" s="174"/>
      <c r="E40" s="61">
        <v>1</v>
      </c>
      <c r="F40" s="38" t="s">
        <v>176</v>
      </c>
      <c r="G40" s="38" t="s">
        <v>200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60"/>
      <c r="D41" s="174"/>
      <c r="E41" s="61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60"/>
      <c r="D42" s="174"/>
      <c r="E42" s="61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60"/>
      <c r="D43" s="174"/>
      <c r="E43" s="61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60"/>
      <c r="D44" s="174"/>
      <c r="E44" s="61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60"/>
      <c r="D45" s="174"/>
      <c r="E45" s="61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60"/>
      <c r="D46" s="174"/>
      <c r="E46" s="61">
        <v>0</v>
      </c>
      <c r="F46" s="38" t="s">
        <v>176</v>
      </c>
      <c r="G46" s="38" t="s">
        <v>208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60"/>
      <c r="D47" s="174"/>
      <c r="E47" s="61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60"/>
      <c r="D48" s="174"/>
      <c r="E48" s="61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60"/>
      <c r="D49" s="174"/>
      <c r="E49" s="61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60"/>
      <c r="D50" s="174"/>
      <c r="E50" s="61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60"/>
      <c r="D51" s="174"/>
      <c r="E51" s="61">
        <v>0</v>
      </c>
      <c r="F51" s="38" t="s">
        <v>176</v>
      </c>
      <c r="K51" s="38"/>
      <c r="T51" s="53" t="s">
        <v>7</v>
      </c>
      <c r="U51" s="53" t="s">
        <v>354</v>
      </c>
      <c r="V51" t="s">
        <v>355</v>
      </c>
      <c r="Z51" t="s">
        <v>384</v>
      </c>
      <c r="AA51" t="s">
        <v>385</v>
      </c>
      <c r="AB51" t="s">
        <v>384</v>
      </c>
      <c r="AC51" t="s">
        <v>385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60"/>
      <c r="D52" s="174"/>
      <c r="E52" s="61">
        <v>1</v>
      </c>
      <c r="F52" s="38" t="s">
        <v>176</v>
      </c>
      <c r="K52" s="38"/>
      <c r="T52" s="59" t="s">
        <v>8</v>
      </c>
      <c r="U52" s="32">
        <v>5</v>
      </c>
      <c r="V52" s="29">
        <v>5.290322580645161</v>
      </c>
      <c r="W52" s="104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60"/>
      <c r="D53" s="174"/>
      <c r="E53" s="61">
        <v>1</v>
      </c>
      <c r="F53" s="38" t="s">
        <v>176</v>
      </c>
      <c r="K53" s="38"/>
      <c r="T53" s="59" t="s">
        <v>9</v>
      </c>
      <c r="U53" s="32">
        <v>4.7571428571428571</v>
      </c>
      <c r="V53" s="29">
        <v>4.4137931034482758</v>
      </c>
      <c r="W53" s="104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60"/>
      <c r="D54" s="174"/>
      <c r="E54" s="61">
        <v>0</v>
      </c>
      <c r="F54" s="38" t="s">
        <v>176</v>
      </c>
      <c r="K54" s="38"/>
      <c r="T54" s="59" t="s">
        <v>10</v>
      </c>
      <c r="U54" s="32">
        <v>5.1967741935483867</v>
      </c>
      <c r="V54" s="29">
        <v>5.5483870967741939</v>
      </c>
      <c r="W54" s="104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60"/>
      <c r="D55" s="174"/>
      <c r="E55" s="61">
        <v>1</v>
      </c>
      <c r="F55" s="38" t="s">
        <v>176</v>
      </c>
      <c r="K55" s="38"/>
      <c r="T55" s="59" t="s">
        <v>11</v>
      </c>
      <c r="U55" s="32">
        <v>4.8866666666666676</v>
      </c>
      <c r="V55" s="29">
        <v>4.4666666666666668</v>
      </c>
      <c r="W55" s="104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60"/>
      <c r="D56" s="174"/>
      <c r="E56" s="61">
        <v>1</v>
      </c>
      <c r="F56" s="38" t="s">
        <v>176</v>
      </c>
      <c r="T56" s="59" t="s">
        <v>12</v>
      </c>
      <c r="U56" s="32">
        <v>5.8967741935483877</v>
      </c>
      <c r="V56" s="29">
        <v>6.129032258064516</v>
      </c>
      <c r="W56" s="104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60"/>
      <c r="D57" s="174"/>
      <c r="E57" s="61">
        <v>1</v>
      </c>
      <c r="F57" s="38" t="s">
        <v>176</v>
      </c>
      <c r="T57" s="59" t="s">
        <v>13</v>
      </c>
      <c r="U57" s="32">
        <v>4.8600000000000003</v>
      </c>
      <c r="V57" s="29">
        <v>5.333333333333333</v>
      </c>
      <c r="W57" s="104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60"/>
      <c r="D58" s="174"/>
      <c r="E58" s="61">
        <v>0</v>
      </c>
      <c r="F58" s="38" t="s">
        <v>176</v>
      </c>
      <c r="M58" s="38"/>
      <c r="T58" s="59" t="s">
        <v>14</v>
      </c>
      <c r="U58" s="32">
        <v>5.3903225806451607</v>
      </c>
      <c r="V58" s="29">
        <v>5.032258064516129</v>
      </c>
      <c r="W58" s="104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60"/>
      <c r="D59" s="174"/>
      <c r="E59" s="61">
        <v>1</v>
      </c>
      <c r="F59" s="38" t="s">
        <v>176</v>
      </c>
      <c r="M59" s="38"/>
      <c r="T59" s="59" t="s">
        <v>15</v>
      </c>
      <c r="U59" s="32">
        <f>M12</f>
        <v>4.6545454545454543</v>
      </c>
      <c r="V59" s="29">
        <v>4.967741935483871</v>
      </c>
      <c r="W59" s="104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60"/>
      <c r="D60" s="174"/>
      <c r="E60" s="61">
        <v>1</v>
      </c>
      <c r="F60" s="38" t="s">
        <v>176</v>
      </c>
      <c r="K60" s="38"/>
      <c r="M60" s="38"/>
      <c r="T60" s="59" t="s">
        <v>16</v>
      </c>
      <c r="U60" s="32">
        <f>M13</f>
        <v>5.8166666666666673</v>
      </c>
      <c r="V60" s="29">
        <v>5.2666666666666666</v>
      </c>
      <c r="W60" s="104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60">
        <f>AVERAGE(B61:B91)</f>
        <v>5.1967741935483867</v>
      </c>
      <c r="D61" s="174"/>
      <c r="E61" s="61">
        <v>0</v>
      </c>
      <c r="F61" s="38" t="s">
        <v>176</v>
      </c>
      <c r="K61" s="38"/>
      <c r="T61" s="59" t="s">
        <v>17</v>
      </c>
      <c r="U61" s="32">
        <f>M14</f>
        <v>5.629032258064516</v>
      </c>
      <c r="V61" s="29">
        <v>5.612903225806452</v>
      </c>
      <c r="W61" s="104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60"/>
      <c r="D62" s="174"/>
      <c r="E62" s="61">
        <v>0</v>
      </c>
      <c r="F62" s="38" t="s">
        <v>176</v>
      </c>
      <c r="K62" s="38"/>
      <c r="T62" s="59" t="s">
        <v>18</v>
      </c>
      <c r="U62" s="32">
        <f>M15</f>
        <v>4.8499999999999996</v>
      </c>
      <c r="V62" s="29">
        <v>5.5333333333333332</v>
      </c>
      <c r="W62" s="104">
        <f t="shared" si="1"/>
        <v>-0.68333333333333357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60"/>
      <c r="D63" s="174"/>
      <c r="E63" s="61">
        <v>1</v>
      </c>
      <c r="F63" s="38" t="s">
        <v>176</v>
      </c>
      <c r="K63" s="38"/>
      <c r="T63" s="59" t="s">
        <v>19</v>
      </c>
      <c r="U63" s="32"/>
      <c r="V63" s="30">
        <v>4.709677419354839</v>
      </c>
      <c r="W63" s="104">
        <f t="shared" si="1"/>
        <v>-4.709677419354839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60"/>
      <c r="D64" s="174"/>
      <c r="E64" s="61">
        <v>1</v>
      </c>
      <c r="F64" s="38" t="s">
        <v>176</v>
      </c>
      <c r="K64" s="38"/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60"/>
      <c r="D65" s="174"/>
      <c r="E65" s="61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60"/>
      <c r="D66" s="174"/>
      <c r="E66" s="61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60"/>
      <c r="D67" s="174"/>
      <c r="E67" s="61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60"/>
      <c r="D68" s="174"/>
      <c r="E68" s="61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60"/>
      <c r="D69" s="174"/>
      <c r="E69" s="61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60"/>
      <c r="D70" s="174"/>
      <c r="E70" s="61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60"/>
      <c r="D71" s="174"/>
      <c r="E71" s="61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60"/>
      <c r="D72" s="174"/>
      <c r="E72" s="61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60"/>
      <c r="D73" s="174"/>
      <c r="E73" s="61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60"/>
      <c r="D74" s="174"/>
      <c r="E74" s="61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60"/>
      <c r="D75" s="174"/>
      <c r="E75" s="61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60"/>
      <c r="D76" s="174"/>
      <c r="E76" s="61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60"/>
      <c r="D77" s="174"/>
      <c r="E77" s="61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60"/>
      <c r="D78" s="174"/>
      <c r="E78" s="61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60"/>
      <c r="D79" s="174"/>
      <c r="E79" s="61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60"/>
      <c r="D80" s="174"/>
      <c r="E80" s="61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60"/>
      <c r="D81" s="174"/>
      <c r="E81" s="61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60"/>
      <c r="D82" s="174"/>
      <c r="E82" s="61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60"/>
      <c r="D83" s="174"/>
      <c r="E83" s="61">
        <v>1</v>
      </c>
      <c r="F83" s="38" t="s">
        <v>176</v>
      </c>
      <c r="G83" s="38" t="s">
        <v>261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60"/>
      <c r="D84" s="174"/>
      <c r="E84" s="61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60"/>
      <c r="D85" s="174"/>
      <c r="E85" s="61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60"/>
      <c r="D86" s="174"/>
      <c r="E86" s="61">
        <v>1</v>
      </c>
      <c r="F86" s="38" t="s">
        <v>176</v>
      </c>
      <c r="G86" s="38" t="s">
        <v>262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60"/>
      <c r="D87" s="174"/>
      <c r="E87" s="61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60"/>
      <c r="D88" s="174"/>
      <c r="E88" s="61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60"/>
      <c r="D89" s="174"/>
      <c r="E89" s="61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60"/>
      <c r="D90" s="174"/>
      <c r="E90" s="61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60"/>
      <c r="D91" s="174"/>
      <c r="E91" s="61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60">
        <f>AVERAGE(B92:B121)</f>
        <v>4.8866666666666676</v>
      </c>
      <c r="D92" s="174"/>
      <c r="E92" s="61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60"/>
      <c r="D93" s="174"/>
      <c r="E93" s="61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60"/>
      <c r="D94" s="174"/>
      <c r="E94" s="61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60"/>
      <c r="D95" s="174"/>
      <c r="E95" s="61">
        <v>1</v>
      </c>
      <c r="F95" s="38" t="s">
        <v>176</v>
      </c>
      <c r="G95" s="38" t="s">
        <v>265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60"/>
      <c r="D96" s="174"/>
      <c r="E96" s="61">
        <v>1</v>
      </c>
      <c r="F96" s="38" t="s">
        <v>176</v>
      </c>
      <c r="G96" s="38" t="s">
        <v>265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60"/>
      <c r="D97" s="174"/>
      <c r="E97" s="61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60"/>
      <c r="D98" s="174"/>
      <c r="E98" s="61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60"/>
      <c r="D99" s="174"/>
      <c r="E99" s="61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60"/>
      <c r="D100" s="174"/>
      <c r="E100" s="61">
        <v>1</v>
      </c>
      <c r="F100" s="38" t="s">
        <v>176</v>
      </c>
      <c r="G100" s="38" t="s">
        <v>265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60"/>
      <c r="D101" s="174"/>
      <c r="E101" s="61">
        <v>1</v>
      </c>
      <c r="F101" s="38" t="s">
        <v>176</v>
      </c>
      <c r="G101" s="38" t="s">
        <v>265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60"/>
      <c r="D102" s="174"/>
      <c r="E102" s="61">
        <v>1</v>
      </c>
      <c r="F102" s="38" t="s">
        <v>176</v>
      </c>
      <c r="G102" s="38" t="s">
        <v>265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60"/>
      <c r="D103" s="174"/>
      <c r="E103" s="61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60"/>
      <c r="D104" s="174"/>
      <c r="E104" s="61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60"/>
      <c r="D105" s="174"/>
      <c r="E105" s="61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60"/>
      <c r="D106" s="174"/>
      <c r="E106" s="61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60"/>
      <c r="D107" s="174"/>
      <c r="E107" s="61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60"/>
      <c r="D108" s="174"/>
      <c r="E108" s="61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60"/>
      <c r="D109" s="174"/>
      <c r="E109" s="61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60"/>
      <c r="D110" s="174"/>
      <c r="E110" s="61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60"/>
      <c r="D111" s="174"/>
      <c r="E111" s="61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60"/>
      <c r="D112" s="174"/>
      <c r="E112" s="61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60"/>
      <c r="D113" s="174"/>
      <c r="E113" s="61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60"/>
      <c r="D114" s="174"/>
      <c r="E114" s="61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60"/>
      <c r="D115" s="174"/>
      <c r="E115" s="61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60"/>
      <c r="D116" s="174"/>
      <c r="E116" s="61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60"/>
      <c r="D117" s="174"/>
      <c r="E117" s="61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60"/>
      <c r="D118" s="174"/>
      <c r="E118" s="61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60"/>
      <c r="D119" s="174"/>
      <c r="E119" s="61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60"/>
      <c r="D120" s="174"/>
      <c r="E120" s="61">
        <v>0</v>
      </c>
      <c r="F120" s="38" t="s">
        <v>263</v>
      </c>
      <c r="G120" s="38" t="s">
        <v>277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60"/>
      <c r="D121" s="174"/>
      <c r="E121" s="61">
        <v>1</v>
      </c>
      <c r="F121" s="38" t="s">
        <v>276</v>
      </c>
      <c r="G121" s="38" t="s">
        <v>278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60">
        <f>AVERAGE(B122:B152)</f>
        <v>5.8967741935483877</v>
      </c>
      <c r="D122" s="174"/>
      <c r="E122" s="61">
        <v>1</v>
      </c>
      <c r="F122" s="38" t="s">
        <v>194</v>
      </c>
      <c r="AJ122" t="str">
        <f>TRIM(MID(SUBSTITUTE($F122, ",", REPT(" ", 100)), (COLUMNS($AH$2:AJ122)-1)*100+1, 100))</f>
        <v/>
      </c>
      <c r="AK122" t="str">
        <f>TRIM(MID(SUBSTITUTE($F122, ",", REPT(" ", 100)), (COLUMNS($AH$2:AK122)-1)*100+1, 100))</f>
        <v/>
      </c>
      <c r="AL122" t="str">
        <f>TRIM(MID(SUBSTITUTE($F122, ",", REPT(" ", 100)), (COLUMNS($AH$2:AL122)-1)*100+1, 100))</f>
        <v/>
      </c>
      <c r="AM122" t="str">
        <f>TRIM(MID(SUBSTITUTE($F122, ",", REPT(" ", 100)), (COLUMNS($AH$2:AM122)-1)*100+1, 100))</f>
        <v/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60"/>
      <c r="D123" s="174"/>
      <c r="E123" s="61">
        <v>0.9</v>
      </c>
      <c r="F123" s="38" t="s">
        <v>194</v>
      </c>
      <c r="AJ123" t="str">
        <f>TRIM(MID(SUBSTITUTE($F123, ",", REPT(" ", 100)), (COLUMNS($AH$2:AJ123)-1)*100+1, 100))</f>
        <v/>
      </c>
      <c r="AK123" t="str">
        <f>TRIM(MID(SUBSTITUTE($F123, ",", REPT(" ", 100)), (COLUMNS($AH$2:AK123)-1)*100+1, 100))</f>
        <v/>
      </c>
      <c r="AL123" t="str">
        <f>TRIM(MID(SUBSTITUTE($F123, ",", REPT(" ", 100)), (COLUMNS($AH$2:AL123)-1)*100+1, 100))</f>
        <v/>
      </c>
      <c r="AM123" t="str">
        <f>TRIM(MID(SUBSTITUTE($F123, ",", REPT(" ", 100)), (COLUMNS($AH$2:AM123)-1)*100+1, 100))</f>
        <v/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60"/>
      <c r="D124" s="174"/>
      <c r="E124" s="61">
        <v>0</v>
      </c>
      <c r="F124" s="38" t="s">
        <v>194</v>
      </c>
      <c r="AJ124" t="str">
        <f>TRIM(MID(SUBSTITUTE($F124, ",", REPT(" ", 100)), (COLUMNS($AH$2:AJ124)-1)*100+1, 100))</f>
        <v/>
      </c>
      <c r="AK124" t="str">
        <f>TRIM(MID(SUBSTITUTE($F124, ",", REPT(" ", 100)), (COLUMNS($AH$2:AK124)-1)*100+1, 100))</f>
        <v/>
      </c>
      <c r="AL124" t="str">
        <f>TRIM(MID(SUBSTITUTE($F124, ",", REPT(" ", 100)), (COLUMNS($AH$2:AL124)-1)*100+1, 100))</f>
        <v/>
      </c>
      <c r="AM124" t="str">
        <f>TRIM(MID(SUBSTITUTE($F124, ",", REPT(" ", 100)), (COLUMNS($AH$2:AM124)-1)*100+1, 100))</f>
        <v/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60"/>
      <c r="D125" s="174"/>
      <c r="E125" s="61">
        <v>0</v>
      </c>
      <c r="F125" s="38" t="s">
        <v>194</v>
      </c>
      <c r="AJ125" t="str">
        <f>TRIM(MID(SUBSTITUTE($F125, ",", REPT(" ", 100)), (COLUMNS($AH$2:AJ125)-1)*100+1, 100))</f>
        <v/>
      </c>
      <c r="AK125" t="str">
        <f>TRIM(MID(SUBSTITUTE($F125, ",", REPT(" ", 100)), (COLUMNS($AH$2:AK125)-1)*100+1, 100))</f>
        <v/>
      </c>
      <c r="AL125" t="str">
        <f>TRIM(MID(SUBSTITUTE($F125, ",", REPT(" ", 100)), (COLUMNS($AH$2:AL125)-1)*100+1, 100))</f>
        <v/>
      </c>
      <c r="AM125" t="str">
        <f>TRIM(MID(SUBSTITUTE($F125, ",", REPT(" ", 100)), (COLUMNS($AH$2:AM125)-1)*100+1, 100))</f>
        <v/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60"/>
      <c r="D126" s="174"/>
      <c r="E126" s="61">
        <v>0</v>
      </c>
      <c r="F126" s="38" t="s">
        <v>194</v>
      </c>
      <c r="AJ126" t="str">
        <f>TRIM(MID(SUBSTITUTE($F126, ",", REPT(" ", 100)), (COLUMNS($AH$2:AJ126)-1)*100+1, 100))</f>
        <v/>
      </c>
      <c r="AK126" t="str">
        <f>TRIM(MID(SUBSTITUTE($F126, ",", REPT(" ", 100)), (COLUMNS($AH$2:AK126)-1)*100+1, 100))</f>
        <v/>
      </c>
      <c r="AL126" t="str">
        <f>TRIM(MID(SUBSTITUTE($F126, ",", REPT(" ", 100)), (COLUMNS($AH$2:AL126)-1)*100+1, 100))</f>
        <v/>
      </c>
      <c r="AM126" t="str">
        <f>TRIM(MID(SUBSTITUTE($F126, ",", REPT(" ", 100)), (COLUMNS($AH$2:AM126)-1)*100+1, 100))</f>
        <v/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60"/>
      <c r="D127" s="174"/>
      <c r="E127" s="61">
        <v>0</v>
      </c>
      <c r="F127" s="38" t="s">
        <v>194</v>
      </c>
      <c r="AJ127" t="str">
        <f>TRIM(MID(SUBSTITUTE($F127, ",", REPT(" ", 100)), (COLUMNS($AH$2:AJ127)-1)*100+1, 100))</f>
        <v/>
      </c>
      <c r="AK127" t="str">
        <f>TRIM(MID(SUBSTITUTE($F127, ",", REPT(" ", 100)), (COLUMNS($AH$2:AK127)-1)*100+1, 100))</f>
        <v/>
      </c>
      <c r="AL127" t="str">
        <f>TRIM(MID(SUBSTITUTE($F127, ",", REPT(" ", 100)), (COLUMNS($AH$2:AL127)-1)*100+1, 100))</f>
        <v/>
      </c>
      <c r="AM127" t="str">
        <f>TRIM(MID(SUBSTITUTE($F127, ",", REPT(" ", 100)), (COLUMNS($AH$2:AM127)-1)*100+1, 100))</f>
        <v/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60"/>
      <c r="D128" s="174"/>
      <c r="E128" s="61">
        <v>0</v>
      </c>
      <c r="F128" s="38" t="s">
        <v>194</v>
      </c>
      <c r="AJ128" t="str">
        <f>TRIM(MID(SUBSTITUTE($F128, ",", REPT(" ", 100)), (COLUMNS($AH$2:AJ128)-1)*100+1, 100))</f>
        <v/>
      </c>
      <c r="AK128" t="str">
        <f>TRIM(MID(SUBSTITUTE($F128, ",", REPT(" ", 100)), (COLUMNS($AH$2:AK128)-1)*100+1, 100))</f>
        <v/>
      </c>
      <c r="AL128" t="str">
        <f>TRIM(MID(SUBSTITUTE($F128, ",", REPT(" ", 100)), (COLUMNS($AH$2:AL128)-1)*100+1, 100))</f>
        <v/>
      </c>
      <c r="AM128" t="str">
        <f>TRIM(MID(SUBSTITUTE($F128, ",", REPT(" ", 100)), (COLUMNS($AH$2:AM128)-1)*100+1, 100))</f>
        <v/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60"/>
      <c r="D129" s="174"/>
      <c r="E129" s="61">
        <v>0</v>
      </c>
      <c r="F129" s="38" t="s">
        <v>194</v>
      </c>
      <c r="AJ129" t="str">
        <f>TRIM(MID(SUBSTITUTE($F129, ",", REPT(" ", 100)), (COLUMNS($AH$2:AJ129)-1)*100+1, 100))</f>
        <v/>
      </c>
      <c r="AK129" t="str">
        <f>TRIM(MID(SUBSTITUTE($F129, ",", REPT(" ", 100)), (COLUMNS($AH$2:AK129)-1)*100+1, 100))</f>
        <v/>
      </c>
      <c r="AL129" t="str">
        <f>TRIM(MID(SUBSTITUTE($F129, ",", REPT(" ", 100)), (COLUMNS($AH$2:AL129)-1)*100+1, 100))</f>
        <v/>
      </c>
      <c r="AM129" t="str">
        <f>TRIM(MID(SUBSTITUTE($F129, ",", REPT(" ", 100)), (COLUMNS($AH$2:AM129)-1)*100+1, 100))</f>
        <v/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60"/>
      <c r="D130" s="174"/>
      <c r="E130" s="61">
        <v>0</v>
      </c>
      <c r="F130" s="38" t="s">
        <v>194</v>
      </c>
      <c r="AJ130" t="str">
        <f>TRIM(MID(SUBSTITUTE($F130, ",", REPT(" ", 100)), (COLUMNS($AH$2:AJ130)-1)*100+1, 100))</f>
        <v/>
      </c>
      <c r="AK130" t="str">
        <f>TRIM(MID(SUBSTITUTE($F130, ",", REPT(" ", 100)), (COLUMNS($AH$2:AK130)-1)*100+1, 100))</f>
        <v/>
      </c>
      <c r="AL130" t="str">
        <f>TRIM(MID(SUBSTITUTE($F130, ",", REPT(" ", 100)), (COLUMNS($AH$2:AL130)-1)*100+1, 100))</f>
        <v/>
      </c>
      <c r="AM130" t="str">
        <f>TRIM(MID(SUBSTITUTE($F130, ",", REPT(" ", 100)), (COLUMNS($AH$2:AM130)-1)*100+1, 100))</f>
        <v/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60"/>
      <c r="D131" s="174"/>
      <c r="E131" s="61">
        <v>1</v>
      </c>
      <c r="F131" s="38" t="s">
        <v>194</v>
      </c>
      <c r="AJ131" t="str">
        <f>TRIM(MID(SUBSTITUTE($F131, ",", REPT(" ", 100)), (COLUMNS($AH$2:AJ131)-1)*100+1, 100))</f>
        <v/>
      </c>
      <c r="AK131" t="str">
        <f>TRIM(MID(SUBSTITUTE($F131, ",", REPT(" ", 100)), (COLUMNS($AH$2:AK131)-1)*100+1, 100))</f>
        <v/>
      </c>
      <c r="AL131" t="str">
        <f>TRIM(MID(SUBSTITUTE($F131, ",", REPT(" ", 100)), (COLUMNS($AH$2:AL131)-1)*100+1, 100))</f>
        <v/>
      </c>
      <c r="AM131" t="str">
        <f>TRIM(MID(SUBSTITUTE($F131, ",", REPT(" ", 100)), (COLUMNS($AH$2:AM131)-1)*100+1, 100))</f>
        <v/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60"/>
      <c r="D132" s="174"/>
      <c r="E132" s="61">
        <v>0</v>
      </c>
      <c r="F132" s="38" t="s">
        <v>194</v>
      </c>
      <c r="AJ132" t="str">
        <f>TRIM(MID(SUBSTITUTE($F132, ",", REPT(" ", 100)), (COLUMNS($AH$2:AJ132)-1)*100+1, 100))</f>
        <v/>
      </c>
      <c r="AK132" t="str">
        <f>TRIM(MID(SUBSTITUTE($F132, ",", REPT(" ", 100)), (COLUMNS($AH$2:AK132)-1)*100+1, 100))</f>
        <v/>
      </c>
      <c r="AL132" t="str">
        <f>TRIM(MID(SUBSTITUTE($F132, ",", REPT(" ", 100)), (COLUMNS($AH$2:AL132)-1)*100+1, 100))</f>
        <v/>
      </c>
      <c r="AM132" t="str">
        <f>TRIM(MID(SUBSTITUTE($F132, ",", REPT(" ", 100)), (COLUMNS($AH$2:AM132)-1)*100+1, 100))</f>
        <v/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60"/>
      <c r="D133" s="174"/>
      <c r="E133" s="61">
        <v>0</v>
      </c>
      <c r="F133" s="38" t="s">
        <v>282</v>
      </c>
      <c r="AJ133" t="str">
        <f>TRIM(MID(SUBSTITUTE($F133, ",", REPT(" ", 100)), (COLUMNS($AH$2:AJ133)-1)*100+1, 100))</f>
        <v/>
      </c>
      <c r="AK133" t="str">
        <f>TRIM(MID(SUBSTITUTE($F133, ",", REPT(" ", 100)), (COLUMNS($AH$2:AK133)-1)*100+1, 100))</f>
        <v/>
      </c>
      <c r="AL133" t="str">
        <f>TRIM(MID(SUBSTITUTE($F133, ",", REPT(" ", 100)), (COLUMNS($AH$2:AL133)-1)*100+1, 100))</f>
        <v/>
      </c>
      <c r="AM133" t="str">
        <f>TRIM(MID(SUBSTITUTE($F133, ",", REPT(" ", 100)), (COLUMNS($AH$2:AM133)-1)*100+1, 100))</f>
        <v/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60"/>
      <c r="D134" s="174"/>
      <c r="E134" s="61">
        <v>0</v>
      </c>
      <c r="F134" s="38" t="s">
        <v>282</v>
      </c>
      <c r="AJ134" t="str">
        <f>TRIM(MID(SUBSTITUTE($F134, ",", REPT(" ", 100)), (COLUMNS($AH$2:AJ134)-1)*100+1, 100))</f>
        <v/>
      </c>
      <c r="AK134" t="str">
        <f>TRIM(MID(SUBSTITUTE($F134, ",", REPT(" ", 100)), (COLUMNS($AH$2:AK134)-1)*100+1, 100))</f>
        <v/>
      </c>
      <c r="AL134" t="str">
        <f>TRIM(MID(SUBSTITUTE($F134, ",", REPT(" ", 100)), (COLUMNS($AH$2:AL134)-1)*100+1, 100))</f>
        <v/>
      </c>
      <c r="AM134" t="str">
        <f>TRIM(MID(SUBSTITUTE($F134, ",", REPT(" ", 100)), (COLUMNS($AH$2:AM134)-1)*100+1, 100))</f>
        <v/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60"/>
      <c r="D135" s="174"/>
      <c r="E135" s="61">
        <v>0</v>
      </c>
      <c r="F135" s="38" t="s">
        <v>194</v>
      </c>
      <c r="AJ135" t="str">
        <f>TRIM(MID(SUBSTITUTE($F135, ",", REPT(" ", 100)), (COLUMNS($AH$2:AJ135)-1)*100+1, 100))</f>
        <v/>
      </c>
      <c r="AK135" t="str">
        <f>TRIM(MID(SUBSTITUTE($F135, ",", REPT(" ", 100)), (COLUMNS($AH$2:AK135)-1)*100+1, 100))</f>
        <v/>
      </c>
      <c r="AL135" t="str">
        <f>TRIM(MID(SUBSTITUTE($F135, ",", REPT(" ", 100)), (COLUMNS($AH$2:AL135)-1)*100+1, 100))</f>
        <v/>
      </c>
      <c r="AM135" t="str">
        <f>TRIM(MID(SUBSTITUTE($F135, ",", REPT(" ", 100)), (COLUMNS($AH$2:AM135)-1)*100+1, 100))</f>
        <v/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60"/>
      <c r="D136" s="174"/>
      <c r="E136" s="61">
        <v>0</v>
      </c>
      <c r="F136" s="38" t="s">
        <v>194</v>
      </c>
      <c r="AJ136" t="str">
        <f>TRIM(MID(SUBSTITUTE($F136, ",", REPT(" ", 100)), (COLUMNS($AH$2:AJ136)-1)*100+1, 100))</f>
        <v/>
      </c>
      <c r="AK136" t="str">
        <f>TRIM(MID(SUBSTITUTE($F136, ",", REPT(" ", 100)), (COLUMNS($AH$2:AK136)-1)*100+1, 100))</f>
        <v/>
      </c>
      <c r="AL136" t="str">
        <f>TRIM(MID(SUBSTITUTE($F136, ",", REPT(" ", 100)), (COLUMNS($AH$2:AL136)-1)*100+1, 100))</f>
        <v/>
      </c>
      <c r="AM136" t="str">
        <f>TRIM(MID(SUBSTITUTE($F136, ",", REPT(" ", 100)), (COLUMNS($AH$2:AM136)-1)*100+1, 100))</f>
        <v/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60"/>
      <c r="D137" s="174"/>
      <c r="E137" s="61">
        <v>0</v>
      </c>
      <c r="F137" s="38" t="s">
        <v>194</v>
      </c>
      <c r="AJ137" t="str">
        <f>TRIM(MID(SUBSTITUTE($F137, ",", REPT(" ", 100)), (COLUMNS($AH$2:AJ137)-1)*100+1, 100))</f>
        <v/>
      </c>
      <c r="AK137" t="str">
        <f>TRIM(MID(SUBSTITUTE($F137, ",", REPT(" ", 100)), (COLUMNS($AH$2:AK137)-1)*100+1, 100))</f>
        <v/>
      </c>
      <c r="AL137" t="str">
        <f>TRIM(MID(SUBSTITUTE($F137, ",", REPT(" ", 100)), (COLUMNS($AH$2:AL137)-1)*100+1, 100))</f>
        <v/>
      </c>
      <c r="AM137" t="str">
        <f>TRIM(MID(SUBSTITUTE($F137, ",", REPT(" ", 100)), (COLUMNS($AH$2:AM137)-1)*100+1, 100))</f>
        <v/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60"/>
      <c r="D138" s="174"/>
      <c r="E138" s="61">
        <v>1</v>
      </c>
      <c r="F138" s="38" t="s">
        <v>194</v>
      </c>
      <c r="AJ138" t="str">
        <f>TRIM(MID(SUBSTITUTE($F138, ",", REPT(" ", 100)), (COLUMNS($AH$2:AJ138)-1)*100+1, 100))</f>
        <v/>
      </c>
      <c r="AK138" t="str">
        <f>TRIM(MID(SUBSTITUTE($F138, ",", REPT(" ", 100)), (COLUMNS($AH$2:AK138)-1)*100+1, 100))</f>
        <v/>
      </c>
      <c r="AL138" t="str">
        <f>TRIM(MID(SUBSTITUTE($F138, ",", REPT(" ", 100)), (COLUMNS($AH$2:AL138)-1)*100+1, 100))</f>
        <v/>
      </c>
      <c r="AM138" t="str">
        <f>TRIM(MID(SUBSTITUTE($F138, ",", REPT(" ", 100)), (COLUMNS($AH$2:AM138)-1)*100+1, 100))</f>
        <v/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60"/>
      <c r="D139" s="174"/>
      <c r="E139" s="61">
        <v>0</v>
      </c>
      <c r="F139" s="38" t="s">
        <v>194</v>
      </c>
      <c r="AJ139" t="str">
        <f>TRIM(MID(SUBSTITUTE($F139, ",", REPT(" ", 100)), (COLUMNS($AH$2:AJ139)-1)*100+1, 100))</f>
        <v/>
      </c>
      <c r="AK139" t="str">
        <f>TRIM(MID(SUBSTITUTE($F139, ",", REPT(" ", 100)), (COLUMNS($AH$2:AK139)-1)*100+1, 100))</f>
        <v/>
      </c>
      <c r="AL139" t="str">
        <f>TRIM(MID(SUBSTITUTE($F139, ",", REPT(" ", 100)), (COLUMNS($AH$2:AL139)-1)*100+1, 100))</f>
        <v/>
      </c>
      <c r="AM139" t="str">
        <f>TRIM(MID(SUBSTITUTE($F139, ",", REPT(" ", 100)), (COLUMNS($AH$2:AM139)-1)*100+1, 100))</f>
        <v/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60"/>
      <c r="D140" s="174"/>
      <c r="E140" s="61">
        <v>0</v>
      </c>
      <c r="F140" s="38" t="s">
        <v>194</v>
      </c>
      <c r="AJ140" t="str">
        <f>TRIM(MID(SUBSTITUTE($F140, ",", REPT(" ", 100)), (COLUMNS($AH$2:AJ140)-1)*100+1, 100))</f>
        <v/>
      </c>
      <c r="AK140" t="str">
        <f>TRIM(MID(SUBSTITUTE($F140, ",", REPT(" ", 100)), (COLUMNS($AH$2:AK140)-1)*100+1, 100))</f>
        <v/>
      </c>
      <c r="AL140" t="str">
        <f>TRIM(MID(SUBSTITUTE($F140, ",", REPT(" ", 100)), (COLUMNS($AH$2:AL140)-1)*100+1, 100))</f>
        <v/>
      </c>
      <c r="AM140" t="str">
        <f>TRIM(MID(SUBSTITUTE($F140, ",", REPT(" ", 100)), (COLUMNS($AH$2:AM140)-1)*100+1, 100))</f>
        <v/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60"/>
      <c r="D141" s="174"/>
      <c r="E141" s="61">
        <v>0</v>
      </c>
      <c r="F141" s="38" t="s">
        <v>194</v>
      </c>
      <c r="AJ141" t="str">
        <f>TRIM(MID(SUBSTITUTE($F141, ",", REPT(" ", 100)), (COLUMNS($AH$2:AJ141)-1)*100+1, 100))</f>
        <v/>
      </c>
      <c r="AK141" t="str">
        <f>TRIM(MID(SUBSTITUTE($F141, ",", REPT(" ", 100)), (COLUMNS($AH$2:AK141)-1)*100+1, 100))</f>
        <v/>
      </c>
      <c r="AL141" t="str">
        <f>TRIM(MID(SUBSTITUTE($F141, ",", REPT(" ", 100)), (COLUMNS($AH$2:AL141)-1)*100+1, 100))</f>
        <v/>
      </c>
      <c r="AM141" t="str">
        <f>TRIM(MID(SUBSTITUTE($F141, ",", REPT(" ", 100)), (COLUMNS($AH$2:AM141)-1)*100+1, 100))</f>
        <v/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60"/>
      <c r="D142" s="174"/>
      <c r="E142" s="61">
        <v>1</v>
      </c>
      <c r="F142" s="38" t="s">
        <v>194</v>
      </c>
      <c r="AJ142" t="str">
        <f>TRIM(MID(SUBSTITUTE($F142, ",", REPT(" ", 100)), (COLUMNS($AH$2:AJ142)-1)*100+1, 100))</f>
        <v/>
      </c>
      <c r="AK142" t="str">
        <f>TRIM(MID(SUBSTITUTE($F142, ",", REPT(" ", 100)), (COLUMNS($AH$2:AK142)-1)*100+1, 100))</f>
        <v/>
      </c>
      <c r="AL142" t="str">
        <f>TRIM(MID(SUBSTITUTE($F142, ",", REPT(" ", 100)), (COLUMNS($AH$2:AL142)-1)*100+1, 100))</f>
        <v/>
      </c>
      <c r="AM142" t="str">
        <f>TRIM(MID(SUBSTITUTE($F142, ",", REPT(" ", 100)), (COLUMNS($AH$2:AM142)-1)*100+1, 100))</f>
        <v/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60"/>
      <c r="D143" s="174"/>
      <c r="E143" s="61">
        <v>1</v>
      </c>
      <c r="F143" s="38" t="s">
        <v>194</v>
      </c>
      <c r="AJ143" t="str">
        <f>TRIM(MID(SUBSTITUTE($F143, ",", REPT(" ", 100)), (COLUMNS($AH$2:AJ143)-1)*100+1, 100))</f>
        <v/>
      </c>
      <c r="AK143" t="str">
        <f>TRIM(MID(SUBSTITUTE($F143, ",", REPT(" ", 100)), (COLUMNS($AH$2:AK143)-1)*100+1, 100))</f>
        <v/>
      </c>
      <c r="AL143" t="str">
        <f>TRIM(MID(SUBSTITUTE($F143, ",", REPT(" ", 100)), (COLUMNS($AH$2:AL143)-1)*100+1, 100))</f>
        <v/>
      </c>
      <c r="AM143" t="str">
        <f>TRIM(MID(SUBSTITUTE($F143, ",", REPT(" ", 100)), (COLUMNS($AH$2:AM143)-1)*100+1, 100))</f>
        <v/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60"/>
      <c r="D144" s="174"/>
      <c r="E144" s="61">
        <v>1</v>
      </c>
      <c r="F144" s="38" t="s">
        <v>194</v>
      </c>
      <c r="AJ144" t="str">
        <f>TRIM(MID(SUBSTITUTE($F144, ",", REPT(" ", 100)), (COLUMNS($AH$2:AJ144)-1)*100+1, 100))</f>
        <v/>
      </c>
      <c r="AK144" t="str">
        <f>TRIM(MID(SUBSTITUTE($F144, ",", REPT(" ", 100)), (COLUMNS($AH$2:AK144)-1)*100+1, 100))</f>
        <v/>
      </c>
      <c r="AL144" t="str">
        <f>TRIM(MID(SUBSTITUTE($F144, ",", REPT(" ", 100)), (COLUMNS($AH$2:AL144)-1)*100+1, 100))</f>
        <v/>
      </c>
      <c r="AM144" t="str">
        <f>TRIM(MID(SUBSTITUTE($F144, ",", REPT(" ", 100)), (COLUMNS($AH$2:AM144)-1)*100+1, 100))</f>
        <v/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60"/>
      <c r="D145" s="174"/>
      <c r="E145" s="61">
        <v>0</v>
      </c>
      <c r="F145" s="38" t="s">
        <v>194</v>
      </c>
      <c r="AJ145" t="str">
        <f>TRIM(MID(SUBSTITUTE($F145, ",", REPT(" ", 100)), (COLUMNS($AH$2:AJ145)-1)*100+1, 100))</f>
        <v/>
      </c>
      <c r="AK145" t="str">
        <f>TRIM(MID(SUBSTITUTE($F145, ",", REPT(" ", 100)), (COLUMNS($AH$2:AK145)-1)*100+1, 100))</f>
        <v/>
      </c>
      <c r="AL145" t="str">
        <f>TRIM(MID(SUBSTITUTE($F145, ",", REPT(" ", 100)), (COLUMNS($AH$2:AL145)-1)*100+1, 100))</f>
        <v/>
      </c>
      <c r="AM145" t="str">
        <f>TRIM(MID(SUBSTITUTE($F145, ",", REPT(" ", 100)), (COLUMNS($AH$2:AM145)-1)*100+1, 100))</f>
        <v/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60"/>
      <c r="D146" s="174"/>
      <c r="E146" s="61">
        <v>0</v>
      </c>
      <c r="F146" s="38" t="s">
        <v>194</v>
      </c>
      <c r="AJ146" t="str">
        <f>TRIM(MID(SUBSTITUTE($F146, ",", REPT(" ", 100)), (COLUMNS($AH$2:AJ146)-1)*100+1, 100))</f>
        <v/>
      </c>
      <c r="AK146" t="str">
        <f>TRIM(MID(SUBSTITUTE($F146, ",", REPT(" ", 100)), (COLUMNS($AH$2:AK146)-1)*100+1, 100))</f>
        <v/>
      </c>
      <c r="AL146" t="str">
        <f>TRIM(MID(SUBSTITUTE($F146, ",", REPT(" ", 100)), (COLUMNS($AH$2:AL146)-1)*100+1, 100))</f>
        <v/>
      </c>
      <c r="AM146" t="str">
        <f>TRIM(MID(SUBSTITUTE($F146, ",", REPT(" ", 100)), (COLUMNS($AH$2:AM146)-1)*100+1, 100))</f>
        <v/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60"/>
      <c r="D147" s="174"/>
      <c r="E147" s="61">
        <v>1</v>
      </c>
      <c r="F147" s="38" t="s">
        <v>194</v>
      </c>
      <c r="AJ147" t="str">
        <f>TRIM(MID(SUBSTITUTE($F147, ",", REPT(" ", 100)), (COLUMNS($AH$2:AJ147)-1)*100+1, 100))</f>
        <v/>
      </c>
      <c r="AK147" t="str">
        <f>TRIM(MID(SUBSTITUTE($F147, ",", REPT(" ", 100)), (COLUMNS($AH$2:AK147)-1)*100+1, 100))</f>
        <v/>
      </c>
      <c r="AL147" t="str">
        <f>TRIM(MID(SUBSTITUTE($F147, ",", REPT(" ", 100)), (COLUMNS($AH$2:AL147)-1)*100+1, 100))</f>
        <v/>
      </c>
      <c r="AM147" t="str">
        <f>TRIM(MID(SUBSTITUTE($F147, ",", REPT(" ", 100)), (COLUMNS($AH$2:AM147)-1)*100+1, 100))</f>
        <v/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60"/>
      <c r="D148" s="174"/>
      <c r="E148" s="61">
        <v>1</v>
      </c>
      <c r="F148" s="38" t="s">
        <v>194</v>
      </c>
      <c r="AJ148" t="str">
        <f>TRIM(MID(SUBSTITUTE($F148, ",", REPT(" ", 100)), (COLUMNS($AH$2:AJ148)-1)*100+1, 100))</f>
        <v/>
      </c>
      <c r="AK148" t="str">
        <f>TRIM(MID(SUBSTITUTE($F148, ",", REPT(" ", 100)), (COLUMNS($AH$2:AK148)-1)*100+1, 100))</f>
        <v/>
      </c>
      <c r="AL148" t="str">
        <f>TRIM(MID(SUBSTITUTE($F148, ",", REPT(" ", 100)), (COLUMNS($AH$2:AL148)-1)*100+1, 100))</f>
        <v/>
      </c>
      <c r="AM148" t="str">
        <f>TRIM(MID(SUBSTITUTE($F148, ",", REPT(" ", 100)), (COLUMNS($AH$2:AM148)-1)*100+1, 100))</f>
        <v/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60"/>
      <c r="D149" s="174"/>
      <c r="E149" s="61">
        <v>1</v>
      </c>
      <c r="F149" s="38" t="s">
        <v>194</v>
      </c>
      <c r="AJ149" t="str">
        <f>TRIM(MID(SUBSTITUTE($F149, ",", REPT(" ", 100)), (COLUMNS($AH$2:AJ149)-1)*100+1, 100))</f>
        <v/>
      </c>
      <c r="AK149" t="str">
        <f>TRIM(MID(SUBSTITUTE($F149, ",", REPT(" ", 100)), (COLUMNS($AH$2:AK149)-1)*100+1, 100))</f>
        <v/>
      </c>
      <c r="AL149" t="str">
        <f>TRIM(MID(SUBSTITUTE($F149, ",", REPT(" ", 100)), (COLUMNS($AH$2:AL149)-1)*100+1, 100))</f>
        <v/>
      </c>
      <c r="AM149" t="str">
        <f>TRIM(MID(SUBSTITUTE($F149, ",", REPT(" ", 100)), (COLUMNS($AH$2:AM149)-1)*100+1, 100))</f>
        <v/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60"/>
      <c r="D150" s="174"/>
      <c r="E150" s="61">
        <v>1</v>
      </c>
      <c r="F150" s="38" t="s">
        <v>194</v>
      </c>
      <c r="AJ150" t="str">
        <f>TRIM(MID(SUBSTITUTE($F150, ",", REPT(" ", 100)), (COLUMNS($AH$2:AJ150)-1)*100+1, 100))</f>
        <v/>
      </c>
      <c r="AK150" t="str">
        <f>TRIM(MID(SUBSTITUTE($F150, ",", REPT(" ", 100)), (COLUMNS($AH$2:AK150)-1)*100+1, 100))</f>
        <v/>
      </c>
      <c r="AL150" t="str">
        <f>TRIM(MID(SUBSTITUTE($F150, ",", REPT(" ", 100)), (COLUMNS($AH$2:AL150)-1)*100+1, 100))</f>
        <v/>
      </c>
      <c r="AM150" t="str">
        <f>TRIM(MID(SUBSTITUTE($F150, ",", REPT(" ", 100)), (COLUMNS($AH$2:AM150)-1)*100+1, 100))</f>
        <v/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60"/>
      <c r="D151" s="174"/>
      <c r="E151" s="61">
        <v>1</v>
      </c>
      <c r="F151" s="38" t="s">
        <v>194</v>
      </c>
      <c r="AJ151" t="str">
        <f>TRIM(MID(SUBSTITUTE($F151, ",", REPT(" ", 100)), (COLUMNS($AH$2:AJ151)-1)*100+1, 100))</f>
        <v/>
      </c>
      <c r="AK151" t="str">
        <f>TRIM(MID(SUBSTITUTE($F151, ",", REPT(" ", 100)), (COLUMNS($AH$2:AK151)-1)*100+1, 100))</f>
        <v/>
      </c>
      <c r="AL151" t="str">
        <f>TRIM(MID(SUBSTITUTE($F151, ",", REPT(" ", 100)), (COLUMNS($AH$2:AL151)-1)*100+1, 100))</f>
        <v/>
      </c>
      <c r="AM151" t="str">
        <f>TRIM(MID(SUBSTITUTE($F151, ",", REPT(" ", 100)), (COLUMNS($AH$2:AM151)-1)*100+1, 100))</f>
        <v/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60"/>
      <c r="D152" s="174"/>
      <c r="E152" s="61">
        <v>1</v>
      </c>
      <c r="F152" s="38" t="s">
        <v>194</v>
      </c>
      <c r="AJ152" t="str">
        <f>TRIM(MID(SUBSTITUTE($F152, ",", REPT(" ", 100)), (COLUMNS($AH$2:AJ152)-1)*100+1, 100))</f>
        <v/>
      </c>
      <c r="AK152" t="str">
        <f>TRIM(MID(SUBSTITUTE($F152, ",", REPT(" ", 100)), (COLUMNS($AH$2:AK152)-1)*100+1, 100))</f>
        <v/>
      </c>
      <c r="AL152" t="str">
        <f>TRIM(MID(SUBSTITUTE($F152, ",", REPT(" ", 100)), (COLUMNS($AH$2:AL152)-1)*100+1, 100))</f>
        <v/>
      </c>
      <c r="AM152" t="str">
        <f>TRIM(MID(SUBSTITUTE($F152, ",", REPT(" ", 100)), (COLUMNS($AH$2:AM152)-1)*100+1, 100))</f>
        <v/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60">
        <f>AVERAGE(B153:B182)</f>
        <v>4.8600000000000003</v>
      </c>
      <c r="D153" s="174"/>
      <c r="E153" s="61">
        <v>1</v>
      </c>
      <c r="F153" s="38" t="s">
        <v>194</v>
      </c>
      <c r="AJ153" t="str">
        <f>TRIM(MID(SUBSTITUTE($F153, ",", REPT(" ", 100)), (COLUMNS($AH$2:AJ153)-1)*100+1, 100))</f>
        <v/>
      </c>
      <c r="AK153" t="str">
        <f>TRIM(MID(SUBSTITUTE($F153, ",", REPT(" ", 100)), (COLUMNS($AH$2:AK153)-1)*100+1, 100))</f>
        <v/>
      </c>
      <c r="AL153" t="str">
        <f>TRIM(MID(SUBSTITUTE($F153, ",", REPT(" ", 100)), (COLUMNS($AH$2:AL153)-1)*100+1, 100))</f>
        <v/>
      </c>
      <c r="AM153" t="str">
        <f>TRIM(MID(SUBSTITUTE($F153, ",", REPT(" ", 100)), (COLUMNS($AH$2:AM153)-1)*100+1, 100))</f>
        <v/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60"/>
      <c r="D154" s="174"/>
      <c r="E154" s="61">
        <v>0</v>
      </c>
      <c r="F154" s="38" t="s">
        <v>194</v>
      </c>
      <c r="G154" s="38" t="s">
        <v>288</v>
      </c>
      <c r="AJ154" t="str">
        <f>TRIM(MID(SUBSTITUTE($F154, ",", REPT(" ", 100)), (COLUMNS($AH$2:AJ154)-1)*100+1, 100))</f>
        <v/>
      </c>
      <c r="AK154" t="str">
        <f>TRIM(MID(SUBSTITUTE($F154, ",", REPT(" ", 100)), (COLUMNS($AH$2:AK154)-1)*100+1, 100))</f>
        <v/>
      </c>
      <c r="AL154" t="str">
        <f>TRIM(MID(SUBSTITUTE($F154, ",", REPT(" ", 100)), (COLUMNS($AH$2:AL154)-1)*100+1, 100))</f>
        <v/>
      </c>
      <c r="AM154" t="str">
        <f>TRIM(MID(SUBSTITUTE($F154, ",", REPT(" ", 100)), (COLUMNS($AH$2:AM154)-1)*100+1, 100))</f>
        <v/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60"/>
      <c r="D155" s="174"/>
      <c r="E155" s="61">
        <v>0</v>
      </c>
      <c r="F155" s="38" t="s">
        <v>194</v>
      </c>
      <c r="AJ155" t="str">
        <f>TRIM(MID(SUBSTITUTE($F155, ",", REPT(" ", 100)), (COLUMNS($AH$2:AJ155)-1)*100+1, 100))</f>
        <v/>
      </c>
      <c r="AK155" t="str">
        <f>TRIM(MID(SUBSTITUTE($F155, ",", REPT(" ", 100)), (COLUMNS($AH$2:AK155)-1)*100+1, 100))</f>
        <v/>
      </c>
      <c r="AL155" t="str">
        <f>TRIM(MID(SUBSTITUTE($F155, ",", REPT(" ", 100)), (COLUMNS($AH$2:AL155)-1)*100+1, 100))</f>
        <v/>
      </c>
      <c r="AM155" t="str">
        <f>TRIM(MID(SUBSTITUTE($F155, ",", REPT(" ", 100)), (COLUMNS($AH$2:AM155)-1)*100+1, 100))</f>
        <v/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60"/>
      <c r="D156" s="174"/>
      <c r="E156" s="61">
        <v>0</v>
      </c>
      <c r="F156" s="38" t="s">
        <v>194</v>
      </c>
      <c r="AJ156" t="str">
        <f>TRIM(MID(SUBSTITUTE($F156, ",", REPT(" ", 100)), (COLUMNS($AH$2:AJ156)-1)*100+1, 100))</f>
        <v/>
      </c>
      <c r="AK156" t="str">
        <f>TRIM(MID(SUBSTITUTE($F156, ",", REPT(" ", 100)), (COLUMNS($AH$2:AK156)-1)*100+1, 100))</f>
        <v/>
      </c>
      <c r="AL156" t="str">
        <f>TRIM(MID(SUBSTITUTE($F156, ",", REPT(" ", 100)), (COLUMNS($AH$2:AL156)-1)*100+1, 100))</f>
        <v/>
      </c>
      <c r="AM156" t="str">
        <f>TRIM(MID(SUBSTITUTE($F156, ",", REPT(" ", 100)), (COLUMNS($AH$2:AM156)-1)*100+1, 100))</f>
        <v/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60"/>
      <c r="D157" s="174"/>
      <c r="E157" s="61">
        <v>0</v>
      </c>
      <c r="F157" s="38" t="s">
        <v>194</v>
      </c>
      <c r="AJ157" t="str">
        <f>TRIM(MID(SUBSTITUTE($F157, ",", REPT(" ", 100)), (COLUMNS($AH$2:AJ157)-1)*100+1, 100))</f>
        <v/>
      </c>
      <c r="AK157" t="str">
        <f>TRIM(MID(SUBSTITUTE($F157, ",", REPT(" ", 100)), (COLUMNS($AH$2:AK157)-1)*100+1, 100))</f>
        <v/>
      </c>
      <c r="AL157" t="str">
        <f>TRIM(MID(SUBSTITUTE($F157, ",", REPT(" ", 100)), (COLUMNS($AH$2:AL157)-1)*100+1, 100))</f>
        <v/>
      </c>
      <c r="AM157" t="str">
        <f>TRIM(MID(SUBSTITUTE($F157, ",", REPT(" ", 100)), (COLUMNS($AH$2:AM157)-1)*100+1, 100))</f>
        <v/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60"/>
      <c r="D158" s="174"/>
      <c r="E158" s="61">
        <v>0</v>
      </c>
      <c r="F158" s="38" t="s">
        <v>194</v>
      </c>
      <c r="AJ158" t="str">
        <f>TRIM(MID(SUBSTITUTE($F158, ",", REPT(" ", 100)), (COLUMNS($AH$2:AJ158)-1)*100+1, 100))</f>
        <v/>
      </c>
      <c r="AK158" t="str">
        <f>TRIM(MID(SUBSTITUTE($F158, ",", REPT(" ", 100)), (COLUMNS($AH$2:AK158)-1)*100+1, 100))</f>
        <v/>
      </c>
      <c r="AL158" t="str">
        <f>TRIM(MID(SUBSTITUTE($F158, ",", REPT(" ", 100)), (COLUMNS($AH$2:AL158)-1)*100+1, 100))</f>
        <v/>
      </c>
      <c r="AM158" t="str">
        <f>TRIM(MID(SUBSTITUTE($F158, ",", REPT(" ", 100)), (COLUMNS($AH$2:AM158)-1)*100+1, 100))</f>
        <v/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60"/>
      <c r="D159" s="174"/>
      <c r="E159" s="61">
        <v>0</v>
      </c>
      <c r="F159" s="38" t="s">
        <v>194</v>
      </c>
      <c r="AJ159" t="str">
        <f>TRIM(MID(SUBSTITUTE($F159, ",", REPT(" ", 100)), (COLUMNS($AH$2:AJ159)-1)*100+1, 100))</f>
        <v/>
      </c>
      <c r="AK159" t="str">
        <f>TRIM(MID(SUBSTITUTE($F159, ",", REPT(" ", 100)), (COLUMNS($AH$2:AK159)-1)*100+1, 100))</f>
        <v/>
      </c>
      <c r="AL159" t="str">
        <f>TRIM(MID(SUBSTITUTE($F159, ",", REPT(" ", 100)), (COLUMNS($AH$2:AL159)-1)*100+1, 100))</f>
        <v/>
      </c>
      <c r="AM159" t="str">
        <f>TRIM(MID(SUBSTITUTE($F159, ",", REPT(" ", 100)), (COLUMNS($AH$2:AM159)-1)*100+1, 100))</f>
        <v/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60"/>
      <c r="D160" s="174"/>
      <c r="E160" s="61">
        <v>0</v>
      </c>
      <c r="F160" s="38" t="s">
        <v>194</v>
      </c>
      <c r="AJ160" t="str">
        <f>TRIM(MID(SUBSTITUTE($F160, ",", REPT(" ", 100)), (COLUMNS($AH$2:AJ160)-1)*100+1, 100))</f>
        <v/>
      </c>
      <c r="AK160" t="str">
        <f>TRIM(MID(SUBSTITUTE($F160, ",", REPT(" ", 100)), (COLUMNS($AH$2:AK160)-1)*100+1, 100))</f>
        <v/>
      </c>
      <c r="AL160" t="str">
        <f>TRIM(MID(SUBSTITUTE($F160, ",", REPT(" ", 100)), (COLUMNS($AH$2:AL160)-1)*100+1, 100))</f>
        <v/>
      </c>
      <c r="AM160" t="str">
        <f>TRIM(MID(SUBSTITUTE($F160, ",", REPT(" ", 100)), (COLUMNS($AH$2:AM160)-1)*100+1, 100))</f>
        <v/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60"/>
      <c r="D161" s="174"/>
      <c r="E161" s="61">
        <v>0</v>
      </c>
      <c r="F161" s="38" t="s">
        <v>194</v>
      </c>
      <c r="AJ161" t="str">
        <f>TRIM(MID(SUBSTITUTE($F161, ",", REPT(" ", 100)), (COLUMNS($AH$2:AJ161)-1)*100+1, 100))</f>
        <v/>
      </c>
      <c r="AK161" t="str">
        <f>TRIM(MID(SUBSTITUTE($F161, ",", REPT(" ", 100)), (COLUMNS($AH$2:AK161)-1)*100+1, 100))</f>
        <v/>
      </c>
      <c r="AL161" t="str">
        <f>TRIM(MID(SUBSTITUTE($F161, ",", REPT(" ", 100)), (COLUMNS($AH$2:AL161)-1)*100+1, 100))</f>
        <v/>
      </c>
      <c r="AM161" t="str">
        <f>TRIM(MID(SUBSTITUTE($F161, ",", REPT(" ", 100)), (COLUMNS($AH$2:AM161)-1)*100+1, 100))</f>
        <v/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60"/>
      <c r="D162" s="174"/>
      <c r="E162" s="61">
        <v>0</v>
      </c>
      <c r="F162" s="38" t="s">
        <v>194</v>
      </c>
      <c r="AJ162" t="str">
        <f>TRIM(MID(SUBSTITUTE($F162, ",", REPT(" ", 100)), (COLUMNS($AH$2:AJ162)-1)*100+1, 100))</f>
        <v/>
      </c>
      <c r="AK162" t="str">
        <f>TRIM(MID(SUBSTITUTE($F162, ",", REPT(" ", 100)), (COLUMNS($AH$2:AK162)-1)*100+1, 100))</f>
        <v/>
      </c>
      <c r="AL162" t="str">
        <f>TRIM(MID(SUBSTITUTE($F162, ",", REPT(" ", 100)), (COLUMNS($AH$2:AL162)-1)*100+1, 100))</f>
        <v/>
      </c>
      <c r="AM162" t="str">
        <f>TRIM(MID(SUBSTITUTE($F162, ",", REPT(" ", 100)), (COLUMNS($AH$2:AM162)-1)*100+1, 100))</f>
        <v/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60"/>
      <c r="D163" s="174"/>
      <c r="E163" s="61">
        <v>1</v>
      </c>
      <c r="F163" s="38" t="s">
        <v>194</v>
      </c>
      <c r="AJ163" t="str">
        <f>TRIM(MID(SUBSTITUTE($F163, ",", REPT(" ", 100)), (COLUMNS($AH$2:AJ163)-1)*100+1, 100))</f>
        <v/>
      </c>
      <c r="AK163" t="str">
        <f>TRIM(MID(SUBSTITUTE($F163, ",", REPT(" ", 100)), (COLUMNS($AH$2:AK163)-1)*100+1, 100))</f>
        <v/>
      </c>
      <c r="AL163" t="str">
        <f>TRIM(MID(SUBSTITUTE($F163, ",", REPT(" ", 100)), (COLUMNS($AH$2:AL163)-1)*100+1, 100))</f>
        <v/>
      </c>
      <c r="AM163" t="str">
        <f>TRIM(MID(SUBSTITUTE($F163, ",", REPT(" ", 100)), (COLUMNS($AH$2:AM163)-1)*100+1, 100))</f>
        <v/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60"/>
      <c r="D164" s="174"/>
      <c r="E164" s="61">
        <v>1</v>
      </c>
      <c r="F164" s="38" t="s">
        <v>194</v>
      </c>
      <c r="AJ164" t="str">
        <f>TRIM(MID(SUBSTITUTE($F164, ",", REPT(" ", 100)), (COLUMNS($AH$2:AJ164)-1)*100+1, 100))</f>
        <v/>
      </c>
      <c r="AK164" t="str">
        <f>TRIM(MID(SUBSTITUTE($F164, ",", REPT(" ", 100)), (COLUMNS($AH$2:AK164)-1)*100+1, 100))</f>
        <v/>
      </c>
      <c r="AL164" t="str">
        <f>TRIM(MID(SUBSTITUTE($F164, ",", REPT(" ", 100)), (COLUMNS($AH$2:AL164)-1)*100+1, 100))</f>
        <v/>
      </c>
      <c r="AM164" t="str">
        <f>TRIM(MID(SUBSTITUTE($F164, ",", REPT(" ", 100)), (COLUMNS($AH$2:AM164)-1)*100+1, 100))</f>
        <v/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60"/>
      <c r="D165" s="174"/>
      <c r="E165" s="61">
        <v>1</v>
      </c>
      <c r="F165" s="38" t="s">
        <v>194</v>
      </c>
      <c r="AJ165" t="str">
        <f>TRIM(MID(SUBSTITUTE($F165, ",", REPT(" ", 100)), (COLUMNS($AH$2:AJ165)-1)*100+1, 100))</f>
        <v/>
      </c>
      <c r="AK165" t="str">
        <f>TRIM(MID(SUBSTITUTE($F165, ",", REPT(" ", 100)), (COLUMNS($AH$2:AK165)-1)*100+1, 100))</f>
        <v/>
      </c>
      <c r="AL165" t="str">
        <f>TRIM(MID(SUBSTITUTE($F165, ",", REPT(" ", 100)), (COLUMNS($AH$2:AL165)-1)*100+1, 100))</f>
        <v/>
      </c>
      <c r="AM165" t="str">
        <f>TRIM(MID(SUBSTITUTE($F165, ",", REPT(" ", 100)), (COLUMNS($AH$2:AM165)-1)*100+1, 100))</f>
        <v/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60"/>
      <c r="D166" s="174"/>
      <c r="E166" s="61">
        <v>1</v>
      </c>
      <c r="F166" s="38" t="s">
        <v>291</v>
      </c>
      <c r="AJ166" t="str">
        <f>TRIM(MID(SUBSTITUTE($F166, ",", REPT(" ", 100)), (COLUMNS($AH$2:AJ166)-1)*100+1, 100))</f>
        <v/>
      </c>
      <c r="AK166" t="str">
        <f>TRIM(MID(SUBSTITUTE($F166, ",", REPT(" ", 100)), (COLUMNS($AH$2:AK166)-1)*100+1, 100))</f>
        <v/>
      </c>
      <c r="AL166" t="str">
        <f>TRIM(MID(SUBSTITUTE($F166, ",", REPT(" ", 100)), (COLUMNS($AH$2:AL166)-1)*100+1, 100))</f>
        <v/>
      </c>
      <c r="AM166" t="str">
        <f>TRIM(MID(SUBSTITUTE($F166, ",", REPT(" ", 100)), (COLUMNS($AH$2:AM166)-1)*100+1, 100))</f>
        <v/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60"/>
      <c r="D167" s="174"/>
      <c r="E167" s="61">
        <v>1</v>
      </c>
      <c r="F167" s="38" t="s">
        <v>292</v>
      </c>
      <c r="AJ167" t="str">
        <f>TRIM(MID(SUBSTITUTE($F167, ",", REPT(" ", 100)), (COLUMNS($AH$2:AJ167)-1)*100+1, 100))</f>
        <v>Meerut</v>
      </c>
      <c r="AK167" t="str">
        <f>TRIM(MID(SUBSTITUTE($F167, ",", REPT(" ", 100)), (COLUMNS($AH$2:AK167)-1)*100+1, 100))</f>
        <v/>
      </c>
      <c r="AL167" t="str">
        <f>TRIM(MID(SUBSTITUTE($F167, ",", REPT(" ", 100)), (COLUMNS($AH$2:AL167)-1)*100+1, 100))</f>
        <v/>
      </c>
      <c r="AM167" t="str">
        <f>TRIM(MID(SUBSTITUTE($F167, ",", REPT(" ", 100)), (COLUMNS($AH$2:AM167)-1)*100+1, 100))</f>
        <v/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60"/>
      <c r="D168" s="174"/>
      <c r="E168" s="61">
        <v>0</v>
      </c>
      <c r="F168" s="38" t="s">
        <v>194</v>
      </c>
      <c r="AJ168" t="str">
        <f>TRIM(MID(SUBSTITUTE($F168, ",", REPT(" ", 100)), (COLUMNS($AH$2:AJ168)-1)*100+1, 100))</f>
        <v/>
      </c>
      <c r="AK168" t="str">
        <f>TRIM(MID(SUBSTITUTE($F168, ",", REPT(" ", 100)), (COLUMNS($AH$2:AK168)-1)*100+1, 100))</f>
        <v/>
      </c>
      <c r="AL168" t="str">
        <f>TRIM(MID(SUBSTITUTE($F168, ",", REPT(" ", 100)), (COLUMNS($AH$2:AL168)-1)*100+1, 100))</f>
        <v/>
      </c>
      <c r="AM168" t="str">
        <f>TRIM(MID(SUBSTITUTE($F168, ",", REPT(" ", 100)), (COLUMNS($AH$2:AM168)-1)*100+1, 100))</f>
        <v/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60"/>
      <c r="D169" s="174"/>
      <c r="E169" s="61">
        <v>0</v>
      </c>
      <c r="F169" s="38" t="s">
        <v>194</v>
      </c>
      <c r="AJ169" t="str">
        <f>TRIM(MID(SUBSTITUTE($F169, ",", REPT(" ", 100)), (COLUMNS($AH$2:AJ169)-1)*100+1, 100))</f>
        <v/>
      </c>
      <c r="AK169" t="str">
        <f>TRIM(MID(SUBSTITUTE($F169, ",", REPT(" ", 100)), (COLUMNS($AH$2:AK169)-1)*100+1, 100))</f>
        <v/>
      </c>
      <c r="AL169" t="str">
        <f>TRIM(MID(SUBSTITUTE($F169, ",", REPT(" ", 100)), (COLUMNS($AH$2:AL169)-1)*100+1, 100))</f>
        <v/>
      </c>
      <c r="AM169" t="str">
        <f>TRIM(MID(SUBSTITUTE($F169, ",", REPT(" ", 100)), (COLUMNS($AH$2:AM169)-1)*100+1, 100))</f>
        <v/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60"/>
      <c r="D170" s="174"/>
      <c r="E170" s="61">
        <v>0</v>
      </c>
      <c r="F170" s="38" t="s">
        <v>194</v>
      </c>
      <c r="AJ170" t="str">
        <f>TRIM(MID(SUBSTITUTE($F170, ",", REPT(" ", 100)), (COLUMNS($AH$2:AJ170)-1)*100+1, 100))</f>
        <v/>
      </c>
      <c r="AK170" t="str">
        <f>TRIM(MID(SUBSTITUTE($F170, ",", REPT(" ", 100)), (COLUMNS($AH$2:AK170)-1)*100+1, 100))</f>
        <v/>
      </c>
      <c r="AL170" t="str">
        <f>TRIM(MID(SUBSTITUTE($F170, ",", REPT(" ", 100)), (COLUMNS($AH$2:AL170)-1)*100+1, 100))</f>
        <v/>
      </c>
      <c r="AM170" t="str">
        <f>TRIM(MID(SUBSTITUTE($F170, ",", REPT(" ", 100)), (COLUMNS($AH$2:AM170)-1)*100+1, 100))</f>
        <v/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60"/>
      <c r="D171" s="174"/>
      <c r="E171" s="61">
        <v>0</v>
      </c>
      <c r="F171" s="38" t="s">
        <v>194</v>
      </c>
      <c r="AJ171" t="str">
        <f>TRIM(MID(SUBSTITUTE($F171, ",", REPT(" ", 100)), (COLUMNS($AH$2:AJ171)-1)*100+1, 100))</f>
        <v/>
      </c>
      <c r="AK171" t="str">
        <f>TRIM(MID(SUBSTITUTE($F171, ",", REPT(" ", 100)), (COLUMNS($AH$2:AK171)-1)*100+1, 100))</f>
        <v/>
      </c>
      <c r="AL171" t="str">
        <f>TRIM(MID(SUBSTITUTE($F171, ",", REPT(" ", 100)), (COLUMNS($AH$2:AL171)-1)*100+1, 100))</f>
        <v/>
      </c>
      <c r="AM171" t="str">
        <f>TRIM(MID(SUBSTITUTE($F171, ",", REPT(" ", 100)), (COLUMNS($AH$2:AM171)-1)*100+1, 100))</f>
        <v/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60"/>
      <c r="D172" s="174"/>
      <c r="E172" s="61">
        <v>1</v>
      </c>
      <c r="F172" s="38" t="s">
        <v>194</v>
      </c>
      <c r="AJ172" t="str">
        <f>TRIM(MID(SUBSTITUTE($F172, ",", REPT(" ", 100)), (COLUMNS($AH$2:AJ172)-1)*100+1, 100))</f>
        <v/>
      </c>
      <c r="AK172" t="str">
        <f>TRIM(MID(SUBSTITUTE($F172, ",", REPT(" ", 100)), (COLUMNS($AH$2:AK172)-1)*100+1, 100))</f>
        <v/>
      </c>
      <c r="AL172" t="str">
        <f>TRIM(MID(SUBSTITUTE($F172, ",", REPT(" ", 100)), (COLUMNS($AH$2:AL172)-1)*100+1, 100))</f>
        <v/>
      </c>
      <c r="AM172" t="str">
        <f>TRIM(MID(SUBSTITUTE($F172, ",", REPT(" ", 100)), (COLUMNS($AH$2:AM172)-1)*100+1, 100))</f>
        <v/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60"/>
      <c r="D173" s="174"/>
      <c r="E173" s="61">
        <v>1</v>
      </c>
      <c r="F173" s="38" t="s">
        <v>293</v>
      </c>
      <c r="AJ173" t="str">
        <f>TRIM(MID(SUBSTITUTE($F173, ",", REPT(" ", 100)), (COLUMNS($AH$2:AJ173)-1)*100+1, 100))</f>
        <v/>
      </c>
      <c r="AK173" t="str">
        <f>TRIM(MID(SUBSTITUTE($F173, ",", REPT(" ", 100)), (COLUMNS($AH$2:AK173)-1)*100+1, 100))</f>
        <v/>
      </c>
      <c r="AL173" t="str">
        <f>TRIM(MID(SUBSTITUTE($F173, ",", REPT(" ", 100)), (COLUMNS($AH$2:AL173)-1)*100+1, 100))</f>
        <v/>
      </c>
      <c r="AM173" t="str">
        <f>TRIM(MID(SUBSTITUTE($F173, ",", REPT(" ", 100)), (COLUMNS($AH$2:AM173)-1)*100+1, 100))</f>
        <v/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60"/>
      <c r="D174" s="174"/>
      <c r="E174" s="61">
        <v>1</v>
      </c>
      <c r="F174" s="38" t="s">
        <v>294</v>
      </c>
      <c r="AJ174" t="str">
        <f>TRIM(MID(SUBSTITUTE($F174, ",", REPT(" ", 100)), (COLUMNS($AH$2:AJ174)-1)*100+1, 100))</f>
        <v/>
      </c>
      <c r="AK174" t="str">
        <f>TRIM(MID(SUBSTITUTE($F174, ",", REPT(" ", 100)), (COLUMNS($AH$2:AK174)-1)*100+1, 100))</f>
        <v/>
      </c>
      <c r="AL174" t="str">
        <f>TRIM(MID(SUBSTITUTE($F174, ",", REPT(" ", 100)), (COLUMNS($AH$2:AL174)-1)*100+1, 100))</f>
        <v/>
      </c>
      <c r="AM174" t="str">
        <f>TRIM(MID(SUBSTITUTE($F174, ",", REPT(" ", 100)), (COLUMNS($AH$2:AM174)-1)*100+1, 100))</f>
        <v/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60"/>
      <c r="D175" s="174"/>
      <c r="E175" s="61">
        <v>0</v>
      </c>
      <c r="F175" s="38" t="s">
        <v>194</v>
      </c>
      <c r="AJ175" t="str">
        <f>TRIM(MID(SUBSTITUTE($F175, ",", REPT(" ", 100)), (COLUMNS($AH$2:AJ175)-1)*100+1, 100))</f>
        <v/>
      </c>
      <c r="AK175" t="str">
        <f>TRIM(MID(SUBSTITUTE($F175, ",", REPT(" ", 100)), (COLUMNS($AH$2:AK175)-1)*100+1, 100))</f>
        <v/>
      </c>
      <c r="AL175" t="str">
        <f>TRIM(MID(SUBSTITUTE($F175, ",", REPT(" ", 100)), (COLUMNS($AH$2:AL175)-1)*100+1, 100))</f>
        <v/>
      </c>
      <c r="AM175" t="str">
        <f>TRIM(MID(SUBSTITUTE($F175, ",", REPT(" ", 100)), (COLUMNS($AH$2:AM175)-1)*100+1, 100))</f>
        <v/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60"/>
      <c r="D176" s="174"/>
      <c r="E176" s="61">
        <v>0</v>
      </c>
      <c r="F176" s="38" t="s">
        <v>194</v>
      </c>
      <c r="AJ176" t="str">
        <f>TRIM(MID(SUBSTITUTE($F176, ",", REPT(" ", 100)), (COLUMNS($AH$2:AJ176)-1)*100+1, 100))</f>
        <v/>
      </c>
      <c r="AK176" t="str">
        <f>TRIM(MID(SUBSTITUTE($F176, ",", REPT(" ", 100)), (COLUMNS($AH$2:AK176)-1)*100+1, 100))</f>
        <v/>
      </c>
      <c r="AL176" t="str">
        <f>TRIM(MID(SUBSTITUTE($F176, ",", REPT(" ", 100)), (COLUMNS($AH$2:AL176)-1)*100+1, 100))</f>
        <v/>
      </c>
      <c r="AM176" t="str">
        <f>TRIM(MID(SUBSTITUTE($F176, ",", REPT(" ", 100)), (COLUMNS($AH$2:AM176)-1)*100+1, 100))</f>
        <v/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60"/>
      <c r="D177" s="174"/>
      <c r="E177" s="61">
        <v>0</v>
      </c>
      <c r="F177" s="38" t="s">
        <v>194</v>
      </c>
      <c r="AJ177" t="str">
        <f>TRIM(MID(SUBSTITUTE($F177, ",", REPT(" ", 100)), (COLUMNS($AH$2:AJ177)-1)*100+1, 100))</f>
        <v/>
      </c>
      <c r="AK177" t="str">
        <f>TRIM(MID(SUBSTITUTE($F177, ",", REPT(" ", 100)), (COLUMNS($AH$2:AK177)-1)*100+1, 100))</f>
        <v/>
      </c>
      <c r="AL177" t="str">
        <f>TRIM(MID(SUBSTITUTE($F177, ",", REPT(" ", 100)), (COLUMNS($AH$2:AL177)-1)*100+1, 100))</f>
        <v/>
      </c>
      <c r="AM177" t="str">
        <f>TRIM(MID(SUBSTITUTE($F177, ",", REPT(" ", 100)), (COLUMNS($AH$2:AM177)-1)*100+1, 100))</f>
        <v/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60"/>
      <c r="D178" s="174"/>
      <c r="E178" s="61">
        <v>1</v>
      </c>
      <c r="F178" s="38" t="s">
        <v>194</v>
      </c>
      <c r="AJ178" t="str">
        <f>TRIM(MID(SUBSTITUTE($F178, ",", REPT(" ", 100)), (COLUMNS($AH$2:AJ178)-1)*100+1, 100))</f>
        <v/>
      </c>
      <c r="AK178" t="str">
        <f>TRIM(MID(SUBSTITUTE($F178, ",", REPT(" ", 100)), (COLUMNS($AH$2:AK178)-1)*100+1, 100))</f>
        <v/>
      </c>
      <c r="AL178" t="str">
        <f>TRIM(MID(SUBSTITUTE($F178, ",", REPT(" ", 100)), (COLUMNS($AH$2:AL178)-1)*100+1, 100))</f>
        <v/>
      </c>
      <c r="AM178" t="str">
        <f>TRIM(MID(SUBSTITUTE($F178, ",", REPT(" ", 100)), (COLUMNS($AH$2:AM178)-1)*100+1, 100))</f>
        <v/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60"/>
      <c r="D179" s="174"/>
      <c r="E179" s="61">
        <v>1</v>
      </c>
      <c r="F179" s="38" t="s">
        <v>194</v>
      </c>
      <c r="AJ179" t="str">
        <f>TRIM(MID(SUBSTITUTE($F179, ",", REPT(" ", 100)), (COLUMNS($AH$2:AJ179)-1)*100+1, 100))</f>
        <v/>
      </c>
      <c r="AK179" t="str">
        <f>TRIM(MID(SUBSTITUTE($F179, ",", REPT(" ", 100)), (COLUMNS($AH$2:AK179)-1)*100+1, 100))</f>
        <v/>
      </c>
      <c r="AL179" t="str">
        <f>TRIM(MID(SUBSTITUTE($F179, ",", REPT(" ", 100)), (COLUMNS($AH$2:AL179)-1)*100+1, 100))</f>
        <v/>
      </c>
      <c r="AM179" t="str">
        <f>TRIM(MID(SUBSTITUTE($F179, ",", REPT(" ", 100)), (COLUMNS($AH$2:AM179)-1)*100+1, 100))</f>
        <v/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60"/>
      <c r="D180" s="174"/>
      <c r="E180" s="61">
        <v>1</v>
      </c>
      <c r="F180" s="38" t="s">
        <v>194</v>
      </c>
      <c r="AJ180" t="str">
        <f>TRIM(MID(SUBSTITUTE($F180, ",", REPT(" ", 100)), (COLUMNS($AH$2:AJ180)-1)*100+1, 100))</f>
        <v/>
      </c>
      <c r="AK180" t="str">
        <f>TRIM(MID(SUBSTITUTE($F180, ",", REPT(" ", 100)), (COLUMNS($AH$2:AK180)-1)*100+1, 100))</f>
        <v/>
      </c>
      <c r="AL180" t="str">
        <f>TRIM(MID(SUBSTITUTE($F180, ",", REPT(" ", 100)), (COLUMNS($AH$2:AL180)-1)*100+1, 100))</f>
        <v/>
      </c>
      <c r="AM180" t="str">
        <f>TRIM(MID(SUBSTITUTE($F180, ",", REPT(" ", 100)), (COLUMNS($AH$2:AM180)-1)*100+1, 100))</f>
        <v/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60"/>
      <c r="D181" s="174"/>
      <c r="E181" s="61">
        <v>1</v>
      </c>
      <c r="F181" s="38" t="s">
        <v>194</v>
      </c>
      <c r="AJ181" t="str">
        <f>TRIM(MID(SUBSTITUTE($F181, ",", REPT(" ", 100)), (COLUMNS($AH$2:AJ181)-1)*100+1, 100))</f>
        <v/>
      </c>
      <c r="AK181" t="str">
        <f>TRIM(MID(SUBSTITUTE($F181, ",", REPT(" ", 100)), (COLUMNS($AH$2:AK181)-1)*100+1, 100))</f>
        <v/>
      </c>
      <c r="AL181" t="str">
        <f>TRIM(MID(SUBSTITUTE($F181, ",", REPT(" ", 100)), (COLUMNS($AH$2:AL181)-1)*100+1, 100))</f>
        <v/>
      </c>
      <c r="AM181" t="str">
        <f>TRIM(MID(SUBSTITUTE($F181, ",", REPT(" ", 100)), (COLUMNS($AH$2:AM181)-1)*100+1, 100))</f>
        <v/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60"/>
      <c r="D182" s="174"/>
      <c r="E182" s="61">
        <v>1</v>
      </c>
      <c r="F182" s="38" t="s">
        <v>194</v>
      </c>
      <c r="AJ182" t="str">
        <f>TRIM(MID(SUBSTITUTE($F182, ",", REPT(" ", 100)), (COLUMNS($AH$2:AJ182)-1)*100+1, 100))</f>
        <v/>
      </c>
      <c r="AK182" t="str">
        <f>TRIM(MID(SUBSTITUTE($F182, ",", REPT(" ", 100)), (COLUMNS($AH$2:AK182)-1)*100+1, 100))</f>
        <v/>
      </c>
      <c r="AL182" t="str">
        <f>TRIM(MID(SUBSTITUTE($F182, ",", REPT(" ", 100)), (COLUMNS($AH$2:AL182)-1)*100+1, 100))</f>
        <v/>
      </c>
      <c r="AM182" t="str">
        <f>TRIM(MID(SUBSTITUTE($F182, ",", REPT(" ", 100)), (COLUMNS($AH$2:AM182)-1)*100+1, 100))</f>
        <v/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60">
        <f>AVERAGE(B183:B213)</f>
        <v>5.3903225806451607</v>
      </c>
      <c r="D183" s="174"/>
      <c r="E183" s="61">
        <v>1</v>
      </c>
      <c r="F183" s="38" t="s">
        <v>194</v>
      </c>
      <c r="AJ183" t="str">
        <f>TRIM(MID(SUBSTITUTE($F183, ",", REPT(" ", 100)), (COLUMNS($AH$2:AJ183)-1)*100+1, 100))</f>
        <v/>
      </c>
      <c r="AK183" t="str">
        <f>TRIM(MID(SUBSTITUTE($F183, ",", REPT(" ", 100)), (COLUMNS($AH$2:AK183)-1)*100+1, 100))</f>
        <v/>
      </c>
      <c r="AL183" t="str">
        <f>TRIM(MID(SUBSTITUTE($F183, ",", REPT(" ", 100)), (COLUMNS($AH$2:AL183)-1)*100+1, 100))</f>
        <v/>
      </c>
      <c r="AM183" t="str">
        <f>TRIM(MID(SUBSTITUTE($F183, ",", REPT(" ", 100)), (COLUMNS($AH$2:AM183)-1)*100+1, 100))</f>
        <v/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60"/>
      <c r="D184" s="174"/>
      <c r="E184" s="61">
        <v>1</v>
      </c>
      <c r="F184" s="38" t="s">
        <v>194</v>
      </c>
      <c r="AJ184" t="str">
        <f>TRIM(MID(SUBSTITUTE($F184, ",", REPT(" ", 100)), (COLUMNS($AH$2:AJ184)-1)*100+1, 100))</f>
        <v/>
      </c>
      <c r="AK184" t="str">
        <f>TRIM(MID(SUBSTITUTE($F184, ",", REPT(" ", 100)), (COLUMNS($AH$2:AK184)-1)*100+1, 100))</f>
        <v/>
      </c>
      <c r="AL184" t="str">
        <f>TRIM(MID(SUBSTITUTE($F184, ",", REPT(" ", 100)), (COLUMNS($AH$2:AL184)-1)*100+1, 100))</f>
        <v/>
      </c>
      <c r="AM184" t="str">
        <f>TRIM(MID(SUBSTITUTE($F184, ",", REPT(" ", 100)), (COLUMNS($AH$2:AM184)-1)*100+1, 100))</f>
        <v/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60"/>
      <c r="D185" s="174"/>
      <c r="E185" s="61">
        <v>1</v>
      </c>
      <c r="F185" s="38" t="s">
        <v>194</v>
      </c>
      <c r="AJ185" t="str">
        <f>TRIM(MID(SUBSTITUTE($F185, ",", REPT(" ", 100)), (COLUMNS($AH$2:AJ185)-1)*100+1, 100))</f>
        <v/>
      </c>
      <c r="AK185" t="str">
        <f>TRIM(MID(SUBSTITUTE($F185, ",", REPT(" ", 100)), (COLUMNS($AH$2:AK185)-1)*100+1, 100))</f>
        <v/>
      </c>
      <c r="AL185" t="str">
        <f>TRIM(MID(SUBSTITUTE($F185, ",", REPT(" ", 100)), (COLUMNS($AH$2:AL185)-1)*100+1, 100))</f>
        <v/>
      </c>
      <c r="AM185" t="str">
        <f>TRIM(MID(SUBSTITUTE($F185, ",", REPT(" ", 100)), (COLUMNS($AH$2:AM185)-1)*100+1, 100))</f>
        <v/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60"/>
      <c r="D186" s="174"/>
      <c r="E186" s="61">
        <v>1</v>
      </c>
      <c r="F186" s="38" t="s">
        <v>301</v>
      </c>
      <c r="AJ186" t="str">
        <f>TRIM(MID(SUBSTITUTE($F186, ",", REPT(" ", 100)), (COLUMNS($AH$2:AJ186)-1)*100+1, 100))</f>
        <v/>
      </c>
      <c r="AK186" t="str">
        <f>TRIM(MID(SUBSTITUTE($F186, ",", REPT(" ", 100)), (COLUMNS($AH$2:AK186)-1)*100+1, 100))</f>
        <v/>
      </c>
      <c r="AL186" t="str">
        <f>TRIM(MID(SUBSTITUTE($F186, ",", REPT(" ", 100)), (COLUMNS($AH$2:AL186)-1)*100+1, 100))</f>
        <v/>
      </c>
      <c r="AM186" t="str">
        <f>TRIM(MID(SUBSTITUTE($F186, ",", REPT(" ", 100)), (COLUMNS($AH$2:AM186)-1)*100+1, 100))</f>
        <v/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60"/>
      <c r="D187" s="174"/>
      <c r="E187" s="61">
        <v>1</v>
      </c>
      <c r="F187" s="38" t="s">
        <v>302</v>
      </c>
      <c r="AJ187" t="str">
        <f>TRIM(MID(SUBSTITUTE($F187, ",", REPT(" ", 100)), (COLUMNS($AH$2:AJ187)-1)*100+1, 100))</f>
        <v>Meerut</v>
      </c>
      <c r="AK187" t="str">
        <f>TRIM(MID(SUBSTITUTE($F187, ",", REPT(" ", 100)), (COLUMNS($AH$2:AK187)-1)*100+1, 100))</f>
        <v/>
      </c>
      <c r="AL187" t="str">
        <f>TRIM(MID(SUBSTITUTE($F187, ",", REPT(" ", 100)), (COLUMNS($AH$2:AL187)-1)*100+1, 100))</f>
        <v/>
      </c>
      <c r="AM187" t="str">
        <f>TRIM(MID(SUBSTITUTE($F187, ",", REPT(" ", 100)), (COLUMNS($AH$2:AM187)-1)*100+1, 100))</f>
        <v/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60"/>
      <c r="D188" s="174"/>
      <c r="E188" s="61">
        <v>0</v>
      </c>
      <c r="F188" s="38" t="s">
        <v>194</v>
      </c>
      <c r="AJ188" t="str">
        <f>TRIM(MID(SUBSTITUTE($F188, ",", REPT(" ", 100)), (COLUMNS($AH$2:AJ188)-1)*100+1, 100))</f>
        <v/>
      </c>
      <c r="AK188" t="str">
        <f>TRIM(MID(SUBSTITUTE($F188, ",", REPT(" ", 100)), (COLUMNS($AH$2:AK188)-1)*100+1, 100))</f>
        <v/>
      </c>
      <c r="AL188" t="str">
        <f>TRIM(MID(SUBSTITUTE($F188, ",", REPT(" ", 100)), (COLUMNS($AH$2:AL188)-1)*100+1, 100))</f>
        <v/>
      </c>
      <c r="AM188" t="str">
        <f>TRIM(MID(SUBSTITUTE($F188, ",", REPT(" ", 100)), (COLUMNS($AH$2:AM188)-1)*100+1, 100))</f>
        <v/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60"/>
      <c r="D189" s="174"/>
      <c r="E189" s="61">
        <v>0</v>
      </c>
      <c r="F189" s="38" t="s">
        <v>194</v>
      </c>
      <c r="AJ189" t="str">
        <f>TRIM(MID(SUBSTITUTE($F189, ",", REPT(" ", 100)), (COLUMNS($AH$2:AJ189)-1)*100+1, 100))</f>
        <v/>
      </c>
      <c r="AK189" t="str">
        <f>TRIM(MID(SUBSTITUTE($F189, ",", REPT(" ", 100)), (COLUMNS($AH$2:AK189)-1)*100+1, 100))</f>
        <v/>
      </c>
      <c r="AL189" t="str">
        <f>TRIM(MID(SUBSTITUTE($F189, ",", REPT(" ", 100)), (COLUMNS($AH$2:AL189)-1)*100+1, 100))</f>
        <v/>
      </c>
      <c r="AM189" t="str">
        <f>TRIM(MID(SUBSTITUTE($F189, ",", REPT(" ", 100)), (COLUMNS($AH$2:AM189)-1)*100+1, 100))</f>
        <v/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60"/>
      <c r="D190" s="174"/>
      <c r="E190" s="61">
        <v>0</v>
      </c>
      <c r="F190" s="38" t="s">
        <v>194</v>
      </c>
      <c r="AJ190" t="str">
        <f>TRIM(MID(SUBSTITUTE($F190, ",", REPT(" ", 100)), (COLUMNS($AH$2:AJ190)-1)*100+1, 100))</f>
        <v/>
      </c>
      <c r="AK190" t="str">
        <f>TRIM(MID(SUBSTITUTE($F190, ",", REPT(" ", 100)), (COLUMNS($AH$2:AK190)-1)*100+1, 100))</f>
        <v/>
      </c>
      <c r="AL190" t="str">
        <f>TRIM(MID(SUBSTITUTE($F190, ",", REPT(" ", 100)), (COLUMNS($AH$2:AL190)-1)*100+1, 100))</f>
        <v/>
      </c>
      <c r="AM190" t="str">
        <f>TRIM(MID(SUBSTITUTE($F190, ",", REPT(" ", 100)), (COLUMNS($AH$2:AM190)-1)*100+1, 100))</f>
        <v/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60"/>
      <c r="D191" s="174"/>
      <c r="E191" s="61">
        <v>1</v>
      </c>
      <c r="F191" s="38" t="s">
        <v>194</v>
      </c>
      <c r="AJ191" t="str">
        <f>TRIM(MID(SUBSTITUTE($F191, ",", REPT(" ", 100)), (COLUMNS($AH$2:AJ191)-1)*100+1, 100))</f>
        <v/>
      </c>
      <c r="AK191" t="str">
        <f>TRIM(MID(SUBSTITUTE($F191, ",", REPT(" ", 100)), (COLUMNS($AH$2:AK191)-1)*100+1, 100))</f>
        <v/>
      </c>
      <c r="AL191" t="str">
        <f>TRIM(MID(SUBSTITUTE($F191, ",", REPT(" ", 100)), (COLUMNS($AH$2:AL191)-1)*100+1, 100))</f>
        <v/>
      </c>
      <c r="AM191" t="str">
        <f>TRIM(MID(SUBSTITUTE($F191, ",", REPT(" ", 100)), (COLUMNS($AH$2:AM191)-1)*100+1, 100))</f>
        <v/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60"/>
      <c r="D192" s="174"/>
      <c r="E192" s="61">
        <v>1</v>
      </c>
      <c r="F192" s="38" t="s">
        <v>194</v>
      </c>
      <c r="AJ192" t="str">
        <f>TRIM(MID(SUBSTITUTE($F192, ",", REPT(" ", 100)), (COLUMNS($AH$2:AJ192)-1)*100+1, 100))</f>
        <v/>
      </c>
      <c r="AK192" t="str">
        <f>TRIM(MID(SUBSTITUTE($F192, ",", REPT(" ", 100)), (COLUMNS($AH$2:AK192)-1)*100+1, 100))</f>
        <v/>
      </c>
      <c r="AL192" t="str">
        <f>TRIM(MID(SUBSTITUTE($F192, ",", REPT(" ", 100)), (COLUMNS($AH$2:AL192)-1)*100+1, 100))</f>
        <v/>
      </c>
      <c r="AM192" t="str">
        <f>TRIM(MID(SUBSTITUTE($F192, ",", REPT(" ", 100)), (COLUMNS($AH$2:AM192)-1)*100+1, 100))</f>
        <v/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60"/>
      <c r="D193" s="174"/>
      <c r="E193" s="61">
        <v>1</v>
      </c>
      <c r="F193" s="38" t="s">
        <v>194</v>
      </c>
      <c r="AJ193" t="str">
        <f>TRIM(MID(SUBSTITUTE($F193, ",", REPT(" ", 100)), (COLUMNS($AH$2:AJ193)-1)*100+1, 100))</f>
        <v/>
      </c>
      <c r="AK193" t="str">
        <f>TRIM(MID(SUBSTITUTE($F193, ",", REPT(" ", 100)), (COLUMNS($AH$2:AK193)-1)*100+1, 100))</f>
        <v/>
      </c>
      <c r="AL193" t="str">
        <f>TRIM(MID(SUBSTITUTE($F193, ",", REPT(" ", 100)), (COLUMNS($AH$2:AL193)-1)*100+1, 100))</f>
        <v/>
      </c>
      <c r="AM193" t="str">
        <f>TRIM(MID(SUBSTITUTE($F193, ",", REPT(" ", 100)), (COLUMNS($AH$2:AM193)-1)*100+1, 100))</f>
        <v/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60"/>
      <c r="D194" s="174"/>
      <c r="E194" s="61">
        <v>1</v>
      </c>
      <c r="F194" s="38" t="s">
        <v>194</v>
      </c>
      <c r="AJ194" t="str">
        <f>TRIM(MID(SUBSTITUTE($F194, ",", REPT(" ", 100)), (COLUMNS($AH$2:AJ194)-1)*100+1, 100))</f>
        <v/>
      </c>
      <c r="AK194" t="str">
        <f>TRIM(MID(SUBSTITUTE($F194, ",", REPT(" ", 100)), (COLUMNS($AH$2:AK194)-1)*100+1, 100))</f>
        <v/>
      </c>
      <c r="AL194" t="str">
        <f>TRIM(MID(SUBSTITUTE($F194, ",", REPT(" ", 100)), (COLUMNS($AH$2:AL194)-1)*100+1, 100))</f>
        <v/>
      </c>
      <c r="AM194" t="str">
        <f>TRIM(MID(SUBSTITUTE($F194, ",", REPT(" ", 100)), (COLUMNS($AH$2:AM194)-1)*100+1, 100))</f>
        <v/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60"/>
      <c r="D195" s="174"/>
      <c r="E195" s="61">
        <v>0</v>
      </c>
      <c r="F195" s="38" t="s">
        <v>194</v>
      </c>
      <c r="AJ195" t="str">
        <f>TRIM(MID(SUBSTITUTE($F195, ",", REPT(" ", 100)), (COLUMNS($AH$2:AJ195)-1)*100+1, 100))</f>
        <v/>
      </c>
      <c r="AK195" t="str">
        <f>TRIM(MID(SUBSTITUTE($F195, ",", REPT(" ", 100)), (COLUMNS($AH$2:AK195)-1)*100+1, 100))</f>
        <v/>
      </c>
      <c r="AL195" t="str">
        <f>TRIM(MID(SUBSTITUTE($F195, ",", REPT(" ", 100)), (COLUMNS($AH$2:AL195)-1)*100+1, 100))</f>
        <v/>
      </c>
      <c r="AM195" t="str">
        <f>TRIM(MID(SUBSTITUTE($F195, ",", REPT(" ", 100)), (COLUMNS($AH$2:AM195)-1)*100+1, 100))</f>
        <v/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60"/>
      <c r="D196" s="174"/>
      <c r="E196" s="61">
        <v>1</v>
      </c>
      <c r="F196" s="38" t="s">
        <v>194</v>
      </c>
      <c r="AJ196" t="str">
        <f>TRIM(MID(SUBSTITUTE($F196, ",", REPT(" ", 100)), (COLUMNS($AH$2:AJ196)-1)*100+1, 100))</f>
        <v/>
      </c>
      <c r="AK196" t="str">
        <f>TRIM(MID(SUBSTITUTE($F196, ",", REPT(" ", 100)), (COLUMNS($AH$2:AK196)-1)*100+1, 100))</f>
        <v/>
      </c>
      <c r="AL196" t="str">
        <f>TRIM(MID(SUBSTITUTE($F196, ",", REPT(" ", 100)), (COLUMNS($AH$2:AL196)-1)*100+1, 100))</f>
        <v/>
      </c>
      <c r="AM196" t="str">
        <f>TRIM(MID(SUBSTITUTE($F196, ",", REPT(" ", 100)), (COLUMNS($AH$2:AM196)-1)*100+1, 100))</f>
        <v/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60"/>
      <c r="D197" s="174"/>
      <c r="E197" s="61">
        <v>1</v>
      </c>
      <c r="F197" s="38" t="s">
        <v>194</v>
      </c>
      <c r="AJ197" t="str">
        <f>TRIM(MID(SUBSTITUTE($F197, ",", REPT(" ", 100)), (COLUMNS($AH$2:AJ197)-1)*100+1, 100))</f>
        <v/>
      </c>
      <c r="AK197" t="str">
        <f>TRIM(MID(SUBSTITUTE($F197, ",", REPT(" ", 100)), (COLUMNS($AH$2:AK197)-1)*100+1, 100))</f>
        <v/>
      </c>
      <c r="AL197" t="str">
        <f>TRIM(MID(SUBSTITUTE($F197, ",", REPT(" ", 100)), (COLUMNS($AH$2:AL197)-1)*100+1, 100))</f>
        <v/>
      </c>
      <c r="AM197" t="str">
        <f>TRIM(MID(SUBSTITUTE($F197, ",", REPT(" ", 100)), (COLUMNS($AH$2:AM197)-1)*100+1, 100))</f>
        <v/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60"/>
      <c r="D198" s="174"/>
      <c r="E198" s="61">
        <v>0</v>
      </c>
      <c r="F198" s="38" t="s">
        <v>194</v>
      </c>
      <c r="AJ198" t="str">
        <f>TRIM(MID(SUBSTITUTE($F198, ",", REPT(" ", 100)), (COLUMNS($AH$2:AJ198)-1)*100+1, 100))</f>
        <v/>
      </c>
      <c r="AK198" t="str">
        <f>TRIM(MID(SUBSTITUTE($F198, ",", REPT(" ", 100)), (COLUMNS($AH$2:AK198)-1)*100+1, 100))</f>
        <v/>
      </c>
      <c r="AL198" t="str">
        <f>TRIM(MID(SUBSTITUTE($F198, ",", REPT(" ", 100)), (COLUMNS($AH$2:AL198)-1)*100+1, 100))</f>
        <v/>
      </c>
      <c r="AM198" t="str">
        <f>TRIM(MID(SUBSTITUTE($F198, ",", REPT(" ", 100)), (COLUMNS($AH$2:AM198)-1)*100+1, 100))</f>
        <v/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60"/>
      <c r="D199" s="174"/>
      <c r="E199" s="61">
        <v>0</v>
      </c>
      <c r="F199" s="38" t="s">
        <v>194</v>
      </c>
      <c r="AJ199" t="str">
        <f>TRIM(MID(SUBSTITUTE($F199, ",", REPT(" ", 100)), (COLUMNS($AH$2:AJ199)-1)*100+1, 100))</f>
        <v/>
      </c>
      <c r="AK199" t="str">
        <f>TRIM(MID(SUBSTITUTE($F199, ",", REPT(" ", 100)), (COLUMNS($AH$2:AK199)-1)*100+1, 100))</f>
        <v/>
      </c>
      <c r="AL199" t="str">
        <f>TRIM(MID(SUBSTITUTE($F199, ",", REPT(" ", 100)), (COLUMNS($AH$2:AL199)-1)*100+1, 100))</f>
        <v/>
      </c>
      <c r="AM199" t="str">
        <f>TRIM(MID(SUBSTITUTE($F199, ",", REPT(" ", 100)), (COLUMNS($AH$2:AM199)-1)*100+1, 100))</f>
        <v/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60"/>
      <c r="D200" s="174"/>
      <c r="E200" s="61">
        <v>1</v>
      </c>
      <c r="F200" s="38" t="s">
        <v>194</v>
      </c>
      <c r="AJ200" t="str">
        <f>TRIM(MID(SUBSTITUTE($F200, ",", REPT(" ", 100)), (COLUMNS($AH$2:AJ200)-1)*100+1, 100))</f>
        <v/>
      </c>
      <c r="AK200" t="str">
        <f>TRIM(MID(SUBSTITUTE($F200, ",", REPT(" ", 100)), (COLUMNS($AH$2:AK200)-1)*100+1, 100))</f>
        <v/>
      </c>
      <c r="AL200" t="str">
        <f>TRIM(MID(SUBSTITUTE($F200, ",", REPT(" ", 100)), (COLUMNS($AH$2:AL200)-1)*100+1, 100))</f>
        <v/>
      </c>
      <c r="AM200" t="str">
        <f>TRIM(MID(SUBSTITUTE($F200, ",", REPT(" ", 100)), (COLUMNS($AH$2:AM200)-1)*100+1, 100))</f>
        <v/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60"/>
      <c r="D201" s="174"/>
      <c r="E201" s="61">
        <v>1</v>
      </c>
      <c r="F201" s="38" t="s">
        <v>194</v>
      </c>
      <c r="AJ201" t="str">
        <f>TRIM(MID(SUBSTITUTE($F201, ",", REPT(" ", 100)), (COLUMNS($AH$2:AJ201)-1)*100+1, 100))</f>
        <v/>
      </c>
      <c r="AK201" t="str">
        <f>TRIM(MID(SUBSTITUTE($F201, ",", REPT(" ", 100)), (COLUMNS($AH$2:AK201)-1)*100+1, 100))</f>
        <v/>
      </c>
      <c r="AL201" t="str">
        <f>TRIM(MID(SUBSTITUTE($F201, ",", REPT(" ", 100)), (COLUMNS($AH$2:AL201)-1)*100+1, 100))</f>
        <v/>
      </c>
      <c r="AM201" t="str">
        <f>TRIM(MID(SUBSTITUTE($F201, ",", REPT(" ", 100)), (COLUMNS($AH$2:AM201)-1)*100+1, 100))</f>
        <v/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60"/>
      <c r="D202" s="174"/>
      <c r="E202" s="61">
        <v>0</v>
      </c>
      <c r="F202" s="38" t="s">
        <v>194</v>
      </c>
      <c r="AJ202" t="str">
        <f>TRIM(MID(SUBSTITUTE($F202, ",", REPT(" ", 100)), (COLUMNS($AH$2:AJ202)-1)*100+1, 100))</f>
        <v/>
      </c>
      <c r="AK202" t="str">
        <f>TRIM(MID(SUBSTITUTE($F202, ",", REPT(" ", 100)), (COLUMNS($AH$2:AK202)-1)*100+1, 100))</f>
        <v/>
      </c>
      <c r="AL202" t="str">
        <f>TRIM(MID(SUBSTITUTE($F202, ",", REPT(" ", 100)), (COLUMNS($AH$2:AL202)-1)*100+1, 100))</f>
        <v/>
      </c>
      <c r="AM202" t="str">
        <f>TRIM(MID(SUBSTITUTE($F202, ",", REPT(" ", 100)), (COLUMNS($AH$2:AM202)-1)*100+1, 100))</f>
        <v/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60"/>
      <c r="D203" s="174"/>
      <c r="E203" s="61">
        <v>1</v>
      </c>
      <c r="F203" s="38" t="s">
        <v>194</v>
      </c>
      <c r="AJ203" t="str">
        <f>TRIM(MID(SUBSTITUTE($F203, ",", REPT(" ", 100)), (COLUMNS($AH$2:AJ203)-1)*100+1, 100))</f>
        <v/>
      </c>
      <c r="AK203" t="str">
        <f>TRIM(MID(SUBSTITUTE($F203, ",", REPT(" ", 100)), (COLUMNS($AH$2:AK203)-1)*100+1, 100))</f>
        <v/>
      </c>
      <c r="AL203" t="str">
        <f>TRIM(MID(SUBSTITUTE($F203, ",", REPT(" ", 100)), (COLUMNS($AH$2:AL203)-1)*100+1, 100))</f>
        <v/>
      </c>
      <c r="AM203" t="str">
        <f>TRIM(MID(SUBSTITUTE($F203, ",", REPT(" ", 100)), (COLUMNS($AH$2:AM203)-1)*100+1, 100))</f>
        <v/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60"/>
      <c r="D204" s="174"/>
      <c r="E204" s="61">
        <v>1</v>
      </c>
      <c r="F204" s="38" t="s">
        <v>194</v>
      </c>
      <c r="AJ204" t="str">
        <f>TRIM(MID(SUBSTITUTE($F204, ",", REPT(" ", 100)), (COLUMNS($AH$2:AJ204)-1)*100+1, 100))</f>
        <v/>
      </c>
      <c r="AK204" t="str">
        <f>TRIM(MID(SUBSTITUTE($F204, ",", REPT(" ", 100)), (COLUMNS($AH$2:AK204)-1)*100+1, 100))</f>
        <v/>
      </c>
      <c r="AL204" t="str">
        <f>TRIM(MID(SUBSTITUTE($F204, ",", REPT(" ", 100)), (COLUMNS($AH$2:AL204)-1)*100+1, 100))</f>
        <v/>
      </c>
      <c r="AM204" t="str">
        <f>TRIM(MID(SUBSTITUTE($F204, ",", REPT(" ", 100)), (COLUMNS($AH$2:AM204)-1)*100+1, 100))</f>
        <v/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60"/>
      <c r="D205" s="174"/>
      <c r="E205" s="61">
        <v>0</v>
      </c>
      <c r="F205" s="38" t="s">
        <v>194</v>
      </c>
      <c r="AJ205" t="str">
        <f>TRIM(MID(SUBSTITUTE($F205, ",", REPT(" ", 100)), (COLUMNS($AH$2:AJ205)-1)*100+1, 100))</f>
        <v/>
      </c>
      <c r="AK205" t="str">
        <f>TRIM(MID(SUBSTITUTE($F205, ",", REPT(" ", 100)), (COLUMNS($AH$2:AK205)-1)*100+1, 100))</f>
        <v/>
      </c>
      <c r="AL205" t="str">
        <f>TRIM(MID(SUBSTITUTE($F205, ",", REPT(" ", 100)), (COLUMNS($AH$2:AL205)-1)*100+1, 100))</f>
        <v/>
      </c>
      <c r="AM205" t="str">
        <f>TRIM(MID(SUBSTITUTE($F205, ",", REPT(" ", 100)), (COLUMNS($AH$2:AM205)-1)*100+1, 100))</f>
        <v/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60"/>
      <c r="D206" s="174"/>
      <c r="E206" s="61">
        <v>0</v>
      </c>
      <c r="F206" s="38" t="s">
        <v>194</v>
      </c>
      <c r="AJ206" t="str">
        <f>TRIM(MID(SUBSTITUTE($F206, ",", REPT(" ", 100)), (COLUMNS($AH$2:AJ206)-1)*100+1, 100))</f>
        <v/>
      </c>
      <c r="AK206" t="str">
        <f>TRIM(MID(SUBSTITUTE($F206, ",", REPT(" ", 100)), (COLUMNS($AH$2:AK206)-1)*100+1, 100))</f>
        <v/>
      </c>
      <c r="AL206" t="str">
        <f>TRIM(MID(SUBSTITUTE($F206, ",", REPT(" ", 100)), (COLUMNS($AH$2:AL206)-1)*100+1, 100))</f>
        <v/>
      </c>
      <c r="AM206" t="str">
        <f>TRIM(MID(SUBSTITUTE($F206, ",", REPT(" ", 100)), (COLUMNS($AH$2:AM206)-1)*100+1, 100))</f>
        <v/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60"/>
      <c r="D207" s="174"/>
      <c r="E207" s="61">
        <v>0</v>
      </c>
      <c r="F207" s="38" t="s">
        <v>194</v>
      </c>
      <c r="AJ207" t="str">
        <f>TRIM(MID(SUBSTITUTE($F207, ",", REPT(" ", 100)), (COLUMNS($AH$2:AJ207)-1)*100+1, 100))</f>
        <v/>
      </c>
      <c r="AK207" t="str">
        <f>TRIM(MID(SUBSTITUTE($F207, ",", REPT(" ", 100)), (COLUMNS($AH$2:AK207)-1)*100+1, 100))</f>
        <v/>
      </c>
      <c r="AL207" t="str">
        <f>TRIM(MID(SUBSTITUTE($F207, ",", REPT(" ", 100)), (COLUMNS($AH$2:AL207)-1)*100+1, 100))</f>
        <v/>
      </c>
      <c r="AM207" t="str">
        <f>TRIM(MID(SUBSTITUTE($F207, ",", REPT(" ", 100)), (COLUMNS($AH$2:AM207)-1)*100+1, 100))</f>
        <v/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60"/>
      <c r="D208" s="174"/>
      <c r="E208" s="61">
        <v>1</v>
      </c>
      <c r="F208" s="38" t="s">
        <v>194</v>
      </c>
      <c r="AJ208" t="str">
        <f>TRIM(MID(SUBSTITUTE($F208, ",", REPT(" ", 100)), (COLUMNS($AH$2:AJ208)-1)*100+1, 100))</f>
        <v/>
      </c>
      <c r="AK208" t="str">
        <f>TRIM(MID(SUBSTITUTE($F208, ",", REPT(" ", 100)), (COLUMNS($AH$2:AK208)-1)*100+1, 100))</f>
        <v/>
      </c>
      <c r="AL208" t="str">
        <f>TRIM(MID(SUBSTITUTE($F208, ",", REPT(" ", 100)), (COLUMNS($AH$2:AL208)-1)*100+1, 100))</f>
        <v/>
      </c>
      <c r="AM208" t="str">
        <f>TRIM(MID(SUBSTITUTE($F208, ",", REPT(" ", 100)), (COLUMNS($AH$2:AM208)-1)*100+1, 100))</f>
        <v/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60"/>
      <c r="D209" s="174"/>
      <c r="E209" s="61">
        <v>0</v>
      </c>
      <c r="F209" s="38" t="s">
        <v>282</v>
      </c>
      <c r="AJ209" t="str">
        <f>TRIM(MID(SUBSTITUTE($F209, ",", REPT(" ", 100)), (COLUMNS($AH$2:AJ209)-1)*100+1, 100))</f>
        <v/>
      </c>
      <c r="AK209" t="str">
        <f>TRIM(MID(SUBSTITUTE($F209, ",", REPT(" ", 100)), (COLUMNS($AH$2:AK209)-1)*100+1, 100))</f>
        <v/>
      </c>
      <c r="AL209" t="str">
        <f>TRIM(MID(SUBSTITUTE($F209, ",", REPT(" ", 100)), (COLUMNS($AH$2:AL209)-1)*100+1, 100))</f>
        <v/>
      </c>
      <c r="AM209" t="str">
        <f>TRIM(MID(SUBSTITUTE($F209, ",", REPT(" ", 100)), (COLUMNS($AH$2:AM209)-1)*100+1, 100))</f>
        <v/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60"/>
      <c r="D210" s="174"/>
      <c r="E210" s="61">
        <v>0</v>
      </c>
      <c r="F210" s="38" t="s">
        <v>194</v>
      </c>
      <c r="AJ210" t="str">
        <f>TRIM(MID(SUBSTITUTE($F210, ",", REPT(" ", 100)), (COLUMNS($AH$2:AJ210)-1)*100+1, 100))</f>
        <v/>
      </c>
      <c r="AK210" t="str">
        <f>TRIM(MID(SUBSTITUTE($F210, ",", REPT(" ", 100)), (COLUMNS($AH$2:AK210)-1)*100+1, 100))</f>
        <v/>
      </c>
      <c r="AL210" t="str">
        <f>TRIM(MID(SUBSTITUTE($F210, ",", REPT(" ", 100)), (COLUMNS($AH$2:AL210)-1)*100+1, 100))</f>
        <v/>
      </c>
      <c r="AM210" t="str">
        <f>TRIM(MID(SUBSTITUTE($F210, ",", REPT(" ", 100)), (COLUMNS($AH$2:AM210)-1)*100+1, 100))</f>
        <v/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60"/>
      <c r="D211" s="174"/>
      <c r="E211" s="61">
        <v>0</v>
      </c>
      <c r="F211" s="38" t="s">
        <v>194</v>
      </c>
      <c r="AJ211" t="str">
        <f>TRIM(MID(SUBSTITUTE($F211, ",", REPT(" ", 100)), (COLUMNS($AH$2:AJ211)-1)*100+1, 100))</f>
        <v/>
      </c>
      <c r="AK211" t="str">
        <f>TRIM(MID(SUBSTITUTE($F211, ",", REPT(" ", 100)), (COLUMNS($AH$2:AK211)-1)*100+1, 100))</f>
        <v/>
      </c>
      <c r="AL211" t="str">
        <f>TRIM(MID(SUBSTITUTE($F211, ",", REPT(" ", 100)), (COLUMNS($AH$2:AL211)-1)*100+1, 100))</f>
        <v/>
      </c>
      <c r="AM211" t="str">
        <f>TRIM(MID(SUBSTITUTE($F211, ",", REPT(" ", 100)), (COLUMNS($AH$2:AM211)-1)*100+1, 100))</f>
        <v/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60"/>
      <c r="D212" s="174"/>
      <c r="E212" s="61">
        <v>0</v>
      </c>
      <c r="F212" s="38" t="s">
        <v>194</v>
      </c>
      <c r="AJ212" t="str">
        <f>TRIM(MID(SUBSTITUTE($F212, ",", REPT(" ", 100)), (COLUMNS($AH$2:AJ212)-1)*100+1, 100))</f>
        <v/>
      </c>
      <c r="AK212" t="str">
        <f>TRIM(MID(SUBSTITUTE($F212, ",", REPT(" ", 100)), (COLUMNS($AH$2:AK212)-1)*100+1, 100))</f>
        <v/>
      </c>
      <c r="AL212" t="str">
        <f>TRIM(MID(SUBSTITUTE($F212, ",", REPT(" ", 100)), (COLUMNS($AH$2:AL212)-1)*100+1, 100))</f>
        <v/>
      </c>
      <c r="AM212" t="str">
        <f>TRIM(MID(SUBSTITUTE($F212, ",", REPT(" ", 100)), (COLUMNS($AH$2:AM212)-1)*100+1, 100))</f>
        <v/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60"/>
      <c r="D213" s="174"/>
      <c r="E213" s="61">
        <v>1</v>
      </c>
      <c r="F213" s="38" t="s">
        <v>195</v>
      </c>
      <c r="G213" s="38" t="s">
        <v>348</v>
      </c>
      <c r="AJ213" t="str">
        <f>TRIM(MID(SUBSTITUTE($F213, ",", REPT(" ", 100)), (COLUMNS($AH$2:AJ213)-1)*100+1, 100))</f>
        <v/>
      </c>
      <c r="AK213" t="str">
        <f>TRIM(MID(SUBSTITUTE($F213, ",", REPT(" ", 100)), (COLUMNS($AH$2:AK213)-1)*100+1, 100))</f>
        <v/>
      </c>
      <c r="AL213" t="str">
        <f>TRIM(MID(SUBSTITUTE($F213, ",", REPT(" ", 100)), (COLUMNS($AH$2:AL213)-1)*100+1, 100))</f>
        <v/>
      </c>
      <c r="AM213" t="str">
        <f>TRIM(MID(SUBSTITUTE($F213, ",", REPT(" ", 100)), (COLUMNS($AH$2:AM213)-1)*100+1, 100))</f>
        <v/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60">
        <f>AVERAGE(B214:B244)</f>
        <v>4.5548387096774192</v>
      </c>
      <c r="D214" s="174"/>
      <c r="E214" s="61">
        <v>1</v>
      </c>
      <c r="F214" s="38" t="s">
        <v>194</v>
      </c>
      <c r="AJ214" t="str">
        <f>TRIM(MID(SUBSTITUTE($F214, ",", REPT(" ", 100)), (COLUMNS($AH$2:AJ214)-1)*100+1, 100))</f>
        <v/>
      </c>
      <c r="AK214" t="str">
        <f>TRIM(MID(SUBSTITUTE($F214, ",", REPT(" ", 100)), (COLUMNS($AH$2:AK214)-1)*100+1, 100))</f>
        <v/>
      </c>
      <c r="AL214" t="str">
        <f>TRIM(MID(SUBSTITUTE($F214, ",", REPT(" ", 100)), (COLUMNS($AH$2:AL214)-1)*100+1, 100))</f>
        <v/>
      </c>
      <c r="AM214" t="str">
        <f>TRIM(MID(SUBSTITUTE($F214, ",", REPT(" ", 100)), (COLUMNS($AH$2:AM214)-1)*100+1, 100))</f>
        <v/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60"/>
      <c r="D215" s="174"/>
      <c r="E215" s="61">
        <v>1</v>
      </c>
      <c r="F215" s="38" t="s">
        <v>345</v>
      </c>
      <c r="G215" s="38" t="s">
        <v>123</v>
      </c>
      <c r="AJ215" t="str">
        <f>TRIM(MID(SUBSTITUTE($F215, ",", REPT(" ", 100)), (COLUMNS($AH$2:AJ215)-1)*100+1, 100))</f>
        <v>Kochi</v>
      </c>
      <c r="AK215" t="str">
        <f>TRIM(MID(SUBSTITUTE($F215, ",", REPT(" ", 100)), (COLUMNS($AH$2:AK215)-1)*100+1, 100))</f>
        <v>Kottayam</v>
      </c>
      <c r="AL215" t="str">
        <f>TRIM(MID(SUBSTITUTE($F215, ",", REPT(" ", 100)), (COLUMNS($AH$2:AL215)-1)*100+1, 100))</f>
        <v/>
      </c>
      <c r="AM215" t="str">
        <f>TRIM(MID(SUBSTITUTE($F215, ",", REPT(" ", 100)), (COLUMNS($AH$2:AM215)-1)*100+1, 100))</f>
        <v/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60"/>
      <c r="D216" s="174"/>
      <c r="E216" s="61">
        <v>1</v>
      </c>
      <c r="F216" s="38" t="s">
        <v>176</v>
      </c>
      <c r="AJ216" t="str">
        <f>TRIM(MID(SUBSTITUTE($F216, ",", REPT(" ", 100)), (COLUMNS($AH$2:AJ216)-1)*100+1, 100))</f>
        <v/>
      </c>
      <c r="AK216" t="str">
        <f>TRIM(MID(SUBSTITUTE($F216, ",", REPT(" ", 100)), (COLUMNS($AH$2:AK216)-1)*100+1, 100))</f>
        <v/>
      </c>
      <c r="AL216" t="str">
        <f>TRIM(MID(SUBSTITUTE($F216, ",", REPT(" ", 100)), (COLUMNS($AH$2:AL216)-1)*100+1, 100))</f>
        <v/>
      </c>
      <c r="AM216" t="str">
        <f>TRIM(MID(SUBSTITUTE($F216, ",", REPT(" ", 100)), (COLUMNS($AH$2:AM216)-1)*100+1, 100))</f>
        <v/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60"/>
      <c r="D217" s="174"/>
      <c r="E217" s="61">
        <v>1</v>
      </c>
      <c r="F217" s="38" t="s">
        <v>176</v>
      </c>
      <c r="AJ217" t="str">
        <f>TRIM(MID(SUBSTITUTE($F217, ",", REPT(" ", 100)), (COLUMNS($AH$2:AJ217)-1)*100+1, 100))</f>
        <v/>
      </c>
      <c r="AK217" t="str">
        <f>TRIM(MID(SUBSTITUTE($F217, ",", REPT(" ", 100)), (COLUMNS($AH$2:AK217)-1)*100+1, 100))</f>
        <v/>
      </c>
      <c r="AL217" t="str">
        <f>TRIM(MID(SUBSTITUTE($F217, ",", REPT(" ", 100)), (COLUMNS($AH$2:AL217)-1)*100+1, 100))</f>
        <v/>
      </c>
      <c r="AM217" t="str">
        <f>TRIM(MID(SUBSTITUTE($F217, ",", REPT(" ", 100)), (COLUMNS($AH$2:AM217)-1)*100+1, 100))</f>
        <v/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60"/>
      <c r="D218" s="174"/>
      <c r="E218" s="61">
        <v>1</v>
      </c>
      <c r="F218" s="38" t="s">
        <v>176</v>
      </c>
      <c r="AJ218" t="str">
        <f>TRIM(MID(SUBSTITUTE($F218, ",", REPT(" ", 100)), (COLUMNS($AH$2:AJ218)-1)*100+1, 100))</f>
        <v/>
      </c>
      <c r="AK218" t="str">
        <f>TRIM(MID(SUBSTITUTE($F218, ",", REPT(" ", 100)), (COLUMNS($AH$2:AK218)-1)*100+1, 100))</f>
        <v/>
      </c>
      <c r="AL218" t="str">
        <f>TRIM(MID(SUBSTITUTE($F218, ",", REPT(" ", 100)), (COLUMNS($AH$2:AL218)-1)*100+1, 100))</f>
        <v/>
      </c>
      <c r="AM218" t="str">
        <f>TRIM(MID(SUBSTITUTE($F218, ",", REPT(" ", 100)), (COLUMNS($AH$2:AM218)-1)*100+1, 100))</f>
        <v/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60"/>
      <c r="D219" s="174"/>
      <c r="E219" s="61">
        <v>1</v>
      </c>
      <c r="F219" s="38" t="s">
        <v>176</v>
      </c>
      <c r="AJ219" t="str">
        <f>TRIM(MID(SUBSTITUTE($F219, ",", REPT(" ", 100)), (COLUMNS($AH$2:AJ219)-1)*100+1, 100))</f>
        <v/>
      </c>
      <c r="AK219" t="str">
        <f>TRIM(MID(SUBSTITUTE($F219, ",", REPT(" ", 100)), (COLUMNS($AH$2:AK219)-1)*100+1, 100))</f>
        <v/>
      </c>
      <c r="AL219" t="str">
        <f>TRIM(MID(SUBSTITUTE($F219, ",", REPT(" ", 100)), (COLUMNS($AH$2:AL219)-1)*100+1, 100))</f>
        <v/>
      </c>
      <c r="AM219" t="str">
        <f>TRIM(MID(SUBSTITUTE($F219, ",", REPT(" ", 100)), (COLUMNS($AH$2:AM219)-1)*100+1, 100))</f>
        <v/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60"/>
      <c r="D220" s="174"/>
      <c r="E220" s="61">
        <v>1</v>
      </c>
      <c r="F220" s="38" t="s">
        <v>176</v>
      </c>
      <c r="AJ220" t="str">
        <f>TRIM(MID(SUBSTITUTE($F220, ",", REPT(" ", 100)), (COLUMNS($AH$2:AJ220)-1)*100+1, 100))</f>
        <v/>
      </c>
      <c r="AK220" t="str">
        <f>TRIM(MID(SUBSTITUTE($F220, ",", REPT(" ", 100)), (COLUMNS($AH$2:AK220)-1)*100+1, 100))</f>
        <v/>
      </c>
      <c r="AL220" t="str">
        <f>TRIM(MID(SUBSTITUTE($F220, ",", REPT(" ", 100)), (COLUMNS($AH$2:AL220)-1)*100+1, 100))</f>
        <v/>
      </c>
      <c r="AM220" t="str">
        <f>TRIM(MID(SUBSTITUTE($F220, ",", REPT(" ", 100)), (COLUMNS($AH$2:AM220)-1)*100+1, 100))</f>
        <v/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60"/>
      <c r="D221" s="174"/>
      <c r="E221" s="61">
        <v>1</v>
      </c>
      <c r="F221" s="38" t="s">
        <v>176</v>
      </c>
      <c r="AJ221" t="str">
        <f>TRIM(MID(SUBSTITUTE($F221, ",", REPT(" ", 100)), (COLUMNS($AH$2:AJ221)-1)*100+1, 100))</f>
        <v/>
      </c>
      <c r="AK221" t="str">
        <f>TRIM(MID(SUBSTITUTE($F221, ",", REPT(" ", 100)), (COLUMNS($AH$2:AK221)-1)*100+1, 100))</f>
        <v/>
      </c>
      <c r="AL221" t="str">
        <f>TRIM(MID(SUBSTITUTE($F221, ",", REPT(" ", 100)), (COLUMNS($AH$2:AL221)-1)*100+1, 100))</f>
        <v/>
      </c>
      <c r="AM221" t="str">
        <f>TRIM(MID(SUBSTITUTE($F221, ",", REPT(" ", 100)), (COLUMNS($AH$2:AM221)-1)*100+1, 100))</f>
        <v/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60"/>
      <c r="D222" s="174"/>
      <c r="E222" s="61">
        <v>1</v>
      </c>
      <c r="F222" s="38" t="s">
        <v>176</v>
      </c>
      <c r="AJ222" t="str">
        <f>TRIM(MID(SUBSTITUTE($F222, ",", REPT(" ", 100)), (COLUMNS($AH$2:AJ222)-1)*100+1, 100))</f>
        <v/>
      </c>
      <c r="AK222" t="str">
        <f>TRIM(MID(SUBSTITUTE($F222, ",", REPT(" ", 100)), (COLUMNS($AH$2:AK222)-1)*100+1, 100))</f>
        <v/>
      </c>
      <c r="AL222" t="str">
        <f>TRIM(MID(SUBSTITUTE($F222, ",", REPT(" ", 100)), (COLUMNS($AH$2:AL222)-1)*100+1, 100))</f>
        <v/>
      </c>
      <c r="AM222" t="str">
        <f>TRIM(MID(SUBSTITUTE($F222, ",", REPT(" ", 100)), (COLUMNS($AH$2:AM222)-1)*100+1, 100))</f>
        <v/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60"/>
      <c r="D223" s="174"/>
      <c r="E223" s="61">
        <v>1</v>
      </c>
      <c r="F223" s="38" t="s">
        <v>176</v>
      </c>
      <c r="AJ223" t="str">
        <f>TRIM(MID(SUBSTITUTE($F223, ",", REPT(" ", 100)), (COLUMNS($AH$2:AJ223)-1)*100+1, 100))</f>
        <v/>
      </c>
      <c r="AK223" t="str">
        <f>TRIM(MID(SUBSTITUTE($F223, ",", REPT(" ", 100)), (COLUMNS($AH$2:AK223)-1)*100+1, 100))</f>
        <v/>
      </c>
      <c r="AL223" t="str">
        <f>TRIM(MID(SUBSTITUTE($F223, ",", REPT(" ", 100)), (COLUMNS($AH$2:AL223)-1)*100+1, 100))</f>
        <v/>
      </c>
      <c r="AM223" t="str">
        <f>TRIM(MID(SUBSTITUTE($F223, ",", REPT(" ", 100)), (COLUMNS($AH$2:AM223)-1)*100+1, 100))</f>
        <v/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60"/>
      <c r="D224" s="174"/>
      <c r="E224" s="61">
        <v>1</v>
      </c>
      <c r="F224" s="38" t="s">
        <v>176</v>
      </c>
      <c r="AJ224" t="str">
        <f>TRIM(MID(SUBSTITUTE($F224, ",", REPT(" ", 100)), (COLUMNS($AH$2:AJ224)-1)*100+1, 100))</f>
        <v/>
      </c>
      <c r="AK224" t="str">
        <f>TRIM(MID(SUBSTITUTE($F224, ",", REPT(" ", 100)), (COLUMNS($AH$2:AK224)-1)*100+1, 100))</f>
        <v/>
      </c>
      <c r="AL224" t="str">
        <f>TRIM(MID(SUBSTITUTE($F224, ",", REPT(" ", 100)), (COLUMNS($AH$2:AL224)-1)*100+1, 100))</f>
        <v/>
      </c>
      <c r="AM224" t="str">
        <f>TRIM(MID(SUBSTITUTE($F224, ",", REPT(" ", 100)), (COLUMNS($AH$2:AM224)-1)*100+1, 100))</f>
        <v/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60"/>
      <c r="D225" s="174"/>
      <c r="E225" s="61">
        <v>1</v>
      </c>
      <c r="F225" s="38" t="s">
        <v>176</v>
      </c>
      <c r="AJ225" t="str">
        <f>TRIM(MID(SUBSTITUTE($F225, ",", REPT(" ", 100)), (COLUMNS($AH$2:AJ225)-1)*100+1, 100))</f>
        <v/>
      </c>
      <c r="AK225" t="str">
        <f>TRIM(MID(SUBSTITUTE($F225, ",", REPT(" ", 100)), (COLUMNS($AH$2:AK225)-1)*100+1, 100))</f>
        <v/>
      </c>
      <c r="AL225" t="str">
        <f>TRIM(MID(SUBSTITUTE($F225, ",", REPT(" ", 100)), (COLUMNS($AH$2:AL225)-1)*100+1, 100))</f>
        <v/>
      </c>
      <c r="AM225" t="str">
        <f>TRIM(MID(SUBSTITUTE($F225, ",", REPT(" ", 100)), (COLUMNS($AH$2:AM225)-1)*100+1, 100))</f>
        <v/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60"/>
      <c r="D226" s="174"/>
      <c r="E226" s="61">
        <v>0.9</v>
      </c>
      <c r="F226" s="38" t="s">
        <v>176</v>
      </c>
      <c r="AJ226" t="str">
        <f>TRIM(MID(SUBSTITUTE($F226, ",", REPT(" ", 100)), (COLUMNS($AH$2:AJ226)-1)*100+1, 100))</f>
        <v/>
      </c>
      <c r="AK226" t="str">
        <f>TRIM(MID(SUBSTITUTE($F226, ",", REPT(" ", 100)), (COLUMNS($AH$2:AK226)-1)*100+1, 100))</f>
        <v/>
      </c>
      <c r="AL226" t="str">
        <f>TRIM(MID(SUBSTITUTE($F226, ",", REPT(" ", 100)), (COLUMNS($AH$2:AL226)-1)*100+1, 100))</f>
        <v/>
      </c>
      <c r="AM226" t="str">
        <f>TRIM(MID(SUBSTITUTE($F226, ",", REPT(" ", 100)), (COLUMNS($AH$2:AM226)-1)*100+1, 100))</f>
        <v/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60"/>
      <c r="D227" s="174"/>
      <c r="E227" s="61">
        <v>0.9</v>
      </c>
      <c r="F227" s="38" t="s">
        <v>176</v>
      </c>
      <c r="AJ227" t="str">
        <f>TRIM(MID(SUBSTITUTE($F227, ",", REPT(" ", 100)), (COLUMNS($AH$2:AJ227)-1)*100+1, 100))</f>
        <v/>
      </c>
      <c r="AK227" t="str">
        <f>TRIM(MID(SUBSTITUTE($F227, ",", REPT(" ", 100)), (COLUMNS($AH$2:AK227)-1)*100+1, 100))</f>
        <v/>
      </c>
      <c r="AL227" t="str">
        <f>TRIM(MID(SUBSTITUTE($F227, ",", REPT(" ", 100)), (COLUMNS($AH$2:AL227)-1)*100+1, 100))</f>
        <v/>
      </c>
      <c r="AM227" t="str">
        <f>TRIM(MID(SUBSTITUTE($F227, ",", REPT(" ", 100)), (COLUMNS($AH$2:AM227)-1)*100+1, 100))</f>
        <v/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60"/>
      <c r="D228" s="174"/>
      <c r="E228" s="61">
        <v>1</v>
      </c>
      <c r="F228" s="38" t="s">
        <v>176</v>
      </c>
      <c r="AJ228" t="str">
        <f>TRIM(MID(SUBSTITUTE($F228, ",", REPT(" ", 100)), (COLUMNS($AH$2:AJ228)-1)*100+1, 100))</f>
        <v/>
      </c>
      <c r="AK228" t="str">
        <f>TRIM(MID(SUBSTITUTE($F228, ",", REPT(" ", 100)), (COLUMNS($AH$2:AK228)-1)*100+1, 100))</f>
        <v/>
      </c>
      <c r="AL228" t="str">
        <f>TRIM(MID(SUBSTITUTE($F228, ",", REPT(" ", 100)), (COLUMNS($AH$2:AL228)-1)*100+1, 100))</f>
        <v/>
      </c>
      <c r="AM228" t="str">
        <f>TRIM(MID(SUBSTITUTE($F228, ",", REPT(" ", 100)), (COLUMNS($AH$2:AM228)-1)*100+1, 100))</f>
        <v/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60"/>
      <c r="D229" s="174"/>
      <c r="E229" s="61">
        <v>1</v>
      </c>
      <c r="F229" s="38" t="s">
        <v>176</v>
      </c>
      <c r="AJ229" t="str">
        <f>TRIM(MID(SUBSTITUTE($F229, ",", REPT(" ", 100)), (COLUMNS($AH$2:AJ229)-1)*100+1, 100))</f>
        <v/>
      </c>
      <c r="AK229" t="str">
        <f>TRIM(MID(SUBSTITUTE($F229, ",", REPT(" ", 100)), (COLUMNS($AH$2:AK229)-1)*100+1, 100))</f>
        <v/>
      </c>
      <c r="AL229" t="str">
        <f>TRIM(MID(SUBSTITUTE($F229, ",", REPT(" ", 100)), (COLUMNS($AH$2:AL229)-1)*100+1, 100))</f>
        <v/>
      </c>
      <c r="AM229" t="str">
        <f>TRIM(MID(SUBSTITUTE($F229, ",", REPT(" ", 100)), (COLUMNS($AH$2:AM229)-1)*100+1, 100))</f>
        <v/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60"/>
      <c r="D230" s="174"/>
      <c r="E230" s="61">
        <v>0</v>
      </c>
      <c r="F230" s="38" t="s">
        <v>176</v>
      </c>
      <c r="AJ230" t="str">
        <f>TRIM(MID(SUBSTITUTE($F230, ",", REPT(" ", 100)), (COLUMNS($AH$2:AJ230)-1)*100+1, 100))</f>
        <v/>
      </c>
      <c r="AK230" t="str">
        <f>TRIM(MID(SUBSTITUTE($F230, ",", REPT(" ", 100)), (COLUMNS($AH$2:AK230)-1)*100+1, 100))</f>
        <v/>
      </c>
      <c r="AL230" t="str">
        <f>TRIM(MID(SUBSTITUTE($F230, ",", REPT(" ", 100)), (COLUMNS($AH$2:AL230)-1)*100+1, 100))</f>
        <v/>
      </c>
      <c r="AM230" t="str">
        <f>TRIM(MID(SUBSTITUTE($F230, ",", REPT(" ", 100)), (COLUMNS($AH$2:AM230)-1)*100+1, 100))</f>
        <v/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60"/>
      <c r="D231" s="174"/>
      <c r="E231" s="61">
        <v>0</v>
      </c>
      <c r="F231" s="38" t="s">
        <v>176</v>
      </c>
      <c r="AJ231" t="str">
        <f>TRIM(MID(SUBSTITUTE($F231, ",", REPT(" ", 100)), (COLUMNS($AH$2:AJ231)-1)*100+1, 100))</f>
        <v/>
      </c>
      <c r="AK231" t="str">
        <f>TRIM(MID(SUBSTITUTE($F231, ",", REPT(" ", 100)), (COLUMNS($AH$2:AK231)-1)*100+1, 100))</f>
        <v/>
      </c>
      <c r="AL231" t="str">
        <f>TRIM(MID(SUBSTITUTE($F231, ",", REPT(" ", 100)), (COLUMNS($AH$2:AL231)-1)*100+1, 100))</f>
        <v/>
      </c>
      <c r="AM231" t="str">
        <f>TRIM(MID(SUBSTITUTE($F231, ",", REPT(" ", 100)), (COLUMNS($AH$2:AM231)-1)*100+1, 100))</f>
        <v/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60"/>
      <c r="D232" s="174"/>
      <c r="E232" s="61">
        <v>1</v>
      </c>
      <c r="F232" s="38" t="s">
        <v>176</v>
      </c>
      <c r="AJ232" t="str">
        <f>TRIM(MID(SUBSTITUTE($F232, ",", REPT(" ", 100)), (COLUMNS($AH$2:AJ232)-1)*100+1, 100))</f>
        <v/>
      </c>
      <c r="AK232" t="str">
        <f>TRIM(MID(SUBSTITUTE($F232, ",", REPT(" ", 100)), (COLUMNS($AH$2:AK232)-1)*100+1, 100))</f>
        <v/>
      </c>
      <c r="AL232" t="str">
        <f>TRIM(MID(SUBSTITUTE($F232, ",", REPT(" ", 100)), (COLUMNS($AH$2:AL232)-1)*100+1, 100))</f>
        <v/>
      </c>
      <c r="AM232" t="str">
        <f>TRIM(MID(SUBSTITUTE($F232, ",", REPT(" ", 100)), (COLUMNS($AH$2:AM232)-1)*100+1, 100))</f>
        <v/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60"/>
      <c r="D233" s="174"/>
      <c r="E233" s="61">
        <v>1</v>
      </c>
      <c r="F233" s="38" t="s">
        <v>176</v>
      </c>
      <c r="AJ233" t="str">
        <f>TRIM(MID(SUBSTITUTE($F233, ",", REPT(" ", 100)), (COLUMNS($AH$2:AJ233)-1)*100+1, 100))</f>
        <v/>
      </c>
      <c r="AK233" t="str">
        <f>TRIM(MID(SUBSTITUTE($F233, ",", REPT(" ", 100)), (COLUMNS($AH$2:AK233)-1)*100+1, 100))</f>
        <v/>
      </c>
      <c r="AL233" t="str">
        <f>TRIM(MID(SUBSTITUTE($F233, ",", REPT(" ", 100)), (COLUMNS($AH$2:AL233)-1)*100+1, 100))</f>
        <v/>
      </c>
      <c r="AM233" t="str">
        <f>TRIM(MID(SUBSTITUTE($F233, ",", REPT(" ", 100)), (COLUMNS($AH$2:AM233)-1)*100+1, 100))</f>
        <v/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60"/>
      <c r="D234" s="174"/>
      <c r="E234" s="61">
        <v>1</v>
      </c>
      <c r="F234" s="38" t="s">
        <v>176</v>
      </c>
      <c r="AJ234" t="str">
        <f>TRIM(MID(SUBSTITUTE($F234, ",", REPT(" ", 100)), (COLUMNS($AH$2:AJ234)-1)*100+1, 100))</f>
        <v/>
      </c>
      <c r="AK234" t="str">
        <f>TRIM(MID(SUBSTITUTE($F234, ",", REPT(" ", 100)), (COLUMNS($AH$2:AK234)-1)*100+1, 100))</f>
        <v/>
      </c>
      <c r="AL234" t="str">
        <f>TRIM(MID(SUBSTITUTE($F234, ",", REPT(" ", 100)), (COLUMNS($AH$2:AL234)-1)*100+1, 100))</f>
        <v/>
      </c>
      <c r="AM234" t="str">
        <f>TRIM(MID(SUBSTITUTE($F234, ",", REPT(" ", 100)), (COLUMNS($AH$2:AM234)-1)*100+1, 100))</f>
        <v/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60"/>
      <c r="D235" s="174"/>
      <c r="E235" s="61">
        <v>0</v>
      </c>
      <c r="F235" s="38" t="s">
        <v>176</v>
      </c>
      <c r="AJ235" t="str">
        <f>TRIM(MID(SUBSTITUTE($F235, ",", REPT(" ", 100)), (COLUMNS($AH$2:AJ235)-1)*100+1, 100))</f>
        <v/>
      </c>
      <c r="AK235" t="str">
        <f>TRIM(MID(SUBSTITUTE($F235, ",", REPT(" ", 100)), (COLUMNS($AH$2:AK235)-1)*100+1, 100))</f>
        <v/>
      </c>
      <c r="AL235" t="str">
        <f>TRIM(MID(SUBSTITUTE($F235, ",", REPT(" ", 100)), (COLUMNS($AH$2:AL235)-1)*100+1, 100))</f>
        <v/>
      </c>
      <c r="AM235" t="str">
        <f>TRIM(MID(SUBSTITUTE($F235, ",", REPT(" ", 100)), (COLUMNS($AH$2:AM235)-1)*100+1, 100))</f>
        <v/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60"/>
      <c r="D236" s="174"/>
      <c r="E236" s="61">
        <v>0</v>
      </c>
      <c r="F236" s="38" t="s">
        <v>176</v>
      </c>
      <c r="AJ236" t="str">
        <f>TRIM(MID(SUBSTITUTE($F236, ",", REPT(" ", 100)), (COLUMNS($AH$2:AJ236)-1)*100+1, 100))</f>
        <v/>
      </c>
      <c r="AK236" t="str">
        <f>TRIM(MID(SUBSTITUTE($F236, ",", REPT(" ", 100)), (COLUMNS($AH$2:AK236)-1)*100+1, 100))</f>
        <v/>
      </c>
      <c r="AL236" t="str">
        <f>TRIM(MID(SUBSTITUTE($F236, ",", REPT(" ", 100)), (COLUMNS($AH$2:AL236)-1)*100+1, 100))</f>
        <v/>
      </c>
      <c r="AM236" t="str">
        <f>TRIM(MID(SUBSTITUTE($F236, ",", REPT(" ", 100)), (COLUMNS($AH$2:AM236)-1)*100+1, 100))</f>
        <v/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60"/>
      <c r="D237" s="174"/>
      <c r="E237" s="61">
        <v>1</v>
      </c>
      <c r="F237" s="38" t="s">
        <v>176</v>
      </c>
      <c r="G237" s="161" t="s">
        <v>358</v>
      </c>
      <c r="AJ237" t="str">
        <f>TRIM(MID(SUBSTITUTE($F237, ",", REPT(" ", 100)), (COLUMNS($AH$2:AJ237)-1)*100+1, 100))</f>
        <v/>
      </c>
      <c r="AK237" t="str">
        <f>TRIM(MID(SUBSTITUTE($F237, ",", REPT(" ", 100)), (COLUMNS($AH$2:AK237)-1)*100+1, 100))</f>
        <v/>
      </c>
      <c r="AL237" t="str">
        <f>TRIM(MID(SUBSTITUTE($F237, ",", REPT(" ", 100)), (COLUMNS($AH$2:AL237)-1)*100+1, 100))</f>
        <v/>
      </c>
      <c r="AM237" t="str">
        <f>TRIM(MID(SUBSTITUTE($F237, ",", REPT(" ", 100)), (COLUMNS($AH$2:AM237)-1)*100+1, 100))</f>
        <v/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60"/>
      <c r="D238" s="174"/>
      <c r="E238" s="61">
        <v>1</v>
      </c>
      <c r="F238" s="38" t="s">
        <v>176</v>
      </c>
      <c r="G238" s="161"/>
      <c r="AJ238" t="str">
        <f>TRIM(MID(SUBSTITUTE($F238, ",", REPT(" ", 100)), (COLUMNS($AH$2:AJ238)-1)*100+1, 100))</f>
        <v/>
      </c>
      <c r="AK238" t="str">
        <f>TRIM(MID(SUBSTITUTE($F238, ",", REPT(" ", 100)), (COLUMNS($AH$2:AK238)-1)*100+1, 100))</f>
        <v/>
      </c>
      <c r="AL238" t="str">
        <f>TRIM(MID(SUBSTITUTE($F238, ",", REPT(" ", 100)), (COLUMNS($AH$2:AL238)-1)*100+1, 100))</f>
        <v/>
      </c>
      <c r="AM238" t="str">
        <f>TRIM(MID(SUBSTITUTE($F238, ",", REPT(" ", 100)), (COLUMNS($AH$2:AM238)-1)*100+1, 100))</f>
        <v/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60"/>
      <c r="D239" s="174"/>
      <c r="E239" s="61">
        <v>1</v>
      </c>
      <c r="F239" s="38" t="s">
        <v>176</v>
      </c>
      <c r="G239" s="161"/>
      <c r="AJ239" t="str">
        <f>TRIM(MID(SUBSTITUTE($F239, ",", REPT(" ", 100)), (COLUMNS($AH$2:AJ239)-1)*100+1, 100))</f>
        <v/>
      </c>
      <c r="AK239" t="str">
        <f>TRIM(MID(SUBSTITUTE($F239, ",", REPT(" ", 100)), (COLUMNS($AH$2:AK239)-1)*100+1, 100))</f>
        <v/>
      </c>
      <c r="AL239" t="str">
        <f>TRIM(MID(SUBSTITUTE($F239, ",", REPT(" ", 100)), (COLUMNS($AH$2:AL239)-1)*100+1, 100))</f>
        <v/>
      </c>
      <c r="AM239" t="str">
        <f>TRIM(MID(SUBSTITUTE($F239, ",", REPT(" ", 100)), (COLUMNS($AH$2:AM239)-1)*100+1, 100))</f>
        <v/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60"/>
      <c r="D240" s="174"/>
      <c r="E240" s="61">
        <v>1</v>
      </c>
      <c r="F240" s="38" t="s">
        <v>176</v>
      </c>
      <c r="G240" s="161"/>
      <c r="AJ240" t="str">
        <f>TRIM(MID(SUBSTITUTE($F240, ",", REPT(" ", 100)), (COLUMNS($AH$2:AJ240)-1)*100+1, 100))</f>
        <v/>
      </c>
      <c r="AK240" t="str">
        <f>TRIM(MID(SUBSTITUTE($F240, ",", REPT(" ", 100)), (COLUMNS($AH$2:AK240)-1)*100+1, 100))</f>
        <v/>
      </c>
      <c r="AL240" t="str">
        <f>TRIM(MID(SUBSTITUTE($F240, ",", REPT(" ", 100)), (COLUMNS($AH$2:AL240)-1)*100+1, 100))</f>
        <v/>
      </c>
      <c r="AM240" t="str">
        <f>TRIM(MID(SUBSTITUTE($F240, ",", REPT(" ", 100)), (COLUMNS($AH$2:AM240)-1)*100+1, 100))</f>
        <v/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60"/>
      <c r="D241" s="174"/>
      <c r="E241" s="61">
        <v>1</v>
      </c>
      <c r="F241" s="38" t="s">
        <v>176</v>
      </c>
      <c r="G241" s="161"/>
      <c r="AJ241" t="str">
        <f>TRIM(MID(SUBSTITUTE($F241, ",", REPT(" ", 100)), (COLUMNS($AH$2:AJ241)-1)*100+1, 100))</f>
        <v/>
      </c>
      <c r="AK241" t="str">
        <f>TRIM(MID(SUBSTITUTE($F241, ",", REPT(" ", 100)), (COLUMNS($AH$2:AK241)-1)*100+1, 100))</f>
        <v/>
      </c>
      <c r="AL241" t="str">
        <f>TRIM(MID(SUBSTITUTE($F241, ",", REPT(" ", 100)), (COLUMNS($AH$2:AL241)-1)*100+1, 100))</f>
        <v/>
      </c>
      <c r="AM241" t="str">
        <f>TRIM(MID(SUBSTITUTE($F241, ",", REPT(" ", 100)), (COLUMNS($AH$2:AM241)-1)*100+1, 100))</f>
        <v/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60"/>
      <c r="D242" s="174"/>
      <c r="E242" s="61">
        <v>1</v>
      </c>
      <c r="F242" s="38" t="s">
        <v>176</v>
      </c>
      <c r="AJ242" t="str">
        <f>TRIM(MID(SUBSTITUTE($F242, ",", REPT(" ", 100)), (COLUMNS($AH$2:AJ242)-1)*100+1, 100))</f>
        <v/>
      </c>
      <c r="AK242" t="str">
        <f>TRIM(MID(SUBSTITUTE($F242, ",", REPT(" ", 100)), (COLUMNS($AH$2:AK242)-1)*100+1, 100))</f>
        <v/>
      </c>
      <c r="AL242" t="str">
        <f>TRIM(MID(SUBSTITUTE($F242, ",", REPT(" ", 100)), (COLUMNS($AH$2:AL242)-1)*100+1, 100))</f>
        <v/>
      </c>
      <c r="AM242" t="str">
        <f>TRIM(MID(SUBSTITUTE($F242, ",", REPT(" ", 100)), (COLUMNS($AH$2:AM242)-1)*100+1, 100))</f>
        <v/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60"/>
      <c r="D243" s="174"/>
      <c r="E243" s="61">
        <v>0</v>
      </c>
      <c r="F243" s="38" t="s">
        <v>176</v>
      </c>
      <c r="AJ243" t="str">
        <f>TRIM(MID(SUBSTITUTE($F243, ",", REPT(" ", 100)), (COLUMNS($AH$2:AJ243)-1)*100+1, 100))</f>
        <v/>
      </c>
      <c r="AK243" t="str">
        <f>TRIM(MID(SUBSTITUTE($F243, ",", REPT(" ", 100)), (COLUMNS($AH$2:AK243)-1)*100+1, 100))</f>
        <v/>
      </c>
      <c r="AL243" t="str">
        <f>TRIM(MID(SUBSTITUTE($F243, ",", REPT(" ", 100)), (COLUMNS($AH$2:AL243)-1)*100+1, 100))</f>
        <v/>
      </c>
      <c r="AM243" t="str">
        <f>TRIM(MID(SUBSTITUTE($F243, ",", REPT(" ", 100)), (COLUMNS($AH$2:AM243)-1)*100+1, 100))</f>
        <v/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60"/>
      <c r="D244" s="174"/>
      <c r="E244" s="61">
        <v>1</v>
      </c>
      <c r="F244" s="38" t="s">
        <v>176</v>
      </c>
      <c r="AJ244" t="str">
        <f>TRIM(MID(SUBSTITUTE($F244, ",", REPT(" ", 100)), (COLUMNS($AH$2:AJ244)-1)*100+1, 100))</f>
        <v/>
      </c>
      <c r="AK244" t="str">
        <f>TRIM(MID(SUBSTITUTE($F244, ",", REPT(" ", 100)), (COLUMNS($AH$2:AK244)-1)*100+1, 100))</f>
        <v/>
      </c>
      <c r="AL244" t="str">
        <f>TRIM(MID(SUBSTITUTE($F244, ",", REPT(" ", 100)), (COLUMNS($AH$2:AL244)-1)*100+1, 100))</f>
        <v/>
      </c>
      <c r="AM244" t="str">
        <f>TRIM(MID(SUBSTITUTE($F244, ",", REPT(" ", 100)), (COLUMNS($AH$2:AM244)-1)*100+1, 100))</f>
        <v/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60">
        <f>AVERAGE(B245:B274)</f>
        <v>5.8166666666666673</v>
      </c>
      <c r="D245" s="174"/>
      <c r="E245" s="61">
        <v>0</v>
      </c>
      <c r="F245" s="38" t="s">
        <v>176</v>
      </c>
      <c r="AJ245" t="str">
        <f>TRIM(MID(SUBSTITUTE($F245, ",", REPT(" ", 100)), (COLUMNS($AH$2:AJ245)-1)*100+1, 100))</f>
        <v/>
      </c>
      <c r="AK245" t="str">
        <f>TRIM(MID(SUBSTITUTE($F245, ",", REPT(" ", 100)), (COLUMNS($AH$2:AK245)-1)*100+1, 100))</f>
        <v/>
      </c>
      <c r="AL245" t="str">
        <f>TRIM(MID(SUBSTITUTE($F245, ",", REPT(" ", 100)), (COLUMNS($AH$2:AL245)-1)*100+1, 100))</f>
        <v/>
      </c>
      <c r="AM245" t="str">
        <f>TRIM(MID(SUBSTITUTE($F245, ",", REPT(" ", 100)), (COLUMNS($AH$2:AM245)-1)*100+1, 100))</f>
        <v/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60"/>
      <c r="D246" s="174"/>
      <c r="E246" s="61">
        <v>1</v>
      </c>
      <c r="F246" s="38" t="s">
        <v>176</v>
      </c>
      <c r="AJ246" t="str">
        <f>TRIM(MID(SUBSTITUTE($F246, ",", REPT(" ", 100)), (COLUMNS($AH$2:AJ246)-1)*100+1, 100))</f>
        <v/>
      </c>
      <c r="AK246" t="str">
        <f>TRIM(MID(SUBSTITUTE($F246, ",", REPT(" ", 100)), (COLUMNS($AH$2:AK246)-1)*100+1, 100))</f>
        <v/>
      </c>
      <c r="AL246" t="str">
        <f>TRIM(MID(SUBSTITUTE($F246, ",", REPT(" ", 100)), (COLUMNS($AH$2:AL246)-1)*100+1, 100))</f>
        <v/>
      </c>
      <c r="AM246" t="str">
        <f>TRIM(MID(SUBSTITUTE($F246, ",", REPT(" ", 100)), (COLUMNS($AH$2:AM246)-1)*100+1, 100))</f>
        <v/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60"/>
      <c r="D247" s="174"/>
      <c r="E247" s="61">
        <v>1</v>
      </c>
      <c r="F247" s="38" t="s">
        <v>176</v>
      </c>
      <c r="AJ247" t="str">
        <f>TRIM(MID(SUBSTITUTE($F247, ",", REPT(" ", 100)), (COLUMNS($AH$2:AJ247)-1)*100+1, 100))</f>
        <v/>
      </c>
      <c r="AK247" t="str">
        <f>TRIM(MID(SUBSTITUTE($F247, ",", REPT(" ", 100)), (COLUMNS($AH$2:AK247)-1)*100+1, 100))</f>
        <v/>
      </c>
      <c r="AL247" t="str">
        <f>TRIM(MID(SUBSTITUTE($F247, ",", REPT(" ", 100)), (COLUMNS($AH$2:AL247)-1)*100+1, 100))</f>
        <v/>
      </c>
      <c r="AM247" t="str">
        <f>TRIM(MID(SUBSTITUTE($F247, ",", REPT(" ", 100)), (COLUMNS($AH$2:AM247)-1)*100+1, 100))</f>
        <v/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60"/>
      <c r="D248" s="174"/>
      <c r="E248" s="61">
        <v>0</v>
      </c>
      <c r="F248" s="38" t="s">
        <v>176</v>
      </c>
      <c r="AJ248" t="str">
        <f>TRIM(MID(SUBSTITUTE($F248, ",", REPT(" ", 100)), (COLUMNS($AH$2:AJ248)-1)*100+1, 100))</f>
        <v/>
      </c>
      <c r="AK248" t="str">
        <f>TRIM(MID(SUBSTITUTE($F248, ",", REPT(" ", 100)), (COLUMNS($AH$2:AK248)-1)*100+1, 100))</f>
        <v/>
      </c>
      <c r="AL248" t="str">
        <f>TRIM(MID(SUBSTITUTE($F248, ",", REPT(" ", 100)), (COLUMNS($AH$2:AL248)-1)*100+1, 100))</f>
        <v/>
      </c>
      <c r="AM248" t="str">
        <f>TRIM(MID(SUBSTITUTE($F248, ",", REPT(" ", 100)), (COLUMNS($AH$2:AM248)-1)*100+1, 100))</f>
        <v/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60"/>
      <c r="D249" s="174"/>
      <c r="E249" s="61">
        <v>0</v>
      </c>
      <c r="F249" s="38" t="s">
        <v>176</v>
      </c>
      <c r="AJ249" t="str">
        <f>TRIM(MID(SUBSTITUTE($F249, ",", REPT(" ", 100)), (COLUMNS($AH$2:AJ249)-1)*100+1, 100))</f>
        <v/>
      </c>
      <c r="AK249" t="str">
        <f>TRIM(MID(SUBSTITUTE($F249, ",", REPT(" ", 100)), (COLUMNS($AH$2:AK249)-1)*100+1, 100))</f>
        <v/>
      </c>
      <c r="AL249" t="str">
        <f>TRIM(MID(SUBSTITUTE($F249, ",", REPT(" ", 100)), (COLUMNS($AH$2:AL249)-1)*100+1, 100))</f>
        <v/>
      </c>
      <c r="AM249" t="str">
        <f>TRIM(MID(SUBSTITUTE($F249, ",", REPT(" ", 100)), (COLUMNS($AH$2:AM249)-1)*100+1, 100))</f>
        <v/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60"/>
      <c r="D250" s="174"/>
      <c r="E250" s="61">
        <v>1</v>
      </c>
      <c r="F250" s="38" t="s">
        <v>176</v>
      </c>
      <c r="AJ250" t="str">
        <f>TRIM(MID(SUBSTITUTE($F250, ",", REPT(" ", 100)), (COLUMNS($AH$2:AJ250)-1)*100+1, 100))</f>
        <v/>
      </c>
      <c r="AK250" t="str">
        <f>TRIM(MID(SUBSTITUTE($F250, ",", REPT(" ", 100)), (COLUMNS($AH$2:AK250)-1)*100+1, 100))</f>
        <v/>
      </c>
      <c r="AL250" t="str">
        <f>TRIM(MID(SUBSTITUTE($F250, ",", REPT(" ", 100)), (COLUMNS($AH$2:AL250)-1)*100+1, 100))</f>
        <v/>
      </c>
      <c r="AM250" t="str">
        <f>TRIM(MID(SUBSTITUTE($F250, ",", REPT(" ", 100)), (COLUMNS($AH$2:AM250)-1)*100+1, 100))</f>
        <v/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60"/>
      <c r="D251" s="174"/>
      <c r="E251" s="61">
        <v>1</v>
      </c>
      <c r="F251" s="38" t="s">
        <v>176</v>
      </c>
      <c r="AJ251" t="str">
        <f>TRIM(MID(SUBSTITUTE($F251, ",", REPT(" ", 100)), (COLUMNS($AH$2:AJ251)-1)*100+1, 100))</f>
        <v/>
      </c>
      <c r="AK251" t="str">
        <f>TRIM(MID(SUBSTITUTE($F251, ",", REPT(" ", 100)), (COLUMNS($AH$2:AK251)-1)*100+1, 100))</f>
        <v/>
      </c>
      <c r="AL251" t="str">
        <f>TRIM(MID(SUBSTITUTE($F251, ",", REPT(" ", 100)), (COLUMNS($AH$2:AL251)-1)*100+1, 100))</f>
        <v/>
      </c>
      <c r="AM251" t="str">
        <f>TRIM(MID(SUBSTITUTE($F251, ",", REPT(" ", 100)), (COLUMNS($AH$2:AM251)-1)*100+1, 100))</f>
        <v/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60"/>
      <c r="D252" s="174"/>
      <c r="E252" s="61">
        <v>0</v>
      </c>
      <c r="F252" s="38" t="s">
        <v>176</v>
      </c>
      <c r="AJ252" t="str">
        <f>TRIM(MID(SUBSTITUTE($F252, ",", REPT(" ", 100)), (COLUMNS($AH$2:AJ252)-1)*100+1, 100))</f>
        <v/>
      </c>
      <c r="AK252" t="str">
        <f>TRIM(MID(SUBSTITUTE($F252, ",", REPT(" ", 100)), (COLUMNS($AH$2:AK252)-1)*100+1, 100))</f>
        <v/>
      </c>
      <c r="AL252" t="str">
        <f>TRIM(MID(SUBSTITUTE($F252, ",", REPT(" ", 100)), (COLUMNS($AH$2:AL252)-1)*100+1, 100))</f>
        <v/>
      </c>
      <c r="AM252" t="str">
        <f>TRIM(MID(SUBSTITUTE($F252, ",", REPT(" ", 100)), (COLUMNS($AH$2:AM252)-1)*100+1, 100))</f>
        <v/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60"/>
      <c r="D253" s="174"/>
      <c r="E253" s="61">
        <v>1</v>
      </c>
      <c r="F253" s="38" t="s">
        <v>176</v>
      </c>
      <c r="AJ253" t="str">
        <f>TRIM(MID(SUBSTITUTE($F253, ",", REPT(" ", 100)), (COLUMNS($AH$2:AJ253)-1)*100+1, 100))</f>
        <v/>
      </c>
      <c r="AK253" t="str">
        <f>TRIM(MID(SUBSTITUTE($F253, ",", REPT(" ", 100)), (COLUMNS($AH$2:AK253)-1)*100+1, 100))</f>
        <v/>
      </c>
      <c r="AL253" t="str">
        <f>TRIM(MID(SUBSTITUTE($F253, ",", REPT(" ", 100)), (COLUMNS($AH$2:AL253)-1)*100+1, 100))</f>
        <v/>
      </c>
      <c r="AM253" t="str">
        <f>TRIM(MID(SUBSTITUTE($F253, ",", REPT(" ", 100)), (COLUMNS($AH$2:AM253)-1)*100+1, 100))</f>
        <v/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60"/>
      <c r="D254" s="174"/>
      <c r="E254" s="61">
        <v>1</v>
      </c>
      <c r="F254" s="38" t="s">
        <v>176</v>
      </c>
      <c r="AJ254" t="str">
        <f>TRIM(MID(SUBSTITUTE($F254, ",", REPT(" ", 100)), (COLUMNS($AH$2:AJ254)-1)*100+1, 100))</f>
        <v/>
      </c>
      <c r="AK254" t="str">
        <f>TRIM(MID(SUBSTITUTE($F254, ",", REPT(" ", 100)), (COLUMNS($AH$2:AK254)-1)*100+1, 100))</f>
        <v/>
      </c>
      <c r="AL254" t="str">
        <f>TRIM(MID(SUBSTITUTE($F254, ",", REPT(" ", 100)), (COLUMNS($AH$2:AL254)-1)*100+1, 100))</f>
        <v/>
      </c>
      <c r="AM254" t="str">
        <f>TRIM(MID(SUBSTITUTE($F254, ",", REPT(" ", 100)), (COLUMNS($AH$2:AM254)-1)*100+1, 100))</f>
        <v/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60"/>
      <c r="D255" s="174"/>
      <c r="E255" s="61">
        <v>0</v>
      </c>
      <c r="F255" s="38" t="s">
        <v>176</v>
      </c>
      <c r="AJ255" t="str">
        <f>TRIM(MID(SUBSTITUTE($F255, ",", REPT(" ", 100)), (COLUMNS($AH$2:AJ255)-1)*100+1, 100))</f>
        <v/>
      </c>
      <c r="AK255" t="str">
        <f>TRIM(MID(SUBSTITUTE($F255, ",", REPT(" ", 100)), (COLUMNS($AH$2:AK255)-1)*100+1, 100))</f>
        <v/>
      </c>
      <c r="AL255" t="str">
        <f>TRIM(MID(SUBSTITUTE($F255, ",", REPT(" ", 100)), (COLUMNS($AH$2:AL255)-1)*100+1, 100))</f>
        <v/>
      </c>
      <c r="AM255" t="str">
        <f>TRIM(MID(SUBSTITUTE($F255, ",", REPT(" ", 100)), (COLUMNS($AH$2:AM255)-1)*100+1, 100))</f>
        <v/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60"/>
      <c r="D256" s="174"/>
      <c r="E256" s="61">
        <v>0</v>
      </c>
      <c r="F256" s="38" t="s">
        <v>176</v>
      </c>
      <c r="AJ256" t="str">
        <f>TRIM(MID(SUBSTITUTE($F256, ",", REPT(" ", 100)), (COLUMNS($AH$2:AJ256)-1)*100+1, 100))</f>
        <v/>
      </c>
      <c r="AK256" t="str">
        <f>TRIM(MID(SUBSTITUTE($F256, ",", REPT(" ", 100)), (COLUMNS($AH$2:AK256)-1)*100+1, 100))</f>
        <v/>
      </c>
      <c r="AL256" t="str">
        <f>TRIM(MID(SUBSTITUTE($F256, ",", REPT(" ", 100)), (COLUMNS($AH$2:AL256)-1)*100+1, 100))</f>
        <v/>
      </c>
      <c r="AM256" t="str">
        <f>TRIM(MID(SUBSTITUTE($F256, ",", REPT(" ", 100)), (COLUMNS($AH$2:AM256)-1)*100+1, 100))</f>
        <v/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60"/>
      <c r="D257" s="174"/>
      <c r="E257" s="61">
        <v>0</v>
      </c>
      <c r="F257" s="38" t="s">
        <v>176</v>
      </c>
      <c r="AJ257" t="str">
        <f>TRIM(MID(SUBSTITUTE($F257, ",", REPT(" ", 100)), (COLUMNS($AH$2:AJ257)-1)*100+1, 100))</f>
        <v/>
      </c>
      <c r="AK257" t="str">
        <f>TRIM(MID(SUBSTITUTE($F257, ",", REPT(" ", 100)), (COLUMNS($AH$2:AK257)-1)*100+1, 100))</f>
        <v/>
      </c>
      <c r="AL257" t="str">
        <f>TRIM(MID(SUBSTITUTE($F257, ",", REPT(" ", 100)), (COLUMNS($AH$2:AL257)-1)*100+1, 100))</f>
        <v/>
      </c>
      <c r="AM257" t="str">
        <f>TRIM(MID(SUBSTITUTE($F257, ",", REPT(" ", 100)), (COLUMNS($AH$2:AM257)-1)*100+1, 100))</f>
        <v/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60"/>
      <c r="D258" s="174"/>
      <c r="E258" s="61">
        <v>1</v>
      </c>
      <c r="F258" s="38" t="s">
        <v>176</v>
      </c>
      <c r="AJ258" t="str">
        <f>TRIM(MID(SUBSTITUTE($F258, ",", REPT(" ", 100)), (COLUMNS($AH$2:AJ258)-1)*100+1, 100))</f>
        <v/>
      </c>
      <c r="AK258" t="str">
        <f>TRIM(MID(SUBSTITUTE($F258, ",", REPT(" ", 100)), (COLUMNS($AH$2:AK258)-1)*100+1, 100))</f>
        <v/>
      </c>
      <c r="AL258" t="str">
        <f>TRIM(MID(SUBSTITUTE($F258, ",", REPT(" ", 100)), (COLUMNS($AH$2:AL258)-1)*100+1, 100))</f>
        <v/>
      </c>
      <c r="AM258" t="str">
        <f>TRIM(MID(SUBSTITUTE($F258, ",", REPT(" ", 100)), (COLUMNS($AH$2:AM258)-1)*100+1, 100))</f>
        <v/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60"/>
      <c r="D259" s="174"/>
      <c r="E259" s="61">
        <v>1</v>
      </c>
      <c r="F259" s="38" t="s">
        <v>176</v>
      </c>
      <c r="AJ259" t="str">
        <f>TRIM(MID(SUBSTITUTE($F259, ",", REPT(" ", 100)), (COLUMNS($AH$2:AJ259)-1)*100+1, 100))</f>
        <v/>
      </c>
      <c r="AK259" t="str">
        <f>TRIM(MID(SUBSTITUTE($F259, ",", REPT(" ", 100)), (COLUMNS($AH$2:AK259)-1)*100+1, 100))</f>
        <v/>
      </c>
      <c r="AL259" t="str">
        <f>TRIM(MID(SUBSTITUTE($F259, ",", REPT(" ", 100)), (COLUMNS($AH$2:AL259)-1)*100+1, 100))</f>
        <v/>
      </c>
      <c r="AM259" t="str">
        <f>TRIM(MID(SUBSTITUTE($F259, ",", REPT(" ", 100)), (COLUMNS($AH$2:AM259)-1)*100+1, 100))</f>
        <v/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60"/>
      <c r="D260" s="174"/>
      <c r="E260" s="61">
        <v>1</v>
      </c>
      <c r="F260" s="38" t="s">
        <v>176</v>
      </c>
      <c r="AJ260" t="str">
        <f>TRIM(MID(SUBSTITUTE($F260, ",", REPT(" ", 100)), (COLUMNS($AH$2:AJ260)-1)*100+1, 100))</f>
        <v/>
      </c>
      <c r="AK260" t="str">
        <f>TRIM(MID(SUBSTITUTE($F260, ",", REPT(" ", 100)), (COLUMNS($AH$2:AK260)-1)*100+1, 100))</f>
        <v/>
      </c>
      <c r="AL260" t="str">
        <f>TRIM(MID(SUBSTITUTE($F260, ",", REPT(" ", 100)), (COLUMNS($AH$2:AL260)-1)*100+1, 100))</f>
        <v/>
      </c>
      <c r="AM260" t="str">
        <f>TRIM(MID(SUBSTITUTE($F260, ",", REPT(" ", 100)), (COLUMNS($AH$2:AM260)-1)*100+1, 100))</f>
        <v/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60"/>
      <c r="D261" s="174"/>
      <c r="E261" s="61">
        <v>0</v>
      </c>
      <c r="F261" s="38" t="s">
        <v>263</v>
      </c>
      <c r="G261" s="38" t="s">
        <v>364</v>
      </c>
      <c r="AJ261" t="str">
        <f>TRIM(MID(SUBSTITUTE($F261, ",", REPT(" ", 100)), (COLUMNS($AH$2:AJ261)-1)*100+1, 100))</f>
        <v>Delhi</v>
      </c>
      <c r="AK261" t="str">
        <f>TRIM(MID(SUBSTITUTE($F261, ",", REPT(" ", 100)), (COLUMNS($AH$2:AK261)-1)*100+1, 100))</f>
        <v>Meerut</v>
      </c>
      <c r="AL261" t="str">
        <f>TRIM(MID(SUBSTITUTE($F261, ",", REPT(" ", 100)), (COLUMNS($AH$2:AL261)-1)*100+1, 100))</f>
        <v/>
      </c>
      <c r="AM261" t="str">
        <f>TRIM(MID(SUBSTITUTE($F261, ",", REPT(" ", 100)), (COLUMNS($AH$2:AM261)-1)*100+1, 100))</f>
        <v/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60"/>
      <c r="D262" s="174"/>
      <c r="E262" s="61">
        <v>0</v>
      </c>
      <c r="F262" s="38" t="s">
        <v>194</v>
      </c>
      <c r="AJ262" t="str">
        <f>TRIM(MID(SUBSTITUTE($F262, ",", REPT(" ", 100)), (COLUMNS($AH$2:AJ262)-1)*100+1, 100))</f>
        <v/>
      </c>
      <c r="AK262" t="str">
        <f>TRIM(MID(SUBSTITUTE($F262, ",", REPT(" ", 100)), (COLUMNS($AH$2:AK262)-1)*100+1, 100))</f>
        <v/>
      </c>
      <c r="AL262" t="str">
        <f>TRIM(MID(SUBSTITUTE($F262, ",", REPT(" ", 100)), (COLUMNS($AH$2:AL262)-1)*100+1, 100))</f>
        <v/>
      </c>
      <c r="AM262" t="str">
        <f>TRIM(MID(SUBSTITUTE($F262, ",", REPT(" ", 100)), (COLUMNS($AH$2:AM262)-1)*100+1, 100))</f>
        <v/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60"/>
      <c r="D263" s="174"/>
      <c r="E263" s="61">
        <v>1</v>
      </c>
      <c r="F263" s="38" t="s">
        <v>282</v>
      </c>
      <c r="G263" s="38" t="s">
        <v>369</v>
      </c>
      <c r="AJ263" t="str">
        <f>TRIM(MID(SUBSTITUTE($F263, ",", REPT(" ", 100)), (COLUMNS($AH$2:AJ263)-1)*100+1, 100))</f>
        <v/>
      </c>
      <c r="AK263" t="str">
        <f>TRIM(MID(SUBSTITUTE($F263, ",", REPT(" ", 100)), (COLUMNS($AH$2:AK263)-1)*100+1, 100))</f>
        <v/>
      </c>
      <c r="AL263" t="str">
        <f>TRIM(MID(SUBSTITUTE($F263, ",", REPT(" ", 100)), (COLUMNS($AH$2:AL263)-1)*100+1, 100))</f>
        <v/>
      </c>
      <c r="AM263" t="str">
        <f>TRIM(MID(SUBSTITUTE($F263, ",", REPT(" ", 100)), (COLUMNS($AH$2:AM263)-1)*100+1, 100))</f>
        <v/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60"/>
      <c r="D264" s="174"/>
      <c r="E264" s="61">
        <v>1</v>
      </c>
      <c r="F264" s="38" t="s">
        <v>363</v>
      </c>
      <c r="AJ264" t="str">
        <f>TRIM(MID(SUBSTITUTE($F264, ",", REPT(" ", 100)), (COLUMNS($AH$2:AJ264)-1)*100+1, 100))</f>
        <v/>
      </c>
      <c r="AK264" t="str">
        <f>TRIM(MID(SUBSTITUTE($F264, ",", REPT(" ", 100)), (COLUMNS($AH$2:AK264)-1)*100+1, 100))</f>
        <v/>
      </c>
      <c r="AL264" t="str">
        <f>TRIM(MID(SUBSTITUTE($F264, ",", REPT(" ", 100)), (COLUMNS($AH$2:AL264)-1)*100+1, 100))</f>
        <v/>
      </c>
      <c r="AM264" t="str">
        <f>TRIM(MID(SUBSTITUTE($F264, ",", REPT(" ", 100)), (COLUMNS($AH$2:AM264)-1)*100+1, 100))</f>
        <v/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60"/>
      <c r="D265" s="174"/>
      <c r="E265" s="61">
        <v>1</v>
      </c>
      <c r="F265" s="38" t="s">
        <v>194</v>
      </c>
      <c r="AJ265" t="str">
        <f>TRIM(MID(SUBSTITUTE($F265, ",", REPT(" ", 100)), (COLUMNS($AH$2:AJ265)-1)*100+1, 100))</f>
        <v/>
      </c>
      <c r="AK265" t="str">
        <f>TRIM(MID(SUBSTITUTE($F265, ",", REPT(" ", 100)), (COLUMNS($AH$2:AK265)-1)*100+1, 100))</f>
        <v/>
      </c>
      <c r="AL265" t="str">
        <f>TRIM(MID(SUBSTITUTE($F265, ",", REPT(" ", 100)), (COLUMNS($AH$2:AL265)-1)*100+1, 100))</f>
        <v/>
      </c>
      <c r="AM265" t="str">
        <f>TRIM(MID(SUBSTITUTE($F265, ",", REPT(" ", 100)), (COLUMNS($AH$2:AM265)-1)*100+1, 100))</f>
        <v/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60"/>
      <c r="D266" s="174"/>
      <c r="E266" s="61">
        <v>0</v>
      </c>
      <c r="F266" s="38" t="s">
        <v>194</v>
      </c>
      <c r="AJ266" t="str">
        <f>TRIM(MID(SUBSTITUTE($F266, ",", REPT(" ", 100)), (COLUMNS($AH$2:AJ266)-1)*100+1, 100))</f>
        <v/>
      </c>
      <c r="AK266" t="str">
        <f>TRIM(MID(SUBSTITUTE($F266, ",", REPT(" ", 100)), (COLUMNS($AH$2:AK266)-1)*100+1, 100))</f>
        <v/>
      </c>
      <c r="AL266" t="str">
        <f>TRIM(MID(SUBSTITUTE($F266, ",", REPT(" ", 100)), (COLUMNS($AH$2:AL266)-1)*100+1, 100))</f>
        <v/>
      </c>
      <c r="AM266" t="str">
        <f>TRIM(MID(SUBSTITUTE($F266, ",", REPT(" ", 100)), (COLUMNS($AH$2:AM266)-1)*100+1, 100))</f>
        <v/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60"/>
      <c r="D267" s="174"/>
      <c r="E267" s="61">
        <v>0</v>
      </c>
      <c r="F267" s="38" t="s">
        <v>194</v>
      </c>
      <c r="AJ267" t="str">
        <f>TRIM(MID(SUBSTITUTE($F267, ",", REPT(" ", 100)), (COLUMNS($AH$2:AJ267)-1)*100+1, 100))</f>
        <v/>
      </c>
      <c r="AK267" t="str">
        <f>TRIM(MID(SUBSTITUTE($F267, ",", REPT(" ", 100)), (COLUMNS($AH$2:AK267)-1)*100+1, 100))</f>
        <v/>
      </c>
      <c r="AL267" t="str">
        <f>TRIM(MID(SUBSTITUTE($F267, ",", REPT(" ", 100)), (COLUMNS($AH$2:AL267)-1)*100+1, 100))</f>
        <v/>
      </c>
      <c r="AM267" t="str">
        <f>TRIM(MID(SUBSTITUTE($F267, ",", REPT(" ", 100)), (COLUMNS($AH$2:AM267)-1)*100+1, 100))</f>
        <v/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60"/>
      <c r="D268" s="174"/>
      <c r="E268" s="61">
        <v>0</v>
      </c>
      <c r="F268" s="38" t="s">
        <v>194</v>
      </c>
      <c r="AJ268" t="str">
        <f>TRIM(MID(SUBSTITUTE($F268, ",", REPT(" ", 100)), (COLUMNS($AH$2:AJ268)-1)*100+1, 100))</f>
        <v/>
      </c>
      <c r="AK268" t="str">
        <f>TRIM(MID(SUBSTITUTE($F268, ",", REPT(" ", 100)), (COLUMNS($AH$2:AK268)-1)*100+1, 100))</f>
        <v/>
      </c>
      <c r="AL268" t="str">
        <f>TRIM(MID(SUBSTITUTE($F268, ",", REPT(" ", 100)), (COLUMNS($AH$2:AL268)-1)*100+1, 100))</f>
        <v/>
      </c>
      <c r="AM268" t="str">
        <f>TRIM(MID(SUBSTITUTE($F268, ",", REPT(" ", 100)), (COLUMNS($AH$2:AM268)-1)*100+1, 100))</f>
        <v/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60"/>
      <c r="D269" s="174"/>
      <c r="E269" s="61">
        <v>0</v>
      </c>
      <c r="F269" s="38" t="s">
        <v>194</v>
      </c>
      <c r="G269" s="38" t="s">
        <v>386</v>
      </c>
      <c r="AJ269" t="str">
        <f>TRIM(MID(SUBSTITUTE($F269, ",", REPT(" ", 100)), (COLUMNS($AH$2:AJ269)-1)*100+1, 100))</f>
        <v/>
      </c>
      <c r="AK269" t="str">
        <f>TRIM(MID(SUBSTITUTE($F269, ",", REPT(" ", 100)), (COLUMNS($AH$2:AK269)-1)*100+1, 100))</f>
        <v/>
      </c>
      <c r="AL269" t="str">
        <f>TRIM(MID(SUBSTITUTE($F269, ",", REPT(" ", 100)), (COLUMNS($AH$2:AL269)-1)*100+1, 100))</f>
        <v/>
      </c>
      <c r="AM269" t="str">
        <f>TRIM(MID(SUBSTITUTE($F269, ",", REPT(" ", 100)), (COLUMNS($AH$2:AM269)-1)*100+1, 100))</f>
        <v/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60"/>
      <c r="D270" s="174"/>
      <c r="E270" s="61">
        <v>0</v>
      </c>
      <c r="F270" s="38" t="s">
        <v>194</v>
      </c>
      <c r="AJ270" t="str">
        <f>TRIM(MID(SUBSTITUTE($F270, ",", REPT(" ", 100)), (COLUMNS($AH$2:AJ270)-1)*100+1, 100))</f>
        <v/>
      </c>
      <c r="AK270" t="str">
        <f>TRIM(MID(SUBSTITUTE($F270, ",", REPT(" ", 100)), (COLUMNS($AH$2:AK270)-1)*100+1, 100))</f>
        <v/>
      </c>
      <c r="AL270" t="str">
        <f>TRIM(MID(SUBSTITUTE($F270, ",", REPT(" ", 100)), (COLUMNS($AH$2:AL270)-1)*100+1, 100))</f>
        <v/>
      </c>
      <c r="AM270" t="str">
        <f>TRIM(MID(SUBSTITUTE($F270, ",", REPT(" ", 100)), (COLUMNS($AH$2:AM270)-1)*100+1, 100))</f>
        <v/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60"/>
      <c r="D271" s="174"/>
      <c r="E271" s="61">
        <v>1</v>
      </c>
      <c r="F271" s="38" t="s">
        <v>194</v>
      </c>
      <c r="AJ271" t="str">
        <f>TRIM(MID(SUBSTITUTE($F271, ",", REPT(" ", 100)), (COLUMNS($AH$2:AJ271)-1)*100+1, 100))</f>
        <v/>
      </c>
      <c r="AK271" t="str">
        <f>TRIM(MID(SUBSTITUTE($F271, ",", REPT(" ", 100)), (COLUMNS($AH$2:AK271)-1)*100+1, 100))</f>
        <v/>
      </c>
      <c r="AL271" t="str">
        <f>TRIM(MID(SUBSTITUTE($F271, ",", REPT(" ", 100)), (COLUMNS($AH$2:AL271)-1)*100+1, 100))</f>
        <v/>
      </c>
      <c r="AM271" t="str">
        <f>TRIM(MID(SUBSTITUTE($F271, ",", REPT(" ", 100)), (COLUMNS($AH$2:AM271)-1)*100+1, 100))</f>
        <v/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60"/>
      <c r="D272" s="174"/>
      <c r="E272" s="61">
        <v>1</v>
      </c>
      <c r="F272" s="38" t="s">
        <v>194</v>
      </c>
      <c r="AJ272" t="str">
        <f>TRIM(MID(SUBSTITUTE($F272, ",", REPT(" ", 100)), (COLUMNS($AH$2:AJ272)-1)*100+1, 100))</f>
        <v/>
      </c>
      <c r="AK272" t="str">
        <f>TRIM(MID(SUBSTITUTE($F272, ",", REPT(" ", 100)), (COLUMNS($AH$2:AK272)-1)*100+1, 100))</f>
        <v/>
      </c>
      <c r="AL272" t="str">
        <f>TRIM(MID(SUBSTITUTE($F272, ",", REPT(" ", 100)), (COLUMNS($AH$2:AL272)-1)*100+1, 100))</f>
        <v/>
      </c>
      <c r="AM272" t="str">
        <f>TRIM(MID(SUBSTITUTE($F272, ",", REPT(" ", 100)), (COLUMNS($AH$2:AM272)-1)*100+1, 100))</f>
        <v/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60"/>
      <c r="D273" s="174"/>
      <c r="E273" s="61">
        <v>0</v>
      </c>
      <c r="F273" s="38" t="s">
        <v>194</v>
      </c>
      <c r="AJ273" t="str">
        <f>TRIM(MID(SUBSTITUTE($F273, ",", REPT(" ", 100)), (COLUMNS($AH$2:AJ273)-1)*100+1, 100))</f>
        <v/>
      </c>
      <c r="AK273" t="str">
        <f>TRIM(MID(SUBSTITUTE($F273, ",", REPT(" ", 100)), (COLUMNS($AH$2:AK273)-1)*100+1, 100))</f>
        <v/>
      </c>
      <c r="AL273" t="str">
        <f>TRIM(MID(SUBSTITUTE($F273, ",", REPT(" ", 100)), (COLUMNS($AH$2:AL273)-1)*100+1, 100))</f>
        <v/>
      </c>
      <c r="AM273" t="str">
        <f>TRIM(MID(SUBSTITUTE($F273, ",", REPT(" ", 100)), (COLUMNS($AH$2:AM273)-1)*100+1, 100))</f>
        <v/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60"/>
      <c r="D274" s="174"/>
      <c r="E274" s="61">
        <v>1</v>
      </c>
      <c r="F274" s="38" t="s">
        <v>194</v>
      </c>
      <c r="AJ274" t="str">
        <f>TRIM(MID(SUBSTITUTE($F274, ",", REPT(" ", 100)), (COLUMNS($AH$2:AJ274)-1)*100+1, 100))</f>
        <v/>
      </c>
      <c r="AK274" t="str">
        <f>TRIM(MID(SUBSTITUTE($F274, ",", REPT(" ", 100)), (COLUMNS($AH$2:AK274)-1)*100+1, 100))</f>
        <v/>
      </c>
      <c r="AL274" t="str">
        <f>TRIM(MID(SUBSTITUTE($F274, ",", REPT(" ", 100)), (COLUMNS($AH$2:AL274)-1)*100+1, 100))</f>
        <v/>
      </c>
      <c r="AM274" t="str">
        <f>TRIM(MID(SUBSTITUTE($F274, ",", REPT(" ", 100)), (COLUMNS($AH$2:AM274)-1)*100+1, 100))</f>
        <v/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60">
        <f>AVERAGE(B275:B305)</f>
        <v>5.629032258064516</v>
      </c>
      <c r="D275" s="174"/>
      <c r="E275" s="61">
        <v>1</v>
      </c>
      <c r="F275" s="38" t="s">
        <v>194</v>
      </c>
      <c r="AJ275" t="str">
        <f>TRIM(MID(SUBSTITUTE($F275, ",", REPT(" ", 100)), (COLUMNS($AH$2:AJ275)-1)*100+1, 100))</f>
        <v/>
      </c>
      <c r="AK275" t="str">
        <f>TRIM(MID(SUBSTITUTE($F275, ",", REPT(" ", 100)), (COLUMNS($AH$2:AK275)-1)*100+1, 100))</f>
        <v/>
      </c>
      <c r="AL275" t="str">
        <f>TRIM(MID(SUBSTITUTE($F275, ",", REPT(" ", 100)), (COLUMNS($AH$2:AL275)-1)*100+1, 100))</f>
        <v/>
      </c>
      <c r="AM275" t="str">
        <f>TRIM(MID(SUBSTITUTE($F275, ",", REPT(" ", 100)), (COLUMNS($AH$2:AM275)-1)*100+1, 100))</f>
        <v/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60"/>
      <c r="D276" s="174"/>
      <c r="E276" s="61">
        <v>1</v>
      </c>
      <c r="F276" s="38" t="s">
        <v>194</v>
      </c>
      <c r="AJ276" t="str">
        <f>TRIM(MID(SUBSTITUTE($F276, ",", REPT(" ", 100)), (COLUMNS($AH$2:AJ276)-1)*100+1, 100))</f>
        <v/>
      </c>
      <c r="AK276" t="str">
        <f>TRIM(MID(SUBSTITUTE($F276, ",", REPT(" ", 100)), (COLUMNS($AH$2:AK276)-1)*100+1, 100))</f>
        <v/>
      </c>
      <c r="AL276" t="str">
        <f>TRIM(MID(SUBSTITUTE($F276, ",", REPT(" ", 100)), (COLUMNS($AH$2:AL276)-1)*100+1, 100))</f>
        <v/>
      </c>
      <c r="AM276" t="str">
        <f>TRIM(MID(SUBSTITUTE($F276, ",", REPT(" ", 100)), (COLUMNS($AH$2:AM276)-1)*100+1, 100))</f>
        <v/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60"/>
      <c r="D277" s="174"/>
      <c r="E277" s="61">
        <v>0</v>
      </c>
      <c r="F277" s="38" t="s">
        <v>194</v>
      </c>
      <c r="AJ277" t="str">
        <f>TRIM(MID(SUBSTITUTE($F277, ",", REPT(" ", 100)), (COLUMNS($AH$2:AJ277)-1)*100+1, 100))</f>
        <v/>
      </c>
      <c r="AK277" t="str">
        <f>TRIM(MID(SUBSTITUTE($F277, ",", REPT(" ", 100)), (COLUMNS($AH$2:AK277)-1)*100+1, 100))</f>
        <v/>
      </c>
      <c r="AL277" t="str">
        <f>TRIM(MID(SUBSTITUTE($F277, ",", REPT(" ", 100)), (COLUMNS($AH$2:AL277)-1)*100+1, 100))</f>
        <v/>
      </c>
      <c r="AM277" t="str">
        <f>TRIM(MID(SUBSTITUTE($F277, ",", REPT(" ", 100)), (COLUMNS($AH$2:AM277)-1)*100+1, 100))</f>
        <v/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60"/>
      <c r="D278" s="174"/>
      <c r="E278" s="61">
        <v>0</v>
      </c>
      <c r="F278" s="38" t="s">
        <v>194</v>
      </c>
      <c r="AJ278" t="str">
        <f>TRIM(MID(SUBSTITUTE($F278, ",", REPT(" ", 100)), (COLUMNS($AH$2:AJ278)-1)*100+1, 100))</f>
        <v/>
      </c>
      <c r="AK278" t="str">
        <f>TRIM(MID(SUBSTITUTE($F278, ",", REPT(" ", 100)), (COLUMNS($AH$2:AK278)-1)*100+1, 100))</f>
        <v/>
      </c>
      <c r="AL278" t="str">
        <f>TRIM(MID(SUBSTITUTE($F278, ",", REPT(" ", 100)), (COLUMNS($AH$2:AL278)-1)*100+1, 100))</f>
        <v/>
      </c>
      <c r="AM278" t="str">
        <f>TRIM(MID(SUBSTITUTE($F278, ",", REPT(" ", 100)), (COLUMNS($AH$2:AM278)-1)*100+1, 100))</f>
        <v/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60"/>
      <c r="D279" s="174"/>
      <c r="E279" s="61">
        <v>1</v>
      </c>
      <c r="F279" s="38" t="s">
        <v>194</v>
      </c>
      <c r="AJ279" t="str">
        <f>TRIM(MID(SUBSTITUTE($F279, ",", REPT(" ", 100)), (COLUMNS($AH$2:AJ279)-1)*100+1, 100))</f>
        <v/>
      </c>
      <c r="AK279" t="str">
        <f>TRIM(MID(SUBSTITUTE($F279, ",", REPT(" ", 100)), (COLUMNS($AH$2:AK279)-1)*100+1, 100))</f>
        <v/>
      </c>
      <c r="AL279" t="str">
        <f>TRIM(MID(SUBSTITUTE($F279, ",", REPT(" ", 100)), (COLUMNS($AH$2:AL279)-1)*100+1, 100))</f>
        <v/>
      </c>
      <c r="AM279" t="str">
        <f>TRIM(MID(SUBSTITUTE($F279, ",", REPT(" ", 100)), (COLUMNS($AH$2:AM279)-1)*100+1, 100))</f>
        <v/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60"/>
      <c r="D280" s="174"/>
      <c r="E280" s="61">
        <v>1</v>
      </c>
      <c r="F280" s="38" t="s">
        <v>194</v>
      </c>
      <c r="AJ280" t="str">
        <f>TRIM(MID(SUBSTITUTE($F280, ",", REPT(" ", 100)), (COLUMNS($AH$2:AJ280)-1)*100+1, 100))</f>
        <v/>
      </c>
      <c r="AK280" t="str">
        <f>TRIM(MID(SUBSTITUTE($F280, ",", REPT(" ", 100)), (COLUMNS($AH$2:AK280)-1)*100+1, 100))</f>
        <v/>
      </c>
      <c r="AL280" t="str">
        <f>TRIM(MID(SUBSTITUTE($F280, ",", REPT(" ", 100)), (COLUMNS($AH$2:AL280)-1)*100+1, 100))</f>
        <v/>
      </c>
      <c r="AM280" t="str">
        <f>TRIM(MID(SUBSTITUTE($F280, ",", REPT(" ", 100)), (COLUMNS($AH$2:AM280)-1)*100+1, 100))</f>
        <v/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60"/>
      <c r="D281" s="174"/>
      <c r="E281" s="61">
        <v>1</v>
      </c>
      <c r="F281" s="38" t="s">
        <v>194</v>
      </c>
      <c r="AJ281" t="str">
        <f>TRIM(MID(SUBSTITUTE($F281, ",", REPT(" ", 100)), (COLUMNS($AH$2:AJ281)-1)*100+1, 100))</f>
        <v/>
      </c>
      <c r="AK281" t="str">
        <f>TRIM(MID(SUBSTITUTE($F281, ",", REPT(" ", 100)), (COLUMNS($AH$2:AK281)-1)*100+1, 100))</f>
        <v/>
      </c>
      <c r="AL281" t="str">
        <f>TRIM(MID(SUBSTITUTE($F281, ",", REPT(" ", 100)), (COLUMNS($AH$2:AL281)-1)*100+1, 100))</f>
        <v/>
      </c>
      <c r="AM281" t="str">
        <f>TRIM(MID(SUBSTITUTE($F281, ",", REPT(" ", 100)), (COLUMNS($AH$2:AM281)-1)*100+1, 100))</f>
        <v/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60"/>
      <c r="D282" s="174"/>
      <c r="E282" s="61">
        <v>1</v>
      </c>
      <c r="F282" s="38" t="s">
        <v>194</v>
      </c>
      <c r="AJ282" t="str">
        <f>TRIM(MID(SUBSTITUTE($F282, ",", REPT(" ", 100)), (COLUMNS($AH$2:AJ282)-1)*100+1, 100))</f>
        <v/>
      </c>
      <c r="AK282" t="str">
        <f>TRIM(MID(SUBSTITUTE($F282, ",", REPT(" ", 100)), (COLUMNS($AH$2:AK282)-1)*100+1, 100))</f>
        <v/>
      </c>
      <c r="AL282" t="str">
        <f>TRIM(MID(SUBSTITUTE($F282, ",", REPT(" ", 100)), (COLUMNS($AH$2:AL282)-1)*100+1, 100))</f>
        <v/>
      </c>
      <c r="AM282" t="str">
        <f>TRIM(MID(SUBSTITUTE($F282, ",", REPT(" ", 100)), (COLUMNS($AH$2:AM282)-1)*100+1, 100))</f>
        <v/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60"/>
      <c r="D283" s="174"/>
      <c r="E283" s="61">
        <v>1</v>
      </c>
      <c r="F283" s="38" t="s">
        <v>194</v>
      </c>
      <c r="AJ283" t="str">
        <f>TRIM(MID(SUBSTITUTE($F283, ",", REPT(" ", 100)), (COLUMNS($AH$2:AJ283)-1)*100+1, 100))</f>
        <v/>
      </c>
      <c r="AK283" t="str">
        <f>TRIM(MID(SUBSTITUTE($F283, ",", REPT(" ", 100)), (COLUMNS($AH$2:AK283)-1)*100+1, 100))</f>
        <v/>
      </c>
      <c r="AL283" t="str">
        <f>TRIM(MID(SUBSTITUTE($F283, ",", REPT(" ", 100)), (COLUMNS($AH$2:AL283)-1)*100+1, 100))</f>
        <v/>
      </c>
      <c r="AM283" t="str">
        <f>TRIM(MID(SUBSTITUTE($F283, ",", REPT(" ", 100)), (COLUMNS($AH$2:AM283)-1)*100+1, 100))</f>
        <v/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60"/>
      <c r="D284" s="174"/>
      <c r="E284" s="61">
        <v>1</v>
      </c>
      <c r="F284" s="38" t="s">
        <v>194</v>
      </c>
      <c r="AJ284" t="str">
        <f>TRIM(MID(SUBSTITUTE($F284, ",", REPT(" ", 100)), (COLUMNS($AH$2:AJ284)-1)*100+1, 100))</f>
        <v/>
      </c>
      <c r="AK284" t="str">
        <f>TRIM(MID(SUBSTITUTE($F284, ",", REPT(" ", 100)), (COLUMNS($AH$2:AK284)-1)*100+1, 100))</f>
        <v/>
      </c>
      <c r="AL284" t="str">
        <f>TRIM(MID(SUBSTITUTE($F284, ",", REPT(" ", 100)), (COLUMNS($AH$2:AL284)-1)*100+1, 100))</f>
        <v/>
      </c>
      <c r="AM284" t="str">
        <f>TRIM(MID(SUBSTITUTE($F284, ",", REPT(" ", 100)), (COLUMNS($AH$2:AM284)-1)*100+1, 100))</f>
        <v/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60"/>
      <c r="D285" s="174"/>
      <c r="E285" s="61">
        <v>1</v>
      </c>
      <c r="F285" s="38" t="s">
        <v>389</v>
      </c>
      <c r="AJ285" t="e">
        <f>TRIM(MID(SUBSTITUTE(#REF!, ",", REPT(" ", 100)), (COLUMNS($AH$2:AJ285)-1)*100+1, 100))</f>
        <v>#REF!</v>
      </c>
      <c r="AK285" t="e">
        <f>TRIM(MID(SUBSTITUTE(#REF!, ",", REPT(" ", 100)), (COLUMNS($AH$2:AK285)-1)*100+1, 100))</f>
        <v>#REF!</v>
      </c>
      <c r="AL285" t="e">
        <f>TRIM(MID(SUBSTITUTE(#REF!, ",", REPT(" ", 100)), (COLUMNS($AH$2:AL285)-1)*100+1, 100))</f>
        <v>#REF!</v>
      </c>
      <c r="AM285" t="e">
        <f>TRIM(MID(SUBSTITUTE(#REF!, ",", REPT(" ", 100)), (COLUMNS($AH$2:AM285)-1)*100+1, 100))</f>
        <v>#REF!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60"/>
      <c r="D286" s="174"/>
      <c r="E286" s="61">
        <v>1</v>
      </c>
      <c r="F286" s="38" t="s">
        <v>176</v>
      </c>
      <c r="AJ286" t="str">
        <f>TRIM(MID(SUBSTITUTE($F285, ",", REPT(" ", 100)), (COLUMNS($AH$2:AJ286)-1)*100+1, 100))</f>
        <v>Chennai</v>
      </c>
      <c r="AK286" t="str">
        <f>TRIM(MID(SUBSTITUTE($F285, ",", REPT(" ", 100)), (COLUMNS($AH$2:AK286)-1)*100+1, 100))</f>
        <v>Kochi</v>
      </c>
      <c r="AL286" t="str">
        <f>TRIM(MID(SUBSTITUTE($F285, ",", REPT(" ", 100)), (COLUMNS($AH$2:AL286)-1)*100+1, 100))</f>
        <v>Kottayam</v>
      </c>
      <c r="AM286" t="str">
        <f>TRIM(MID(SUBSTITUTE($F285, ",", REPT(" ", 100)), (COLUMNS($AH$2:AM286)-1)*100+1, 100))</f>
        <v/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60"/>
      <c r="D287" s="174"/>
      <c r="E287" s="61">
        <v>1</v>
      </c>
      <c r="F287" s="38" t="s">
        <v>176</v>
      </c>
      <c r="G287" s="161" t="s">
        <v>399</v>
      </c>
      <c r="AJ287" t="str">
        <f>TRIM(MID(SUBSTITUTE($F287, ",", REPT(" ", 100)), (COLUMNS($AH$2:AJ287)-1)*100+1, 100))</f>
        <v/>
      </c>
      <c r="AK287" t="str">
        <f>TRIM(MID(SUBSTITUTE($F287, ",", REPT(" ", 100)), (COLUMNS($AH$2:AK287)-1)*100+1, 100))</f>
        <v/>
      </c>
      <c r="AL287" t="str">
        <f>TRIM(MID(SUBSTITUTE($F287, ",", REPT(" ", 100)), (COLUMNS($AH$2:AL287)-1)*100+1, 100))</f>
        <v/>
      </c>
      <c r="AM287" t="str">
        <f>TRIM(MID(SUBSTITUTE($F287, ",", REPT(" ", 100)), (COLUMNS($AH$2:AM287)-1)*100+1, 100))</f>
        <v/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60"/>
      <c r="D288" s="174"/>
      <c r="E288" s="61">
        <v>1</v>
      </c>
      <c r="F288" s="38" t="s">
        <v>176</v>
      </c>
      <c r="G288" s="161"/>
      <c r="AJ288" t="str">
        <f>TRIM(MID(SUBSTITUTE($F288, ",", REPT(" ", 100)), (COLUMNS($AH$2:AJ288)-1)*100+1, 100))</f>
        <v/>
      </c>
      <c r="AK288" t="str">
        <f>TRIM(MID(SUBSTITUTE($F288, ",", REPT(" ", 100)), (COLUMNS($AH$2:AK288)-1)*100+1, 100))</f>
        <v/>
      </c>
      <c r="AL288" t="str">
        <f>TRIM(MID(SUBSTITUTE($F288, ",", REPT(" ", 100)), (COLUMNS($AH$2:AL288)-1)*100+1, 100))</f>
        <v/>
      </c>
      <c r="AM288" t="str">
        <f>TRIM(MID(SUBSTITUTE($F288, ",", REPT(" ", 100)), (COLUMNS($AH$2:AM288)-1)*100+1, 100))</f>
        <v/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60"/>
      <c r="D289" s="174"/>
      <c r="E289" s="61">
        <v>1</v>
      </c>
      <c r="F289" s="38" t="s">
        <v>176</v>
      </c>
      <c r="G289" s="161"/>
      <c r="AJ289" t="str">
        <f>TRIM(MID(SUBSTITUTE($F289, ",", REPT(" ", 100)), (COLUMNS($AH$2:AJ289)-1)*100+1, 100))</f>
        <v/>
      </c>
      <c r="AK289" t="str">
        <f>TRIM(MID(SUBSTITUTE($F289, ",", REPT(" ", 100)), (COLUMNS($AH$2:AK289)-1)*100+1, 100))</f>
        <v/>
      </c>
      <c r="AL289" t="str">
        <f>TRIM(MID(SUBSTITUTE($F289, ",", REPT(" ", 100)), (COLUMNS($AH$2:AL289)-1)*100+1, 100))</f>
        <v/>
      </c>
      <c r="AM289" t="str">
        <f>TRIM(MID(SUBSTITUTE($F289, ",", REPT(" ", 100)), (COLUMNS($AH$2:AM289)-1)*100+1, 100))</f>
        <v/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60"/>
      <c r="D290" s="174"/>
      <c r="E290" s="61">
        <v>1</v>
      </c>
      <c r="F290" s="38" t="s">
        <v>176</v>
      </c>
      <c r="G290" s="161"/>
      <c r="AJ290" t="str">
        <f>TRIM(MID(SUBSTITUTE($F290, ",", REPT(" ", 100)), (COLUMNS($AH$2:AJ290)-1)*100+1, 100))</f>
        <v/>
      </c>
      <c r="AK290" t="str">
        <f>TRIM(MID(SUBSTITUTE($F290, ",", REPT(" ", 100)), (COLUMNS($AH$2:AK290)-1)*100+1, 100))</f>
        <v/>
      </c>
      <c r="AL290" t="str">
        <f>TRIM(MID(SUBSTITUTE($F290, ",", REPT(" ", 100)), (COLUMNS($AH$2:AL290)-1)*100+1, 100))</f>
        <v/>
      </c>
      <c r="AM290" t="str">
        <f>TRIM(MID(SUBSTITUTE($F290, ",", REPT(" ", 100)), (COLUMNS($AH$2:AM290)-1)*100+1, 100))</f>
        <v/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60"/>
      <c r="D291" s="174"/>
      <c r="E291" s="61">
        <v>0</v>
      </c>
      <c r="F291" s="38" t="s">
        <v>176</v>
      </c>
      <c r="AJ291" t="str">
        <f>TRIM(MID(SUBSTITUTE($F291, ",", REPT(" ", 100)), (COLUMNS($AH$2:AJ291)-1)*100+1, 100))</f>
        <v/>
      </c>
      <c r="AK291" t="str">
        <f>TRIM(MID(SUBSTITUTE($F291, ",", REPT(" ", 100)), (COLUMNS($AH$2:AK291)-1)*100+1, 100))</f>
        <v/>
      </c>
      <c r="AL291" t="str">
        <f>TRIM(MID(SUBSTITUTE($F291, ",", REPT(" ", 100)), (COLUMNS($AH$2:AL291)-1)*100+1, 100))</f>
        <v/>
      </c>
      <c r="AM291" t="str">
        <f>TRIM(MID(SUBSTITUTE($F291, ",", REPT(" ", 100)), (COLUMNS($AH$2:AM291)-1)*100+1, 100))</f>
        <v/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60"/>
      <c r="D292" s="174"/>
      <c r="E292" s="61">
        <v>1</v>
      </c>
      <c r="F292" s="38" t="s">
        <v>176</v>
      </c>
      <c r="AJ292" t="str">
        <f>TRIM(MID(SUBSTITUTE($F292, ",", REPT(" ", 100)), (COLUMNS($AH$2:AJ292)-1)*100+1, 100))</f>
        <v/>
      </c>
      <c r="AK292" t="str">
        <f>TRIM(MID(SUBSTITUTE($F292, ",", REPT(" ", 100)), (COLUMNS($AH$2:AK292)-1)*100+1, 100))</f>
        <v/>
      </c>
      <c r="AL292" t="str">
        <f>TRIM(MID(SUBSTITUTE($F292, ",", REPT(" ", 100)), (COLUMNS($AH$2:AL292)-1)*100+1, 100))</f>
        <v/>
      </c>
      <c r="AM292" t="str">
        <f>TRIM(MID(SUBSTITUTE($F292, ",", REPT(" ", 100)), (COLUMNS($AH$2:AM292)-1)*100+1, 100))</f>
        <v/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60"/>
      <c r="D293" s="174"/>
      <c r="E293" s="61">
        <v>1</v>
      </c>
      <c r="F293" s="38" t="s">
        <v>176</v>
      </c>
      <c r="AJ293" t="str">
        <f>TRIM(MID(SUBSTITUTE($F293, ",", REPT(" ", 100)), (COLUMNS($AH$2:AJ293)-1)*100+1, 100))</f>
        <v/>
      </c>
      <c r="AK293" t="str">
        <f>TRIM(MID(SUBSTITUTE($F293, ",", REPT(" ", 100)), (COLUMNS($AH$2:AK293)-1)*100+1, 100))</f>
        <v/>
      </c>
      <c r="AL293" t="str">
        <f>TRIM(MID(SUBSTITUTE($F293, ",", REPT(" ", 100)), (COLUMNS($AH$2:AL293)-1)*100+1, 100))</f>
        <v/>
      </c>
      <c r="AM293" t="str">
        <f>TRIM(MID(SUBSTITUTE($F293, ",", REPT(" ", 100)), (COLUMNS($AH$2:AM293)-1)*100+1, 100))</f>
        <v/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60"/>
      <c r="D294" s="174"/>
      <c r="E294" s="61">
        <v>1</v>
      </c>
      <c r="F294" s="38" t="s">
        <v>176</v>
      </c>
      <c r="AJ294" t="str">
        <f>TRIM(MID(SUBSTITUTE($F294, ",", REPT(" ", 100)), (COLUMNS($AH$2:AJ294)-1)*100+1, 100))</f>
        <v/>
      </c>
      <c r="AK294" t="str">
        <f>TRIM(MID(SUBSTITUTE($F294, ",", REPT(" ", 100)), (COLUMNS($AH$2:AK294)-1)*100+1, 100))</f>
        <v/>
      </c>
      <c r="AL294" t="str">
        <f>TRIM(MID(SUBSTITUTE($F294, ",", REPT(" ", 100)), (COLUMNS($AH$2:AL294)-1)*100+1, 100))</f>
        <v/>
      </c>
      <c r="AM294" t="str">
        <f>TRIM(MID(SUBSTITUTE($F294, ",", REPT(" ", 100)), (COLUMNS($AH$2:AM294)-1)*100+1, 100))</f>
        <v/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60"/>
      <c r="D295" s="174"/>
      <c r="E295" s="61">
        <v>0</v>
      </c>
      <c r="F295" s="38" t="s">
        <v>176</v>
      </c>
      <c r="AJ295" t="str">
        <f>TRIM(MID(SUBSTITUTE($F295, ",", REPT(" ", 100)), (COLUMNS($AH$2:AJ295)-1)*100+1, 100))</f>
        <v/>
      </c>
      <c r="AK295" t="str">
        <f>TRIM(MID(SUBSTITUTE($F295, ",", REPT(" ", 100)), (COLUMNS($AH$2:AK295)-1)*100+1, 100))</f>
        <v/>
      </c>
      <c r="AL295" t="str">
        <f>TRIM(MID(SUBSTITUTE($F295, ",", REPT(" ", 100)), (COLUMNS($AH$2:AL295)-1)*100+1, 100))</f>
        <v/>
      </c>
      <c r="AM295" t="str">
        <f>TRIM(MID(SUBSTITUTE($F295, ",", REPT(" ", 100)), (COLUMNS($AH$2:AM295)-1)*100+1, 100))</f>
        <v/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60"/>
      <c r="D296" s="174"/>
      <c r="E296" s="61">
        <v>0</v>
      </c>
      <c r="F296" s="38" t="s">
        <v>176</v>
      </c>
      <c r="AJ296" t="str">
        <f>TRIM(MID(SUBSTITUTE($F296, ",", REPT(" ", 100)), (COLUMNS($AH$2:AJ296)-1)*100+1, 100))</f>
        <v/>
      </c>
      <c r="AK296" t="str">
        <f>TRIM(MID(SUBSTITUTE($F296, ",", REPT(" ", 100)), (COLUMNS($AH$2:AK296)-1)*100+1, 100))</f>
        <v/>
      </c>
      <c r="AL296" t="str">
        <f>TRIM(MID(SUBSTITUTE($F296, ",", REPT(" ", 100)), (COLUMNS($AH$2:AL296)-1)*100+1, 100))</f>
        <v/>
      </c>
      <c r="AM296" t="str">
        <f>TRIM(MID(SUBSTITUTE($F296, ",", REPT(" ", 100)), (COLUMNS($AH$2:AM296)-1)*100+1, 100))</f>
        <v/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60"/>
      <c r="D297" s="174"/>
      <c r="E297" s="61">
        <v>1</v>
      </c>
      <c r="F297" s="38" t="s">
        <v>176</v>
      </c>
      <c r="G297" s="38" t="s">
        <v>407</v>
      </c>
      <c r="AJ297" t="str">
        <f>TRIM(MID(SUBSTITUTE($F297, ",", REPT(" ", 100)), (COLUMNS($AH$2:AJ297)-1)*100+1, 100))</f>
        <v/>
      </c>
      <c r="AK297" t="str">
        <f>TRIM(MID(SUBSTITUTE($F297, ",", REPT(" ", 100)), (COLUMNS($AH$2:AK297)-1)*100+1, 100))</f>
        <v/>
      </c>
      <c r="AL297" t="str">
        <f>TRIM(MID(SUBSTITUTE($F297, ",", REPT(" ", 100)), (COLUMNS($AH$2:AL297)-1)*100+1, 100))</f>
        <v/>
      </c>
      <c r="AM297" t="str">
        <f>TRIM(MID(SUBSTITUTE($F297, ",", REPT(" ", 100)), (COLUMNS($AH$2:AM297)-1)*100+1, 100))</f>
        <v/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60"/>
      <c r="D298" s="174"/>
      <c r="E298" s="61">
        <v>1</v>
      </c>
      <c r="F298" s="38" t="s">
        <v>176</v>
      </c>
      <c r="G298" s="38" t="s">
        <v>408</v>
      </c>
      <c r="AJ298" t="str">
        <f>TRIM(MID(SUBSTITUTE($F298, ",", REPT(" ", 100)), (COLUMNS($AH$2:AJ298)-1)*100+1, 100))</f>
        <v/>
      </c>
      <c r="AK298" t="str">
        <f>TRIM(MID(SUBSTITUTE($F298, ",", REPT(" ", 100)), (COLUMNS($AH$2:AK298)-1)*100+1, 100))</f>
        <v/>
      </c>
      <c r="AL298" t="str">
        <f>TRIM(MID(SUBSTITUTE($F298, ",", REPT(" ", 100)), (COLUMNS($AH$2:AL298)-1)*100+1, 100))</f>
        <v/>
      </c>
      <c r="AM298" t="str">
        <f>TRIM(MID(SUBSTITUTE($F298, ",", REPT(" ", 100)), (COLUMNS($AH$2:AM298)-1)*100+1, 100))</f>
        <v/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60"/>
      <c r="D299" s="174"/>
      <c r="E299" s="61">
        <v>0</v>
      </c>
      <c r="F299" s="38" t="s">
        <v>176</v>
      </c>
      <c r="AJ299" t="str">
        <f>TRIM(MID(SUBSTITUTE($F299, ",", REPT(" ", 100)), (COLUMNS($AH$2:AJ299)-1)*100+1, 100))</f>
        <v/>
      </c>
      <c r="AK299" t="str">
        <f>TRIM(MID(SUBSTITUTE($F299, ",", REPT(" ", 100)), (COLUMNS($AH$2:AK299)-1)*100+1, 100))</f>
        <v/>
      </c>
      <c r="AL299" t="str">
        <f>TRIM(MID(SUBSTITUTE($F299, ",", REPT(" ", 100)), (COLUMNS($AH$2:AL299)-1)*100+1, 100))</f>
        <v/>
      </c>
      <c r="AM299" t="str">
        <f>TRIM(MID(SUBSTITUTE($F299, ",", REPT(" ", 100)), (COLUMNS($AH$2:AM299)-1)*100+1, 100))</f>
        <v/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60"/>
      <c r="D300" s="174"/>
      <c r="E300" s="61">
        <v>1</v>
      </c>
      <c r="F300" s="38" t="s">
        <v>176</v>
      </c>
      <c r="G300" s="38" t="s">
        <v>358</v>
      </c>
      <c r="AJ300" t="str">
        <f>TRIM(MID(SUBSTITUTE($F300, ",", REPT(" ", 100)), (COLUMNS($AH$2:AJ300)-1)*100+1, 100))</f>
        <v/>
      </c>
      <c r="AK300" t="str">
        <f>TRIM(MID(SUBSTITUTE($F300, ",", REPT(" ", 100)), (COLUMNS($AH$2:AK300)-1)*100+1, 100))</f>
        <v/>
      </c>
      <c r="AL300" t="str">
        <f>TRIM(MID(SUBSTITUTE($F300, ",", REPT(" ", 100)), (COLUMNS($AH$2:AL300)-1)*100+1, 100))</f>
        <v/>
      </c>
      <c r="AM300" t="str">
        <f>TRIM(MID(SUBSTITUTE($F300, ",", REPT(" ", 100)), (COLUMNS($AH$2:AM300)-1)*100+1, 100))</f>
        <v/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60"/>
      <c r="D301" s="174"/>
      <c r="E301" s="61">
        <v>1</v>
      </c>
      <c r="F301" s="38" t="s">
        <v>176</v>
      </c>
      <c r="AJ301" t="str">
        <f>TRIM(MID(SUBSTITUTE($F301, ",", REPT(" ", 100)), (COLUMNS($AH$2:AJ301)-1)*100+1, 100))</f>
        <v/>
      </c>
      <c r="AK301" t="str">
        <f>TRIM(MID(SUBSTITUTE($F301, ",", REPT(" ", 100)), (COLUMNS($AH$2:AK301)-1)*100+1, 100))</f>
        <v/>
      </c>
      <c r="AL301" t="str">
        <f>TRIM(MID(SUBSTITUTE($F301, ",", REPT(" ", 100)), (COLUMNS($AH$2:AL301)-1)*100+1, 100))</f>
        <v/>
      </c>
      <c r="AM301" t="str">
        <f>TRIM(MID(SUBSTITUTE($F301, ",", REPT(" ", 100)), (COLUMNS($AH$2:AM301)-1)*100+1, 100))</f>
        <v/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60"/>
      <c r="D302" s="174"/>
      <c r="E302" s="61">
        <v>0</v>
      </c>
      <c r="F302" s="38" t="s">
        <v>176</v>
      </c>
      <c r="AJ302" t="str">
        <f>TRIM(MID(SUBSTITUTE($F302, ",", REPT(" ", 100)), (COLUMNS($AH$2:AJ302)-1)*100+1, 100))</f>
        <v/>
      </c>
      <c r="AK302" t="str">
        <f>TRIM(MID(SUBSTITUTE($F302, ",", REPT(" ", 100)), (COLUMNS($AH$2:AK302)-1)*100+1, 100))</f>
        <v/>
      </c>
      <c r="AL302" t="str">
        <f>TRIM(MID(SUBSTITUTE($F302, ",", REPT(" ", 100)), (COLUMNS($AH$2:AL302)-1)*100+1, 100))</f>
        <v/>
      </c>
      <c r="AM302" t="str">
        <f>TRIM(MID(SUBSTITUTE($F302, ",", REPT(" ", 100)), (COLUMNS($AH$2:AM302)-1)*100+1, 100))</f>
        <v/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60"/>
      <c r="D303" s="174"/>
      <c r="E303" s="61">
        <v>1</v>
      </c>
      <c r="F303" s="38" t="s">
        <v>176</v>
      </c>
      <c r="AJ303" t="str">
        <f>TRIM(MID(SUBSTITUTE($F303, ",", REPT(" ", 100)), (COLUMNS($AH$2:AJ303)-1)*100+1, 100))</f>
        <v/>
      </c>
      <c r="AK303" t="str">
        <f>TRIM(MID(SUBSTITUTE($F303, ",", REPT(" ", 100)), (COLUMNS($AH$2:AK303)-1)*100+1, 100))</f>
        <v/>
      </c>
      <c r="AL303" t="str">
        <f>TRIM(MID(SUBSTITUTE($F303, ",", REPT(" ", 100)), (COLUMNS($AH$2:AL303)-1)*100+1, 100))</f>
        <v/>
      </c>
      <c r="AM303" t="str">
        <f>TRIM(MID(SUBSTITUTE($F303, ",", REPT(" ", 100)), (COLUMNS($AH$2:AM303)-1)*100+1, 100))</f>
        <v/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60"/>
      <c r="D304" s="174"/>
      <c r="E304" s="61">
        <v>1</v>
      </c>
      <c r="F304" s="38" t="s">
        <v>176</v>
      </c>
      <c r="AJ304" t="str">
        <f>TRIM(MID(SUBSTITUTE($F304, ",", REPT(" ", 100)), (COLUMNS($AH$2:AJ304)-1)*100+1, 100))</f>
        <v/>
      </c>
      <c r="AK304" t="str">
        <f>TRIM(MID(SUBSTITUTE($F304, ",", REPT(" ", 100)), (COLUMNS($AH$2:AK304)-1)*100+1, 100))</f>
        <v/>
      </c>
      <c r="AL304" t="str">
        <f>TRIM(MID(SUBSTITUTE($F304, ",", REPT(" ", 100)), (COLUMNS($AH$2:AL304)-1)*100+1, 100))</f>
        <v/>
      </c>
      <c r="AM304" t="str">
        <f>TRIM(MID(SUBSTITUTE($F304, ",", REPT(" ", 100)), (COLUMNS($AH$2:AM304)-1)*100+1, 100))</f>
        <v/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60"/>
      <c r="D305" s="174"/>
      <c r="E305" s="61">
        <v>0</v>
      </c>
      <c r="F305" s="38" t="s">
        <v>176</v>
      </c>
      <c r="AJ305" t="str">
        <f>TRIM(MID(SUBSTITUTE($F305, ",", REPT(" ", 100)), (COLUMNS($AH$2:AJ305)-1)*100+1, 100))</f>
        <v/>
      </c>
      <c r="AK305" t="str">
        <f>TRIM(MID(SUBSTITUTE($F305, ",", REPT(" ", 100)), (COLUMNS($AH$2:AK305)-1)*100+1, 100))</f>
        <v/>
      </c>
      <c r="AL305" t="str">
        <f>TRIM(MID(SUBSTITUTE($F305, ",", REPT(" ", 100)), (COLUMNS($AH$2:AL305)-1)*100+1, 100))</f>
        <v/>
      </c>
      <c r="AM305" t="str">
        <f>TRIM(MID(SUBSTITUTE($F305, ",", REPT(" ", 100)), (COLUMNS($AH$2:AM305)-1)*100+1, 100))</f>
        <v/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60">
        <f>AVERAGE(B306:B335)</f>
        <v>4.8499999999999996</v>
      </c>
      <c r="D306" s="174"/>
      <c r="E306" s="61">
        <v>1</v>
      </c>
      <c r="F306" s="38" t="s">
        <v>176</v>
      </c>
      <c r="AJ306" t="str">
        <f>TRIM(MID(SUBSTITUTE($F306, ",", REPT(" ", 100)), (COLUMNS($AH$2:AJ306)-1)*100+1, 100))</f>
        <v/>
      </c>
      <c r="AK306" t="str">
        <f>TRIM(MID(SUBSTITUTE($F306, ",", REPT(" ", 100)), (COLUMNS($AH$2:AK306)-1)*100+1, 100))</f>
        <v/>
      </c>
      <c r="AL306" t="str">
        <f>TRIM(MID(SUBSTITUTE($F306, ",", REPT(" ", 100)), (COLUMNS($AH$2:AL306)-1)*100+1, 100))</f>
        <v/>
      </c>
      <c r="AM306" t="str">
        <f>TRIM(MID(SUBSTITUTE($F306, ",", REPT(" ", 100)), (COLUMNS($AH$2:AM306)-1)*100+1, 100))</f>
        <v/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60"/>
      <c r="D307" s="174"/>
      <c r="E307" s="61">
        <v>1</v>
      </c>
      <c r="F307" s="38" t="s">
        <v>176</v>
      </c>
      <c r="G307" s="161" t="s">
        <v>415</v>
      </c>
      <c r="AJ307" t="str">
        <f>TRIM(MID(SUBSTITUTE($F307, ",", REPT(" ", 100)), (COLUMNS($AH$2:AJ307)-1)*100+1, 100))</f>
        <v/>
      </c>
      <c r="AK307" t="str">
        <f>TRIM(MID(SUBSTITUTE($F307, ",", REPT(" ", 100)), (COLUMNS($AH$2:AK307)-1)*100+1, 100))</f>
        <v/>
      </c>
      <c r="AL307" t="str">
        <f>TRIM(MID(SUBSTITUTE($F307, ",", REPT(" ", 100)), (COLUMNS($AH$2:AL307)-1)*100+1, 100))</f>
        <v/>
      </c>
      <c r="AM307" t="str">
        <f>TRIM(MID(SUBSTITUTE($F307, ",", REPT(" ", 100)), (COLUMNS($AH$2:AM307)-1)*100+1, 100))</f>
        <v/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60"/>
      <c r="D308" s="174"/>
      <c r="E308" s="61">
        <v>1</v>
      </c>
      <c r="F308" s="38" t="s">
        <v>176</v>
      </c>
      <c r="G308" s="161"/>
      <c r="AJ308" t="str">
        <f>TRIM(MID(SUBSTITUTE($F308, ",", REPT(" ", 100)), (COLUMNS($AH$2:AJ308)-1)*100+1, 100))</f>
        <v/>
      </c>
      <c r="AK308" t="str">
        <f>TRIM(MID(SUBSTITUTE($F308, ",", REPT(" ", 100)), (COLUMNS($AH$2:AK308)-1)*100+1, 100))</f>
        <v/>
      </c>
      <c r="AL308" t="str">
        <f>TRIM(MID(SUBSTITUTE($F308, ",", REPT(" ", 100)), (COLUMNS($AH$2:AL308)-1)*100+1, 100))</f>
        <v/>
      </c>
      <c r="AM308" t="str">
        <f>TRIM(MID(SUBSTITUTE($F308, ",", REPT(" ", 100)), (COLUMNS($AH$2:AM308)-1)*100+1, 100))</f>
        <v/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60"/>
      <c r="D309" s="174"/>
      <c r="E309" s="61">
        <v>1</v>
      </c>
      <c r="F309" s="38" t="s">
        <v>176</v>
      </c>
      <c r="AJ309" t="str">
        <f>TRIM(MID(SUBSTITUTE($F309, ",", REPT(" ", 100)), (COLUMNS($AH$2:AJ309)-1)*100+1, 100))</f>
        <v/>
      </c>
      <c r="AK309" t="str">
        <f>TRIM(MID(SUBSTITUTE($F309, ",", REPT(" ", 100)), (COLUMNS($AH$2:AK309)-1)*100+1, 100))</f>
        <v/>
      </c>
      <c r="AL309" t="str">
        <f>TRIM(MID(SUBSTITUTE($F309, ",", REPT(" ", 100)), (COLUMNS($AH$2:AL309)-1)*100+1, 100))</f>
        <v/>
      </c>
      <c r="AM309" t="str">
        <f>TRIM(MID(SUBSTITUTE($F309, ",", REPT(" ", 100)), (COLUMNS($AH$2:AM309)-1)*100+1, 100))</f>
        <v/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60"/>
      <c r="D310" s="174"/>
      <c r="E310" s="61">
        <v>1</v>
      </c>
      <c r="F310" s="38" t="s">
        <v>176</v>
      </c>
      <c r="AJ310" t="str">
        <f>TRIM(MID(SUBSTITUTE($F310, ",", REPT(" ", 100)), (COLUMNS($AH$2:AJ310)-1)*100+1, 100))</f>
        <v/>
      </c>
      <c r="AK310" t="str">
        <f>TRIM(MID(SUBSTITUTE($F310, ",", REPT(" ", 100)), (COLUMNS($AH$2:AK310)-1)*100+1, 100))</f>
        <v/>
      </c>
      <c r="AL310" t="str">
        <f>TRIM(MID(SUBSTITUTE($F310, ",", REPT(" ", 100)), (COLUMNS($AH$2:AL310)-1)*100+1, 100))</f>
        <v/>
      </c>
      <c r="AM310" t="str">
        <f>TRIM(MID(SUBSTITUTE($F310, ",", REPT(" ", 100)), (COLUMNS($AH$2:AM310)-1)*100+1, 100))</f>
        <v/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60"/>
      <c r="D311" s="174"/>
      <c r="E311" s="61">
        <v>1</v>
      </c>
      <c r="F311" s="38" t="s">
        <v>176</v>
      </c>
      <c r="AJ311" t="str">
        <f>TRIM(MID(SUBSTITUTE($F311, ",", REPT(" ", 100)), (COLUMNS($AH$2:AJ311)-1)*100+1, 100))</f>
        <v/>
      </c>
      <c r="AK311" t="str">
        <f>TRIM(MID(SUBSTITUTE($F311, ",", REPT(" ", 100)), (COLUMNS($AH$2:AK311)-1)*100+1, 100))</f>
        <v/>
      </c>
      <c r="AL311" t="str">
        <f>TRIM(MID(SUBSTITUTE($F311, ",", REPT(" ", 100)), (COLUMNS($AH$2:AL311)-1)*100+1, 100))</f>
        <v/>
      </c>
      <c r="AM311" t="str">
        <f>TRIM(MID(SUBSTITUTE($F311, ",", REPT(" ", 100)), (COLUMNS($AH$2:AM311)-1)*100+1, 100))</f>
        <v/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6</v>
      </c>
      <c r="C312" s="160"/>
      <c r="D312" s="174"/>
      <c r="E312" s="61">
        <v>1</v>
      </c>
      <c r="F312" s="38" t="s">
        <v>176</v>
      </c>
      <c r="G312" s="38" t="s">
        <v>420</v>
      </c>
      <c r="AJ312" t="str">
        <f>TRIM(MID(SUBSTITUTE($F312, ",", REPT(" ", 100)), (COLUMNS($AH$2:AJ312)-1)*100+1, 100))</f>
        <v/>
      </c>
      <c r="AK312" t="str">
        <f>TRIM(MID(SUBSTITUTE($F312, ",", REPT(" ", 100)), (COLUMNS($AH$2:AK312)-1)*100+1, 100))</f>
        <v/>
      </c>
      <c r="AL312" t="str">
        <f>TRIM(MID(SUBSTITUTE($F312, ",", REPT(" ", 100)), (COLUMNS($AH$2:AL312)-1)*100+1, 100))</f>
        <v/>
      </c>
      <c r="AM312" t="str">
        <f>TRIM(MID(SUBSTITUTE($F312, ",", REPT(" ", 100)), (COLUMNS($AH$2:AM312)-1)*100+1, 100))</f>
        <v/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60"/>
      <c r="D313" s="174"/>
      <c r="E313" s="61">
        <v>1</v>
      </c>
      <c r="F313" s="38" t="s">
        <v>176</v>
      </c>
      <c r="AJ313" t="str">
        <f>TRIM(MID(SUBSTITUTE($F313, ",", REPT(" ", 100)), (COLUMNS($AH$2:AJ313)-1)*100+1, 100))</f>
        <v/>
      </c>
      <c r="AK313" t="str">
        <f>TRIM(MID(SUBSTITUTE($F313, ",", REPT(" ", 100)), (COLUMNS($AH$2:AK313)-1)*100+1, 100))</f>
        <v/>
      </c>
      <c r="AL313" t="str">
        <f>TRIM(MID(SUBSTITUTE($F313, ",", REPT(" ", 100)), (COLUMNS($AH$2:AL313)-1)*100+1, 100))</f>
        <v/>
      </c>
      <c r="AM313" t="str">
        <f>TRIM(MID(SUBSTITUTE($F313, ",", REPT(" ", 100)), (COLUMNS($AH$2:AM313)-1)*100+1, 100))</f>
        <v/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/>
      <c r="C314" s="160"/>
      <c r="D314" s="174"/>
      <c r="E314" s="61">
        <v>1</v>
      </c>
      <c r="F314" s="38" t="s">
        <v>176</v>
      </c>
      <c r="AJ314" t="str">
        <f>TRIM(MID(SUBSTITUTE($F314, ",", REPT(" ", 100)), (COLUMNS($AH$2:AJ314)-1)*100+1, 100))</f>
        <v/>
      </c>
      <c r="AK314" t="str">
        <f>TRIM(MID(SUBSTITUTE($F314, ",", REPT(" ", 100)), (COLUMNS($AH$2:AK314)-1)*100+1, 100))</f>
        <v/>
      </c>
      <c r="AL314" t="str">
        <f>TRIM(MID(SUBSTITUTE($F314, ",", REPT(" ", 100)), (COLUMNS($AH$2:AL314)-1)*100+1, 100))</f>
        <v/>
      </c>
      <c r="AM314" t="str">
        <f>TRIM(MID(SUBSTITUTE($F314, ",", REPT(" ", 100)), (COLUMNS($AH$2:AM314)-1)*100+1, 100))</f>
        <v/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/>
      <c r="C315" s="160"/>
      <c r="D315" s="174"/>
      <c r="E315" s="61">
        <v>1</v>
      </c>
      <c r="F315" s="38" t="s">
        <v>176</v>
      </c>
      <c r="AJ315" t="str">
        <f>TRIM(MID(SUBSTITUTE($F315, ",", REPT(" ", 100)), (COLUMNS($AH$2:AJ315)-1)*100+1, 100))</f>
        <v/>
      </c>
      <c r="AK315" t="str">
        <f>TRIM(MID(SUBSTITUTE($F315, ",", REPT(" ", 100)), (COLUMNS($AH$2:AK315)-1)*100+1, 100))</f>
        <v/>
      </c>
      <c r="AL315" t="str">
        <f>TRIM(MID(SUBSTITUTE($F315, ",", REPT(" ", 100)), (COLUMNS($AH$2:AL315)-1)*100+1, 100))</f>
        <v/>
      </c>
      <c r="AM315" t="str">
        <f>TRIM(MID(SUBSTITUTE($F315, ",", REPT(" ", 100)), (COLUMNS($AH$2:AM315)-1)*100+1, 100))</f>
        <v/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/>
      <c r="C316" s="160"/>
      <c r="D316" s="174"/>
      <c r="E316" s="61">
        <v>1</v>
      </c>
      <c r="F316" s="38" t="s">
        <v>176</v>
      </c>
      <c r="AJ316" t="str">
        <f>TRIM(MID(SUBSTITUTE($F316, ",", REPT(" ", 100)), (COLUMNS($AH$2:AJ316)-1)*100+1, 100))</f>
        <v/>
      </c>
      <c r="AK316" t="str">
        <f>TRIM(MID(SUBSTITUTE($F316, ",", REPT(" ", 100)), (COLUMNS($AH$2:AK316)-1)*100+1, 100))</f>
        <v/>
      </c>
      <c r="AL316" t="str">
        <f>TRIM(MID(SUBSTITUTE($F316, ",", REPT(" ", 100)), (COLUMNS($AH$2:AL316)-1)*100+1, 100))</f>
        <v/>
      </c>
      <c r="AM316" t="str">
        <f>TRIM(MID(SUBSTITUTE($F316, ",", REPT(" ", 100)), (COLUMNS($AH$2:AM316)-1)*100+1, 100))</f>
        <v/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/>
      <c r="C317" s="160"/>
      <c r="D317" s="174"/>
      <c r="E317" s="61">
        <v>1</v>
      </c>
      <c r="F317" s="38" t="s">
        <v>176</v>
      </c>
      <c r="AJ317" t="str">
        <f>TRIM(MID(SUBSTITUTE($F317, ",", REPT(" ", 100)), (COLUMNS($AH$2:AJ317)-1)*100+1, 100))</f>
        <v/>
      </c>
      <c r="AK317" t="str">
        <f>TRIM(MID(SUBSTITUTE($F317, ",", REPT(" ", 100)), (COLUMNS($AH$2:AK317)-1)*100+1, 100))</f>
        <v/>
      </c>
      <c r="AL317" t="str">
        <f>TRIM(MID(SUBSTITUTE($F317, ",", REPT(" ", 100)), (COLUMNS($AH$2:AL317)-1)*100+1, 100))</f>
        <v/>
      </c>
      <c r="AM317" t="str">
        <f>TRIM(MID(SUBSTITUTE($F317, ",", REPT(" ", 100)), (COLUMNS($AH$2:AM317)-1)*100+1, 100))</f>
        <v/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/>
      <c r="C318" s="160"/>
      <c r="D318" s="174"/>
      <c r="E318" s="61">
        <v>1</v>
      </c>
      <c r="F318" s="38" t="s">
        <v>176</v>
      </c>
      <c r="AJ318" t="str">
        <f>TRIM(MID(SUBSTITUTE($F318, ",", REPT(" ", 100)), (COLUMNS($AH$2:AJ318)-1)*100+1, 100))</f>
        <v/>
      </c>
      <c r="AK318" t="str">
        <f>TRIM(MID(SUBSTITUTE($F318, ",", REPT(" ", 100)), (COLUMNS($AH$2:AK318)-1)*100+1, 100))</f>
        <v/>
      </c>
      <c r="AL318" t="str">
        <f>TRIM(MID(SUBSTITUTE($F318, ",", REPT(" ", 100)), (COLUMNS($AH$2:AL318)-1)*100+1, 100))</f>
        <v/>
      </c>
      <c r="AM318" t="str">
        <f>TRIM(MID(SUBSTITUTE($F318, ",", REPT(" ", 100)), (COLUMNS($AH$2:AM318)-1)*100+1, 100))</f>
        <v/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/>
      <c r="C319" s="160"/>
      <c r="D319" s="174"/>
      <c r="E319" s="61">
        <v>1</v>
      </c>
      <c r="F319" s="38" t="s">
        <v>176</v>
      </c>
      <c r="AJ319" t="str">
        <f>TRIM(MID(SUBSTITUTE($F319, ",", REPT(" ", 100)), (COLUMNS($AH$2:AJ319)-1)*100+1, 100))</f>
        <v/>
      </c>
      <c r="AK319" t="str">
        <f>TRIM(MID(SUBSTITUTE($F319, ",", REPT(" ", 100)), (COLUMNS($AH$2:AK319)-1)*100+1, 100))</f>
        <v/>
      </c>
      <c r="AL319" t="str">
        <f>TRIM(MID(SUBSTITUTE($F319, ",", REPT(" ", 100)), (COLUMNS($AH$2:AL319)-1)*100+1, 100))</f>
        <v/>
      </c>
      <c r="AM319" t="str">
        <f>TRIM(MID(SUBSTITUTE($F319, ",", REPT(" ", 100)), (COLUMNS($AH$2:AM319)-1)*100+1, 100))</f>
        <v/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/>
      <c r="C320" s="160"/>
      <c r="D320" s="174"/>
      <c r="E320" s="61">
        <v>1</v>
      </c>
      <c r="F320" s="38" t="s">
        <v>176</v>
      </c>
      <c r="AJ320" t="str">
        <f>TRIM(MID(SUBSTITUTE($F320, ",", REPT(" ", 100)), (COLUMNS($AH$2:AJ320)-1)*100+1, 100))</f>
        <v/>
      </c>
      <c r="AK320" t="str">
        <f>TRIM(MID(SUBSTITUTE($F320, ",", REPT(" ", 100)), (COLUMNS($AH$2:AK320)-1)*100+1, 100))</f>
        <v/>
      </c>
      <c r="AL320" t="str">
        <f>TRIM(MID(SUBSTITUTE($F320, ",", REPT(" ", 100)), (COLUMNS($AH$2:AL320)-1)*100+1, 100))</f>
        <v/>
      </c>
      <c r="AM320" t="str">
        <f>TRIM(MID(SUBSTITUTE($F320, ",", REPT(" ", 100)), (COLUMNS($AH$2:AM320)-1)*100+1, 100))</f>
        <v/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/>
      <c r="C321" s="160"/>
      <c r="D321" s="174"/>
      <c r="E321" s="61">
        <v>1</v>
      </c>
      <c r="F321" s="38" t="s">
        <v>176</v>
      </c>
      <c r="AJ321" t="str">
        <f>TRIM(MID(SUBSTITUTE($F321, ",", REPT(" ", 100)), (COLUMNS($AH$2:AJ321)-1)*100+1, 100))</f>
        <v/>
      </c>
      <c r="AK321" t="str">
        <f>TRIM(MID(SUBSTITUTE($F321, ",", REPT(" ", 100)), (COLUMNS($AH$2:AK321)-1)*100+1, 100))</f>
        <v/>
      </c>
      <c r="AL321" t="str">
        <f>TRIM(MID(SUBSTITUTE($F321, ",", REPT(" ", 100)), (COLUMNS($AH$2:AL321)-1)*100+1, 100))</f>
        <v/>
      </c>
      <c r="AM321" t="str">
        <f>TRIM(MID(SUBSTITUTE($F321, ",", REPT(" ", 100)), (COLUMNS($AH$2:AM321)-1)*100+1, 100))</f>
        <v/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/>
      <c r="C322" s="160"/>
      <c r="D322" s="174"/>
      <c r="E322" s="61">
        <v>1</v>
      </c>
      <c r="F322" s="38" t="s">
        <v>176</v>
      </c>
      <c r="AJ322" t="str">
        <f>TRIM(MID(SUBSTITUTE($F322, ",", REPT(" ", 100)), (COLUMNS($AH$2:AJ322)-1)*100+1, 100))</f>
        <v/>
      </c>
      <c r="AK322" t="str">
        <f>TRIM(MID(SUBSTITUTE($F322, ",", REPT(" ", 100)), (COLUMNS($AH$2:AK322)-1)*100+1, 100))</f>
        <v/>
      </c>
      <c r="AL322" t="str">
        <f>TRIM(MID(SUBSTITUTE($F322, ",", REPT(" ", 100)), (COLUMNS($AH$2:AL322)-1)*100+1, 100))</f>
        <v/>
      </c>
      <c r="AM322" t="str">
        <f>TRIM(MID(SUBSTITUTE($F322, ",", REPT(" ", 100)), (COLUMNS($AH$2:AM322)-1)*100+1, 100))</f>
        <v/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/>
      <c r="C323" s="160"/>
      <c r="D323" s="174"/>
      <c r="E323" s="61">
        <v>1</v>
      </c>
      <c r="F323" s="38" t="s">
        <v>176</v>
      </c>
      <c r="AJ323" t="str">
        <f>TRIM(MID(SUBSTITUTE($F323, ",", REPT(" ", 100)), (COLUMNS($AH$2:AJ323)-1)*100+1, 100))</f>
        <v/>
      </c>
      <c r="AK323" t="str">
        <f>TRIM(MID(SUBSTITUTE($F323, ",", REPT(" ", 100)), (COLUMNS($AH$2:AK323)-1)*100+1, 100))</f>
        <v/>
      </c>
      <c r="AL323" t="str">
        <f>TRIM(MID(SUBSTITUTE($F323, ",", REPT(" ", 100)), (COLUMNS($AH$2:AL323)-1)*100+1, 100))</f>
        <v/>
      </c>
      <c r="AM323" t="str">
        <f>TRIM(MID(SUBSTITUTE($F323, ",", REPT(" ", 100)), (COLUMNS($AH$2:AM323)-1)*100+1, 100))</f>
        <v/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/>
      <c r="C324" s="160"/>
      <c r="D324" s="174"/>
      <c r="E324" s="61">
        <v>1</v>
      </c>
      <c r="F324" s="38" t="s">
        <v>176</v>
      </c>
      <c r="AJ324" t="str">
        <f>TRIM(MID(SUBSTITUTE($F324, ",", REPT(" ", 100)), (COLUMNS($AH$2:AJ324)-1)*100+1, 100))</f>
        <v/>
      </c>
      <c r="AK324" t="str">
        <f>TRIM(MID(SUBSTITUTE($F324, ",", REPT(" ", 100)), (COLUMNS($AH$2:AK324)-1)*100+1, 100))</f>
        <v/>
      </c>
      <c r="AL324" t="str">
        <f>TRIM(MID(SUBSTITUTE($F324, ",", REPT(" ", 100)), (COLUMNS($AH$2:AL324)-1)*100+1, 100))</f>
        <v/>
      </c>
      <c r="AM324" t="str">
        <f>TRIM(MID(SUBSTITUTE($F324, ",", REPT(" ", 100)), (COLUMNS($AH$2:AM324)-1)*100+1, 100))</f>
        <v/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/>
      <c r="C325" s="160"/>
      <c r="D325" s="174"/>
      <c r="E325" s="61">
        <v>1</v>
      </c>
      <c r="F325" s="38" t="s">
        <v>176</v>
      </c>
      <c r="AJ325" t="str">
        <f>TRIM(MID(SUBSTITUTE($F325, ",", REPT(" ", 100)), (COLUMNS($AH$2:AJ325)-1)*100+1, 100))</f>
        <v/>
      </c>
      <c r="AK325" t="str">
        <f>TRIM(MID(SUBSTITUTE($F325, ",", REPT(" ", 100)), (COLUMNS($AH$2:AK325)-1)*100+1, 100))</f>
        <v/>
      </c>
      <c r="AL325" t="str">
        <f>TRIM(MID(SUBSTITUTE($F325, ",", REPT(" ", 100)), (COLUMNS($AH$2:AL325)-1)*100+1, 100))</f>
        <v/>
      </c>
      <c r="AM325" t="str">
        <f>TRIM(MID(SUBSTITUTE($F325, ",", REPT(" ", 100)), (COLUMNS($AH$2:AM325)-1)*100+1, 100))</f>
        <v/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/>
      <c r="C326" s="160"/>
      <c r="D326" s="174"/>
      <c r="E326" s="61">
        <v>1</v>
      </c>
      <c r="F326" s="38" t="s">
        <v>176</v>
      </c>
      <c r="AJ326" t="str">
        <f>TRIM(MID(SUBSTITUTE($F326, ",", REPT(" ", 100)), (COLUMNS($AH$2:AJ326)-1)*100+1, 100))</f>
        <v/>
      </c>
      <c r="AK326" t="str">
        <f>TRIM(MID(SUBSTITUTE($F326, ",", REPT(" ", 100)), (COLUMNS($AH$2:AK326)-1)*100+1, 100))</f>
        <v/>
      </c>
      <c r="AL326" t="str">
        <f>TRIM(MID(SUBSTITUTE($F326, ",", REPT(" ", 100)), (COLUMNS($AH$2:AL326)-1)*100+1, 100))</f>
        <v/>
      </c>
      <c r="AM326" t="str">
        <f>TRIM(MID(SUBSTITUTE($F326, ",", REPT(" ", 100)), (COLUMNS($AH$2:AM326)-1)*100+1, 100))</f>
        <v/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/>
      <c r="C327" s="160"/>
      <c r="D327" s="174"/>
      <c r="E327" s="61">
        <v>1</v>
      </c>
      <c r="F327" s="38" t="s">
        <v>176</v>
      </c>
      <c r="AJ327" t="str">
        <f>TRIM(MID(SUBSTITUTE($F327, ",", REPT(" ", 100)), (COLUMNS($AH$2:AJ327)-1)*100+1, 100))</f>
        <v/>
      </c>
      <c r="AK327" t="str">
        <f>TRIM(MID(SUBSTITUTE($F327, ",", REPT(" ", 100)), (COLUMNS($AH$2:AK327)-1)*100+1, 100))</f>
        <v/>
      </c>
      <c r="AL327" t="str">
        <f>TRIM(MID(SUBSTITUTE($F327, ",", REPT(" ", 100)), (COLUMNS($AH$2:AL327)-1)*100+1, 100))</f>
        <v/>
      </c>
      <c r="AM327" t="str">
        <f>TRIM(MID(SUBSTITUTE($F327, ",", REPT(" ", 100)), (COLUMNS($AH$2:AM327)-1)*100+1, 100))</f>
        <v/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/>
      <c r="C328" s="160"/>
      <c r="D328" s="174"/>
      <c r="E328" s="61">
        <v>1</v>
      </c>
      <c r="F328" s="38" t="s">
        <v>176</v>
      </c>
      <c r="AJ328" t="str">
        <f>TRIM(MID(SUBSTITUTE($F328, ",", REPT(" ", 100)), (COLUMNS($AH$2:AJ328)-1)*100+1, 100))</f>
        <v/>
      </c>
      <c r="AK328" t="str">
        <f>TRIM(MID(SUBSTITUTE($F328, ",", REPT(" ", 100)), (COLUMNS($AH$2:AK328)-1)*100+1, 100))</f>
        <v/>
      </c>
      <c r="AL328" t="str">
        <f>TRIM(MID(SUBSTITUTE($F328, ",", REPT(" ", 100)), (COLUMNS($AH$2:AL328)-1)*100+1, 100))</f>
        <v/>
      </c>
      <c r="AM328" t="str">
        <f>TRIM(MID(SUBSTITUTE($F328, ",", REPT(" ", 100)), (COLUMNS($AH$2:AM328)-1)*100+1, 100))</f>
        <v/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/>
      <c r="C329" s="160"/>
      <c r="D329" s="174"/>
      <c r="E329" s="61">
        <v>1</v>
      </c>
      <c r="F329" s="38" t="s">
        <v>416</v>
      </c>
      <c r="AJ329" t="str">
        <f>TRIM(MID(SUBSTITUTE($F329, ",", REPT(" ", 100)), (COLUMNS($AH$2:AJ329)-1)*100+1, 100))</f>
        <v/>
      </c>
      <c r="AK329" t="str">
        <f>TRIM(MID(SUBSTITUTE($F329, ",", REPT(" ", 100)), (COLUMNS($AH$2:AK329)-1)*100+1, 100))</f>
        <v/>
      </c>
      <c r="AL329" t="str">
        <f>TRIM(MID(SUBSTITUTE($F329, ",", REPT(" ", 100)), (COLUMNS($AH$2:AL329)-1)*100+1, 100))</f>
        <v/>
      </c>
      <c r="AM329" t="str">
        <f>TRIM(MID(SUBSTITUTE($F329, ",", REPT(" ", 100)), (COLUMNS($AH$2:AM329)-1)*100+1, 100))</f>
        <v/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/>
      <c r="C330" s="160"/>
      <c r="D330" s="174"/>
      <c r="E330" s="61">
        <v>1</v>
      </c>
      <c r="F330" s="38" t="s">
        <v>417</v>
      </c>
      <c r="AJ330" t="str">
        <f>TRIM(MID(SUBSTITUTE($F330, ",", REPT(" ", 100)), (COLUMNS($AH$2:AJ330)-1)*100+1, 100))</f>
        <v/>
      </c>
      <c r="AK330" t="str">
        <f>TRIM(MID(SUBSTITUTE($F330, ",", REPT(" ", 100)), (COLUMNS($AH$2:AK330)-1)*100+1, 100))</f>
        <v/>
      </c>
      <c r="AL330" t="str">
        <f>TRIM(MID(SUBSTITUTE($F330, ",", REPT(" ", 100)), (COLUMNS($AH$2:AL330)-1)*100+1, 100))</f>
        <v/>
      </c>
      <c r="AM330" t="str">
        <f>TRIM(MID(SUBSTITUTE($F330, ",", REPT(" ", 100)), (COLUMNS($AH$2:AM330)-1)*100+1, 100))</f>
        <v/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/>
      <c r="C331" s="160"/>
      <c r="D331" s="174"/>
      <c r="E331" s="61">
        <v>1</v>
      </c>
      <c r="F331" s="38" t="s">
        <v>418</v>
      </c>
      <c r="AJ331" t="str">
        <f>TRIM(MID(SUBSTITUTE($F331, ",", REPT(" ", 100)), (COLUMNS($AH$2:AJ331)-1)*100+1, 100))</f>
        <v/>
      </c>
      <c r="AK331" t="str">
        <f>TRIM(MID(SUBSTITUTE($F331, ",", REPT(" ", 100)), (COLUMNS($AH$2:AK331)-1)*100+1, 100))</f>
        <v/>
      </c>
      <c r="AL331" t="str">
        <f>TRIM(MID(SUBSTITUTE($F331, ",", REPT(" ", 100)), (COLUMNS($AH$2:AL331)-1)*100+1, 100))</f>
        <v/>
      </c>
      <c r="AM331" t="str">
        <f>TRIM(MID(SUBSTITUTE($F331, ",", REPT(" ", 100)), (COLUMNS($AH$2:AM331)-1)*100+1, 100))</f>
        <v/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/>
      <c r="C332" s="160"/>
      <c r="D332" s="174"/>
      <c r="E332" s="61">
        <v>1</v>
      </c>
      <c r="F332" s="38" t="s">
        <v>419</v>
      </c>
      <c r="AJ332" t="str">
        <f>TRIM(MID(SUBSTITUTE($F332, ",", REPT(" ", 100)), (COLUMNS($AH$2:AJ332)-1)*100+1, 100))</f>
        <v>Kottayam</v>
      </c>
      <c r="AK332" t="str">
        <f>TRIM(MID(SUBSTITUTE($F332, ",", REPT(" ", 100)), (COLUMNS($AH$2:AK332)-1)*100+1, 100))</f>
        <v/>
      </c>
      <c r="AL332" t="str">
        <f>TRIM(MID(SUBSTITUTE($F332, ",", REPT(" ", 100)), (COLUMNS($AH$2:AL332)-1)*100+1, 100))</f>
        <v/>
      </c>
      <c r="AM332" t="str">
        <f>TRIM(MID(SUBSTITUTE($F332, ",", REPT(" ", 100)), (COLUMNS($AH$2:AM332)-1)*100+1, 100))</f>
        <v/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/>
      <c r="C333" s="160"/>
      <c r="D333" s="174"/>
      <c r="E333" s="61">
        <v>1</v>
      </c>
      <c r="F333" s="38" t="s">
        <v>176</v>
      </c>
      <c r="AJ333" t="str">
        <f>TRIM(MID(SUBSTITUTE($F333, ",", REPT(" ", 100)), (COLUMNS($AH$2:AJ333)-1)*100+1, 100))</f>
        <v/>
      </c>
      <c r="AK333" t="str">
        <f>TRIM(MID(SUBSTITUTE($F333, ",", REPT(" ", 100)), (COLUMNS($AH$2:AK333)-1)*100+1, 100))</f>
        <v/>
      </c>
      <c r="AL333" t="str">
        <f>TRIM(MID(SUBSTITUTE($F333, ",", REPT(" ", 100)), (COLUMNS($AH$2:AL333)-1)*100+1, 100))</f>
        <v/>
      </c>
      <c r="AM333" t="str">
        <f>TRIM(MID(SUBSTITUTE($F333, ",", REPT(" ", 100)), (COLUMNS($AH$2:AM333)-1)*100+1, 100))</f>
        <v/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/>
      <c r="C334" s="160"/>
      <c r="D334" s="174"/>
      <c r="E334" s="61">
        <v>1</v>
      </c>
      <c r="F334" s="38" t="s">
        <v>176</v>
      </c>
      <c r="AJ334" t="str">
        <f>TRIM(MID(SUBSTITUTE($F334, ",", REPT(" ", 100)), (COLUMNS($AH$2:AJ334)-1)*100+1, 100))</f>
        <v/>
      </c>
      <c r="AK334" t="str">
        <f>TRIM(MID(SUBSTITUTE($F334, ",", REPT(" ", 100)), (COLUMNS($AH$2:AK334)-1)*100+1, 100))</f>
        <v/>
      </c>
      <c r="AL334" t="str">
        <f>TRIM(MID(SUBSTITUTE($F334, ",", REPT(" ", 100)), (COLUMNS($AH$2:AL334)-1)*100+1, 100))</f>
        <v/>
      </c>
      <c r="AM334" t="str">
        <f>TRIM(MID(SUBSTITUTE($F334, ",", REPT(" ", 100)), (COLUMNS($AH$2:AM334)-1)*100+1, 100))</f>
        <v/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/>
      <c r="C335" s="160"/>
      <c r="D335" s="174"/>
      <c r="E335" s="61">
        <v>1</v>
      </c>
      <c r="F335" s="38" t="s">
        <v>176</v>
      </c>
      <c r="AJ335" t="str">
        <f>TRIM(MID(SUBSTITUTE($F335, ",", REPT(" ", 100)), (COLUMNS($AH$2:AJ335)-1)*100+1, 100))</f>
        <v/>
      </c>
      <c r="AK335" t="str">
        <f>TRIM(MID(SUBSTITUTE($F335, ",", REPT(" ", 100)), (COLUMNS($AH$2:AK335)-1)*100+1, 100))</f>
        <v/>
      </c>
      <c r="AL335" t="str">
        <f>TRIM(MID(SUBSTITUTE($F335, ",", REPT(" ", 100)), (COLUMNS($AH$2:AL335)-1)*100+1, 100))</f>
        <v/>
      </c>
      <c r="AM335" t="str">
        <f>TRIM(MID(SUBSTITUTE($F335, ",", REPT(" ", 100)), (COLUMNS($AH$2:AM335)-1)*100+1, 100))</f>
        <v/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/>
      <c r="C336" s="160"/>
      <c r="D336" s="174"/>
      <c r="E336" s="61">
        <v>1</v>
      </c>
      <c r="F336" s="38" t="s">
        <v>263</v>
      </c>
      <c r="AJ336" t="str">
        <f>TRIM(MID(SUBSTITUTE($F336, ",", REPT(" ", 100)), (COLUMNS($AH$2:AJ336)-1)*100+1, 100))</f>
        <v>Delhi</v>
      </c>
      <c r="AK336" t="str">
        <f>TRIM(MID(SUBSTITUTE($F336, ",", REPT(" ", 100)), (COLUMNS($AH$2:AK336)-1)*100+1, 100))</f>
        <v>Meerut</v>
      </c>
      <c r="AL336" t="str">
        <f>TRIM(MID(SUBSTITUTE($F336, ",", REPT(" ", 100)), (COLUMNS($AH$2:AL336)-1)*100+1, 100))</f>
        <v/>
      </c>
      <c r="AM336" t="str">
        <f>TRIM(MID(SUBSTITUTE($F336, ",", REPT(" ", 100)), (COLUMNS($AH$2:AM336)-1)*100+1, 100))</f>
        <v/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/>
      <c r="C337" s="160"/>
      <c r="D337" s="174"/>
      <c r="E337" s="61">
        <v>1</v>
      </c>
      <c r="AJ337" t="str">
        <f>TRIM(MID(SUBSTITUTE($F337, ",", REPT(" ", 100)), (COLUMNS($AH$2:AJ337)-1)*100+1, 100))</f>
        <v/>
      </c>
      <c r="AK337" t="str">
        <f>TRIM(MID(SUBSTITUTE($F337, ",", REPT(" ", 100)), (COLUMNS($AH$2:AK337)-1)*100+1, 100))</f>
        <v/>
      </c>
      <c r="AL337" t="str">
        <f>TRIM(MID(SUBSTITUTE($F337, ",", REPT(" ", 100)), (COLUMNS($AH$2:AL337)-1)*100+1, 100))</f>
        <v/>
      </c>
      <c r="AM337" t="str">
        <f>TRIM(MID(SUBSTITUTE($F337, ",", REPT(" ", 100)), (COLUMNS($AH$2:AM337)-1)*100+1, 100))</f>
        <v/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/>
      <c r="C338" s="160"/>
      <c r="D338" s="174"/>
      <c r="E338" s="61">
        <v>1</v>
      </c>
      <c r="AJ338" t="str">
        <f>TRIM(MID(SUBSTITUTE($F338, ",", REPT(" ", 100)), (COLUMNS($AH$2:AJ338)-1)*100+1, 100))</f>
        <v/>
      </c>
      <c r="AK338" t="str">
        <f>TRIM(MID(SUBSTITUTE($F338, ",", REPT(" ", 100)), (COLUMNS($AH$2:AK338)-1)*100+1, 100))</f>
        <v/>
      </c>
      <c r="AL338" t="str">
        <f>TRIM(MID(SUBSTITUTE($F338, ",", REPT(" ", 100)), (COLUMNS($AH$2:AL338)-1)*100+1, 100))</f>
        <v/>
      </c>
      <c r="AM338" t="str">
        <f>TRIM(MID(SUBSTITUTE($F338, ",", REPT(" ", 100)), (COLUMNS($AH$2:AM338)-1)*100+1, 100))</f>
        <v/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/>
      <c r="C339" s="160"/>
      <c r="D339" s="174"/>
      <c r="E339" s="61">
        <v>1</v>
      </c>
      <c r="AJ339" t="str">
        <f>TRIM(MID(SUBSTITUTE($F339, ",", REPT(" ", 100)), (COLUMNS($AH$2:AJ339)-1)*100+1, 100))</f>
        <v/>
      </c>
      <c r="AK339" t="str">
        <f>TRIM(MID(SUBSTITUTE($F339, ",", REPT(" ", 100)), (COLUMNS($AH$2:AK339)-1)*100+1, 100))</f>
        <v/>
      </c>
      <c r="AL339" t="str">
        <f>TRIM(MID(SUBSTITUTE($F339, ",", REPT(" ", 100)), (COLUMNS($AH$2:AL339)-1)*100+1, 100))</f>
        <v/>
      </c>
      <c r="AM339" t="str">
        <f>TRIM(MID(SUBSTITUTE($F339, ",", REPT(" ", 100)), (COLUMNS($AH$2:AM339)-1)*100+1, 100))</f>
        <v/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/>
      <c r="C340" s="160"/>
      <c r="D340" s="174"/>
      <c r="E340" s="61">
        <v>1</v>
      </c>
      <c r="AJ340" t="str">
        <f>TRIM(MID(SUBSTITUTE($F340, ",", REPT(" ", 100)), (COLUMNS($AH$2:AJ340)-1)*100+1, 100))</f>
        <v/>
      </c>
      <c r="AK340" t="str">
        <f>TRIM(MID(SUBSTITUTE($F340, ",", REPT(" ", 100)), (COLUMNS($AH$2:AK340)-1)*100+1, 100))</f>
        <v/>
      </c>
      <c r="AL340" t="str">
        <f>TRIM(MID(SUBSTITUTE($F340, ",", REPT(" ", 100)), (COLUMNS($AH$2:AL340)-1)*100+1, 100))</f>
        <v/>
      </c>
      <c r="AM340" t="str">
        <f>TRIM(MID(SUBSTITUTE($F340, ",", REPT(" ", 100)), (COLUMNS($AH$2:AM340)-1)*100+1, 100))</f>
        <v/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/>
      <c r="C341" s="160"/>
      <c r="D341" s="174"/>
      <c r="E341" s="61">
        <v>1</v>
      </c>
      <c r="AJ341" t="str">
        <f>TRIM(MID(SUBSTITUTE($F341, ",", REPT(" ", 100)), (COLUMNS($AH$2:AJ341)-1)*100+1, 100))</f>
        <v/>
      </c>
      <c r="AK341" t="str">
        <f>TRIM(MID(SUBSTITUTE($F341, ",", REPT(" ", 100)), (COLUMNS($AH$2:AK341)-1)*100+1, 100))</f>
        <v/>
      </c>
      <c r="AL341" t="str">
        <f>TRIM(MID(SUBSTITUTE($F341, ",", REPT(" ", 100)), (COLUMNS($AH$2:AL341)-1)*100+1, 100))</f>
        <v/>
      </c>
      <c r="AM341" t="str">
        <f>TRIM(MID(SUBSTITUTE($F341, ",", REPT(" ", 100)), (COLUMNS($AH$2:AM341)-1)*100+1, 100))</f>
        <v/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/>
      <c r="C342" s="160"/>
      <c r="D342" s="174"/>
      <c r="E342" s="61">
        <v>1</v>
      </c>
      <c r="AJ342" t="str">
        <f>TRIM(MID(SUBSTITUTE($F342, ",", REPT(" ", 100)), (COLUMNS($AH$2:AJ342)-1)*100+1, 100))</f>
        <v/>
      </c>
      <c r="AK342" t="str">
        <f>TRIM(MID(SUBSTITUTE($F342, ",", REPT(" ", 100)), (COLUMNS($AH$2:AK342)-1)*100+1, 100))</f>
        <v/>
      </c>
      <c r="AL342" t="str">
        <f>TRIM(MID(SUBSTITUTE($F342, ",", REPT(" ", 100)), (COLUMNS($AH$2:AL342)-1)*100+1, 100))</f>
        <v/>
      </c>
      <c r="AM342" t="str">
        <f>TRIM(MID(SUBSTITUTE($F342, ",", REPT(" ", 100)), (COLUMNS($AH$2:AM342)-1)*100+1, 100))</f>
        <v/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/>
      <c r="C343" s="160"/>
      <c r="D343" s="174"/>
      <c r="E343" s="61">
        <v>1</v>
      </c>
      <c r="AJ343" t="str">
        <f>TRIM(MID(SUBSTITUTE($F343, ",", REPT(" ", 100)), (COLUMNS($AH$2:AJ343)-1)*100+1, 100))</f>
        <v/>
      </c>
      <c r="AK343" t="str">
        <f>TRIM(MID(SUBSTITUTE($F343, ",", REPT(" ", 100)), (COLUMNS($AH$2:AK343)-1)*100+1, 100))</f>
        <v/>
      </c>
      <c r="AL343" t="str">
        <f>TRIM(MID(SUBSTITUTE($F343, ",", REPT(" ", 100)), (COLUMNS($AH$2:AL343)-1)*100+1, 100))</f>
        <v/>
      </c>
      <c r="AM343" t="str">
        <f>TRIM(MID(SUBSTITUTE($F343, ",", REPT(" ", 100)), (COLUMNS($AH$2:AM343)-1)*100+1, 100))</f>
        <v/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/>
      <c r="C344" s="160"/>
      <c r="D344" s="174"/>
      <c r="E344" s="61">
        <v>1</v>
      </c>
      <c r="AJ344" t="str">
        <f>TRIM(MID(SUBSTITUTE($F344, ",", REPT(" ", 100)), (COLUMNS($AH$2:AJ344)-1)*100+1, 100))</f>
        <v/>
      </c>
      <c r="AK344" t="str">
        <f>TRIM(MID(SUBSTITUTE($F344, ",", REPT(" ", 100)), (COLUMNS($AH$2:AK344)-1)*100+1, 100))</f>
        <v/>
      </c>
      <c r="AL344" t="str">
        <f>TRIM(MID(SUBSTITUTE($F344, ",", REPT(" ", 100)), (COLUMNS($AH$2:AL344)-1)*100+1, 100))</f>
        <v/>
      </c>
      <c r="AM344" t="str">
        <f>TRIM(MID(SUBSTITUTE($F344, ",", REPT(" ", 100)), (COLUMNS($AH$2:AM344)-1)*100+1, 100))</f>
        <v/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/>
      <c r="C345" s="160"/>
      <c r="D345" s="174"/>
      <c r="E345" s="61">
        <v>1</v>
      </c>
      <c r="AJ345" t="str">
        <f>TRIM(MID(SUBSTITUTE($F345, ",", REPT(" ", 100)), (COLUMNS($AH$2:AJ345)-1)*100+1, 100))</f>
        <v/>
      </c>
      <c r="AK345" t="str">
        <f>TRIM(MID(SUBSTITUTE($F345, ",", REPT(" ", 100)), (COLUMNS($AH$2:AK345)-1)*100+1, 100))</f>
        <v/>
      </c>
      <c r="AL345" t="str">
        <f>TRIM(MID(SUBSTITUTE($F345, ",", REPT(" ", 100)), (COLUMNS($AH$2:AL345)-1)*100+1, 100))</f>
        <v/>
      </c>
      <c r="AM345" t="str">
        <f>TRIM(MID(SUBSTITUTE($F345, ",", REPT(" ", 100)), (COLUMNS($AH$2:AM345)-1)*100+1, 100))</f>
        <v/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/>
      <c r="C346" s="160"/>
      <c r="D346" s="174"/>
      <c r="E346" s="61">
        <v>1</v>
      </c>
      <c r="AJ346" t="str">
        <f>TRIM(MID(SUBSTITUTE($F346, ",", REPT(" ", 100)), (COLUMNS($AH$2:AJ346)-1)*100+1, 100))</f>
        <v/>
      </c>
      <c r="AK346" t="str">
        <f>TRIM(MID(SUBSTITUTE($F346, ",", REPT(" ", 100)), (COLUMNS($AH$2:AK346)-1)*100+1, 100))</f>
        <v/>
      </c>
      <c r="AL346" t="str">
        <f>TRIM(MID(SUBSTITUTE($F346, ",", REPT(" ", 100)), (COLUMNS($AH$2:AL346)-1)*100+1, 100))</f>
        <v/>
      </c>
      <c r="AM346" t="str">
        <f>TRIM(MID(SUBSTITUTE($F346, ",", REPT(" ", 100)), (COLUMNS($AH$2:AM346)-1)*100+1, 100))</f>
        <v/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/>
      <c r="C347" s="160"/>
      <c r="D347" s="174"/>
      <c r="E347" s="61">
        <v>1</v>
      </c>
      <c r="AJ347" t="str">
        <f>TRIM(MID(SUBSTITUTE($F347, ",", REPT(" ", 100)), (COLUMNS($AH$2:AJ347)-1)*100+1, 100))</f>
        <v/>
      </c>
      <c r="AK347" t="str">
        <f>TRIM(MID(SUBSTITUTE($F347, ",", REPT(" ", 100)), (COLUMNS($AH$2:AK347)-1)*100+1, 100))</f>
        <v/>
      </c>
      <c r="AL347" t="str">
        <f>TRIM(MID(SUBSTITUTE($F347, ",", REPT(" ", 100)), (COLUMNS($AH$2:AL347)-1)*100+1, 100))</f>
        <v/>
      </c>
      <c r="AM347" t="str">
        <f>TRIM(MID(SUBSTITUTE($F347, ",", REPT(" ", 100)), (COLUMNS($AH$2:AM347)-1)*100+1, 100))</f>
        <v/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/>
      <c r="C348" s="160"/>
      <c r="D348" s="174"/>
      <c r="E348" s="61">
        <v>1</v>
      </c>
      <c r="AJ348" t="str">
        <f>TRIM(MID(SUBSTITUTE($F348, ",", REPT(" ", 100)), (COLUMNS($AH$2:AJ348)-1)*100+1, 100))</f>
        <v/>
      </c>
      <c r="AK348" t="str">
        <f>TRIM(MID(SUBSTITUTE($F348, ",", REPT(" ", 100)), (COLUMNS($AH$2:AK348)-1)*100+1, 100))</f>
        <v/>
      </c>
      <c r="AL348" t="str">
        <f>TRIM(MID(SUBSTITUTE($F348, ",", REPT(" ", 100)), (COLUMNS($AH$2:AL348)-1)*100+1, 100))</f>
        <v/>
      </c>
      <c r="AM348" t="str">
        <f>TRIM(MID(SUBSTITUTE($F348, ",", REPT(" ", 100)), (COLUMNS($AH$2:AM348)-1)*100+1, 100))</f>
        <v/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/>
      <c r="C349" s="160"/>
      <c r="D349" s="174"/>
      <c r="E349" s="61">
        <v>1</v>
      </c>
      <c r="AJ349" t="str">
        <f>TRIM(MID(SUBSTITUTE($F349, ",", REPT(" ", 100)), (COLUMNS($AH$2:AJ349)-1)*100+1, 100))</f>
        <v/>
      </c>
      <c r="AK349" t="str">
        <f>TRIM(MID(SUBSTITUTE($F349, ",", REPT(" ", 100)), (COLUMNS($AH$2:AK349)-1)*100+1, 100))</f>
        <v/>
      </c>
      <c r="AL349" t="str">
        <f>TRIM(MID(SUBSTITUTE($F349, ",", REPT(" ", 100)), (COLUMNS($AH$2:AL349)-1)*100+1, 100))</f>
        <v/>
      </c>
      <c r="AM349" t="str">
        <f>TRIM(MID(SUBSTITUTE($F349, ",", REPT(" ", 100)), (COLUMNS($AH$2:AM349)-1)*100+1, 100))</f>
        <v/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/>
      <c r="C350" s="160"/>
      <c r="D350" s="174"/>
      <c r="E350" s="61">
        <v>1</v>
      </c>
      <c r="AJ350" t="str">
        <f>TRIM(MID(SUBSTITUTE($F350, ",", REPT(" ", 100)), (COLUMNS($AH$2:AJ350)-1)*100+1, 100))</f>
        <v/>
      </c>
      <c r="AK350" t="str">
        <f>TRIM(MID(SUBSTITUTE($F350, ",", REPT(" ", 100)), (COLUMNS($AH$2:AK350)-1)*100+1, 100))</f>
        <v/>
      </c>
      <c r="AL350" t="str">
        <f>TRIM(MID(SUBSTITUTE($F350, ",", REPT(" ", 100)), (COLUMNS($AH$2:AL350)-1)*100+1, 100))</f>
        <v/>
      </c>
      <c r="AM350" t="str">
        <f>TRIM(MID(SUBSTITUTE($F350, ",", REPT(" ", 100)), (COLUMNS($AH$2:AM350)-1)*100+1, 100))</f>
        <v/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/>
      <c r="C351" s="160"/>
      <c r="D351" s="174"/>
      <c r="E351" s="61">
        <v>1</v>
      </c>
      <c r="AJ351" t="str">
        <f>TRIM(MID(SUBSTITUTE($F351, ",", REPT(" ", 100)), (COLUMNS($AH$2:AJ351)-1)*100+1, 100))</f>
        <v/>
      </c>
      <c r="AK351" t="str">
        <f>TRIM(MID(SUBSTITUTE($F351, ",", REPT(" ", 100)), (COLUMNS($AH$2:AK351)-1)*100+1, 100))</f>
        <v/>
      </c>
      <c r="AL351" t="str">
        <f>TRIM(MID(SUBSTITUTE($F351, ",", REPT(" ", 100)), (COLUMNS($AH$2:AL351)-1)*100+1, 100))</f>
        <v/>
      </c>
      <c r="AM351" t="str">
        <f>TRIM(MID(SUBSTITUTE($F351, ",", REPT(" ", 100)), (COLUMNS($AH$2:AM351)-1)*100+1, 100))</f>
        <v/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/>
      <c r="C352" s="160"/>
      <c r="D352" s="174"/>
      <c r="E352" s="61">
        <v>1</v>
      </c>
      <c r="AJ352" t="str">
        <f>TRIM(MID(SUBSTITUTE($F352, ",", REPT(" ", 100)), (COLUMNS($AH$2:AJ352)-1)*100+1, 100))</f>
        <v/>
      </c>
      <c r="AK352" t="str">
        <f>TRIM(MID(SUBSTITUTE($F352, ",", REPT(" ", 100)), (COLUMNS($AH$2:AK352)-1)*100+1, 100))</f>
        <v/>
      </c>
      <c r="AL352" t="str">
        <f>TRIM(MID(SUBSTITUTE($F352, ",", REPT(" ", 100)), (COLUMNS($AH$2:AL352)-1)*100+1, 100))</f>
        <v/>
      </c>
      <c r="AM352" t="str">
        <f>TRIM(MID(SUBSTITUTE($F352, ",", REPT(" ", 100)), (COLUMNS($AH$2:AM352)-1)*100+1, 100))</f>
        <v/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/>
      <c r="C353" s="160"/>
      <c r="D353" s="174"/>
      <c r="E353" s="61">
        <v>1</v>
      </c>
      <c r="AJ353" t="str">
        <f>TRIM(MID(SUBSTITUTE($F353, ",", REPT(" ", 100)), (COLUMNS($AH$2:AJ353)-1)*100+1, 100))</f>
        <v/>
      </c>
      <c r="AK353" t="str">
        <f>TRIM(MID(SUBSTITUTE($F353, ",", REPT(" ", 100)), (COLUMNS($AH$2:AK353)-1)*100+1, 100))</f>
        <v/>
      </c>
      <c r="AL353" t="str">
        <f>TRIM(MID(SUBSTITUTE($F353, ",", REPT(" ", 100)), (COLUMNS($AH$2:AL353)-1)*100+1, 100))</f>
        <v/>
      </c>
      <c r="AM353" t="str">
        <f>TRIM(MID(SUBSTITUTE($F353, ",", REPT(" ", 100)), (COLUMNS($AH$2:AM353)-1)*100+1, 100))</f>
        <v/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/>
      <c r="C354" s="160"/>
      <c r="D354" s="174"/>
      <c r="E354" s="61">
        <v>1</v>
      </c>
      <c r="AJ354" t="str">
        <f>TRIM(MID(SUBSTITUTE($F354, ",", REPT(" ", 100)), (COLUMNS($AH$2:AJ354)-1)*100+1, 100))</f>
        <v/>
      </c>
      <c r="AK354" t="str">
        <f>TRIM(MID(SUBSTITUTE($F354, ",", REPT(" ", 100)), (COLUMNS($AH$2:AK354)-1)*100+1, 100))</f>
        <v/>
      </c>
      <c r="AL354" t="str">
        <f>TRIM(MID(SUBSTITUTE($F354, ",", REPT(" ", 100)), (COLUMNS($AH$2:AL354)-1)*100+1, 100))</f>
        <v/>
      </c>
      <c r="AM354" t="str">
        <f>TRIM(MID(SUBSTITUTE($F354, ",", REPT(" ", 100)), (COLUMNS($AH$2:AM354)-1)*100+1, 100))</f>
        <v/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/>
      <c r="C355" s="160"/>
      <c r="D355" s="174"/>
      <c r="E355" s="61">
        <v>1</v>
      </c>
      <c r="AJ355" t="str">
        <f>TRIM(MID(SUBSTITUTE($F355, ",", REPT(" ", 100)), (COLUMNS($AH$2:AJ355)-1)*100+1, 100))</f>
        <v/>
      </c>
      <c r="AK355" t="str">
        <f>TRIM(MID(SUBSTITUTE($F355, ",", REPT(" ", 100)), (COLUMNS($AH$2:AK355)-1)*100+1, 100))</f>
        <v/>
      </c>
      <c r="AL355" t="str">
        <f>TRIM(MID(SUBSTITUTE($F355, ",", REPT(" ", 100)), (COLUMNS($AH$2:AL355)-1)*100+1, 100))</f>
        <v/>
      </c>
      <c r="AM355" t="str">
        <f>TRIM(MID(SUBSTITUTE($F355, ",", REPT(" ", 100)), (COLUMNS($AH$2:AM355)-1)*100+1, 100))</f>
        <v/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/>
      <c r="C356" s="160"/>
      <c r="D356" s="174"/>
      <c r="E356" s="61">
        <v>1</v>
      </c>
      <c r="AJ356" t="str">
        <f>TRIM(MID(SUBSTITUTE($F356, ",", REPT(" ", 100)), (COLUMNS($AH$2:AJ356)-1)*100+1, 100))</f>
        <v/>
      </c>
      <c r="AK356" t="str">
        <f>TRIM(MID(SUBSTITUTE($F356, ",", REPT(" ", 100)), (COLUMNS($AH$2:AK356)-1)*100+1, 100))</f>
        <v/>
      </c>
      <c r="AL356" t="str">
        <f>TRIM(MID(SUBSTITUTE($F356, ",", REPT(" ", 100)), (COLUMNS($AH$2:AL356)-1)*100+1, 100))</f>
        <v/>
      </c>
      <c r="AM356" t="str">
        <f>TRIM(MID(SUBSTITUTE($F356, ",", REPT(" ", 100)), (COLUMNS($AH$2:AM356)-1)*100+1, 100))</f>
        <v/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/>
      <c r="C357" s="160"/>
      <c r="D357" s="174"/>
      <c r="E357" s="61">
        <v>1</v>
      </c>
      <c r="AJ357" t="str">
        <f>TRIM(MID(SUBSTITUTE($F357, ",", REPT(" ", 100)), (COLUMNS($AH$2:AJ357)-1)*100+1, 100))</f>
        <v/>
      </c>
      <c r="AK357" t="str">
        <f>TRIM(MID(SUBSTITUTE($F357, ",", REPT(" ", 100)), (COLUMNS($AH$2:AK357)-1)*100+1, 100))</f>
        <v/>
      </c>
      <c r="AL357" t="str">
        <f>TRIM(MID(SUBSTITUTE($F357, ",", REPT(" ", 100)), (COLUMNS($AH$2:AL357)-1)*100+1, 100))</f>
        <v/>
      </c>
      <c r="AM357" t="str">
        <f>TRIM(MID(SUBSTITUTE($F357, ",", REPT(" ", 100)), (COLUMNS($AH$2:AM357)-1)*100+1, 100))</f>
        <v/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/>
      <c r="C358" s="160"/>
      <c r="D358" s="174"/>
      <c r="E358" s="61">
        <v>1</v>
      </c>
      <c r="AJ358" t="str">
        <f>TRIM(MID(SUBSTITUTE($F358, ",", REPT(" ", 100)), (COLUMNS($AH$2:AJ358)-1)*100+1, 100))</f>
        <v/>
      </c>
      <c r="AK358" t="str">
        <f>TRIM(MID(SUBSTITUTE($F358, ",", REPT(" ", 100)), (COLUMNS($AH$2:AK358)-1)*100+1, 100))</f>
        <v/>
      </c>
      <c r="AL358" t="str">
        <f>TRIM(MID(SUBSTITUTE($F358, ",", REPT(" ", 100)), (COLUMNS($AH$2:AL358)-1)*100+1, 100))</f>
        <v/>
      </c>
      <c r="AM358" t="str">
        <f>TRIM(MID(SUBSTITUTE($F358, ",", REPT(" ", 100)), (COLUMNS($AH$2:AM358)-1)*100+1, 100))</f>
        <v/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/>
      <c r="C359" s="160"/>
      <c r="D359" s="174"/>
      <c r="E359" s="61">
        <v>1</v>
      </c>
      <c r="AJ359" t="str">
        <f>TRIM(MID(SUBSTITUTE($F359, ",", REPT(" ", 100)), (COLUMNS($AH$2:AJ359)-1)*100+1, 100))</f>
        <v/>
      </c>
      <c r="AK359" t="str">
        <f>TRIM(MID(SUBSTITUTE($F359, ",", REPT(" ", 100)), (COLUMNS($AH$2:AK359)-1)*100+1, 100))</f>
        <v/>
      </c>
      <c r="AL359" t="str">
        <f>TRIM(MID(SUBSTITUTE($F359, ",", REPT(" ", 100)), (COLUMNS($AH$2:AL359)-1)*100+1, 100))</f>
        <v/>
      </c>
      <c r="AM359" t="str">
        <f>TRIM(MID(SUBSTITUTE($F359, ",", REPT(" ", 100)), (COLUMNS($AH$2:AM359)-1)*100+1, 100))</f>
        <v/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/>
      <c r="C360" s="160"/>
      <c r="D360" s="174"/>
      <c r="E360" s="61">
        <v>1</v>
      </c>
      <c r="AJ360" t="str">
        <f>TRIM(MID(SUBSTITUTE($F360, ",", REPT(" ", 100)), (COLUMNS($AH$2:AJ360)-1)*100+1, 100))</f>
        <v/>
      </c>
      <c r="AK360" t="str">
        <f>TRIM(MID(SUBSTITUTE($F360, ",", REPT(" ", 100)), (COLUMNS($AH$2:AK360)-1)*100+1, 100))</f>
        <v/>
      </c>
      <c r="AL360" t="str">
        <f>TRIM(MID(SUBSTITUTE($F360, ",", REPT(" ", 100)), (COLUMNS($AH$2:AL360)-1)*100+1, 100))</f>
        <v/>
      </c>
      <c r="AM360" t="str">
        <f>TRIM(MID(SUBSTITUTE($F360, ",", REPT(" ", 100)), (COLUMNS($AH$2:AM360)-1)*100+1, 100))</f>
        <v/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/>
      <c r="C361" s="160"/>
      <c r="D361" s="174"/>
      <c r="E361" s="61">
        <v>1</v>
      </c>
      <c r="AJ361" t="str">
        <f>TRIM(MID(SUBSTITUTE($F361, ",", REPT(" ", 100)), (COLUMNS($AH$2:AJ361)-1)*100+1, 100))</f>
        <v/>
      </c>
      <c r="AK361" t="str">
        <f>TRIM(MID(SUBSTITUTE($F361, ",", REPT(" ", 100)), (COLUMNS($AH$2:AK361)-1)*100+1, 100))</f>
        <v/>
      </c>
      <c r="AL361" t="str">
        <f>TRIM(MID(SUBSTITUTE($F361, ",", REPT(" ", 100)), (COLUMNS($AH$2:AL361)-1)*100+1, 100))</f>
        <v/>
      </c>
      <c r="AM361" t="str">
        <f>TRIM(MID(SUBSTITUTE($F361, ",", REPT(" ", 100)), (COLUMNS($AH$2:AM361)-1)*100+1, 100))</f>
        <v/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/>
      <c r="C362" s="160"/>
      <c r="D362" s="174"/>
      <c r="E362" s="61">
        <v>1</v>
      </c>
      <c r="AJ362" t="str">
        <f>TRIM(MID(SUBSTITUTE($F362, ",", REPT(" ", 100)), (COLUMNS($AH$2:AJ362)-1)*100+1, 100))</f>
        <v/>
      </c>
      <c r="AK362" t="str">
        <f>TRIM(MID(SUBSTITUTE($F362, ",", REPT(" ", 100)), (COLUMNS($AH$2:AK362)-1)*100+1, 100))</f>
        <v/>
      </c>
      <c r="AL362" t="str">
        <f>TRIM(MID(SUBSTITUTE($F362, ",", REPT(" ", 100)), (COLUMNS($AH$2:AL362)-1)*100+1, 100))</f>
        <v/>
      </c>
      <c r="AM362" t="str">
        <f>TRIM(MID(SUBSTITUTE($F362, ",", REPT(" ", 100)), (COLUMNS($AH$2:AM362)-1)*100+1, 100))</f>
        <v/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/>
      <c r="C363" s="160"/>
      <c r="D363" s="174"/>
      <c r="E363" s="61">
        <v>1</v>
      </c>
      <c r="AJ363" t="str">
        <f>TRIM(MID(SUBSTITUTE($F363, ",", REPT(" ", 100)), (COLUMNS($AH$2:AJ363)-1)*100+1, 100))</f>
        <v/>
      </c>
      <c r="AK363" t="str">
        <f>TRIM(MID(SUBSTITUTE($F363, ",", REPT(" ", 100)), (COLUMNS($AH$2:AK363)-1)*100+1, 100))</f>
        <v/>
      </c>
      <c r="AL363" t="str">
        <f>TRIM(MID(SUBSTITUTE($F363, ",", REPT(" ", 100)), (COLUMNS($AH$2:AL363)-1)*100+1, 100))</f>
        <v/>
      </c>
      <c r="AM363" t="str">
        <f>TRIM(MID(SUBSTITUTE($F363, ",", REPT(" ", 100)), (COLUMNS($AH$2:AM363)-1)*100+1, 100))</f>
        <v/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/>
      <c r="C364" s="160"/>
      <c r="D364" s="174"/>
      <c r="E364" s="61">
        <v>1</v>
      </c>
      <c r="AJ364" t="str">
        <f>TRIM(MID(SUBSTITUTE($F364, ",", REPT(" ", 100)), (COLUMNS($AH$2:AJ364)-1)*100+1, 100))</f>
        <v/>
      </c>
      <c r="AK364" t="str">
        <f>TRIM(MID(SUBSTITUTE($F364, ",", REPT(" ", 100)), (COLUMNS($AH$2:AK364)-1)*100+1, 100))</f>
        <v/>
      </c>
      <c r="AL364" t="str">
        <f>TRIM(MID(SUBSTITUTE($F364, ",", REPT(" ", 100)), (COLUMNS($AH$2:AL364)-1)*100+1, 100))</f>
        <v/>
      </c>
      <c r="AM364" t="str">
        <f>TRIM(MID(SUBSTITUTE($F364, ",", REPT(" ", 100)), (COLUMNS($AH$2:AM364)-1)*100+1, 100))</f>
        <v/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/>
      <c r="C365" s="160"/>
      <c r="D365" s="174"/>
      <c r="E365" s="61">
        <v>1</v>
      </c>
      <c r="AJ365" t="str">
        <f>TRIM(MID(SUBSTITUTE($F365, ",", REPT(" ", 100)), (COLUMNS($AH$2:AJ365)-1)*100+1, 100))</f>
        <v/>
      </c>
      <c r="AK365" t="str">
        <f>TRIM(MID(SUBSTITUTE($F365, ",", REPT(" ", 100)), (COLUMNS($AH$2:AK365)-1)*100+1, 100))</f>
        <v/>
      </c>
      <c r="AL365" t="str">
        <f>TRIM(MID(SUBSTITUTE($F365, ",", REPT(" ", 100)), (COLUMNS($AH$2:AL365)-1)*100+1, 100))</f>
        <v/>
      </c>
      <c r="AM365" t="str">
        <f>TRIM(MID(SUBSTITUTE($F365, ",", REPT(" ", 100)), (COLUMNS($AH$2:AM365)-1)*100+1, 100))</f>
        <v/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60"/>
      <c r="D366" s="174"/>
      <c r="E366" s="61">
        <v>1</v>
      </c>
      <c r="AJ366" t="str">
        <f>TRIM(MID(SUBSTITUTE($F366, ",", REPT(" ", 100)), (COLUMNS($AH$2:AJ366)-1)*100+1, 100))</f>
        <v/>
      </c>
      <c r="AK366" t="str">
        <f>TRIM(MID(SUBSTITUTE($F366, ",", REPT(" ", 100)), (COLUMNS($AH$2:AK366)-1)*100+1, 100))</f>
        <v/>
      </c>
      <c r="AL366" t="str">
        <f>TRIM(MID(SUBSTITUTE($F366, ",", REPT(" ", 100)), (COLUMNS($AH$2:AL366)-1)*100+1, 100))</f>
        <v/>
      </c>
      <c r="AM366" t="str">
        <f>TRIM(MID(SUBSTITUTE($F366, ",", REPT(" ", 100)), (COLUMNS($AH$2:AM366)-1)*100+1, 100))</f>
        <v/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1"/>
      <c r="B367" s="5"/>
      <c r="C367" s="52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7"/>
  <sheetViews>
    <sheetView topLeftCell="A362" zoomScale="147" zoomScaleNormal="70" workbookViewId="0">
      <selection activeCell="B368" sqref="B36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60">
        <f>AVERAGE(B1:B31)</f>
        <v>5.290322580645161</v>
      </c>
      <c r="D1" s="180">
        <f>AVERAGE(B1:B366)</f>
        <v>5.1967213114754101</v>
      </c>
    </row>
    <row r="2" spans="1:4" x14ac:dyDescent="0.45">
      <c r="A2" s="1">
        <v>45293</v>
      </c>
      <c r="B2" s="2">
        <v>4</v>
      </c>
      <c r="C2" s="160"/>
      <c r="D2" s="180"/>
    </row>
    <row r="3" spans="1:4" x14ac:dyDescent="0.45">
      <c r="A3" s="1">
        <v>45294</v>
      </c>
      <c r="B3" s="2">
        <v>6</v>
      </c>
      <c r="C3" s="160"/>
      <c r="D3" s="180"/>
    </row>
    <row r="4" spans="1:4" x14ac:dyDescent="0.45">
      <c r="A4" s="1">
        <v>45295</v>
      </c>
      <c r="B4" s="2">
        <v>8</v>
      </c>
      <c r="C4" s="160"/>
      <c r="D4" s="180"/>
    </row>
    <row r="5" spans="1:4" x14ac:dyDescent="0.45">
      <c r="A5" s="1">
        <v>45296</v>
      </c>
      <c r="B5" s="2">
        <v>6</v>
      </c>
      <c r="C5" s="160"/>
      <c r="D5" s="180"/>
    </row>
    <row r="6" spans="1:4" x14ac:dyDescent="0.45">
      <c r="A6" s="1">
        <v>45297</v>
      </c>
      <c r="B6" s="2">
        <v>8</v>
      </c>
      <c r="C6" s="160"/>
      <c r="D6" s="180"/>
    </row>
    <row r="7" spans="1:4" x14ac:dyDescent="0.45">
      <c r="A7" s="1">
        <v>45298</v>
      </c>
      <c r="B7" s="2">
        <v>0</v>
      </c>
      <c r="C7" s="160"/>
      <c r="D7" s="180"/>
    </row>
    <row r="8" spans="1:4" x14ac:dyDescent="0.45">
      <c r="A8" s="1">
        <v>45299</v>
      </c>
      <c r="B8" s="2">
        <v>4</v>
      </c>
      <c r="C8" s="160"/>
      <c r="D8" s="180"/>
    </row>
    <row r="9" spans="1:4" x14ac:dyDescent="0.45">
      <c r="A9" s="1">
        <v>45300</v>
      </c>
      <c r="B9" s="2">
        <v>6</v>
      </c>
      <c r="C9" s="160"/>
      <c r="D9" s="180"/>
    </row>
    <row r="10" spans="1:4" x14ac:dyDescent="0.45">
      <c r="A10" s="1">
        <v>45301</v>
      </c>
      <c r="B10" s="2">
        <v>4</v>
      </c>
      <c r="C10" s="160"/>
      <c r="D10" s="180"/>
    </row>
    <row r="11" spans="1:4" x14ac:dyDescent="0.45">
      <c r="A11" s="1">
        <v>45302</v>
      </c>
      <c r="B11" s="2">
        <v>6</v>
      </c>
      <c r="C11" s="160"/>
      <c r="D11" s="180"/>
    </row>
    <row r="12" spans="1:4" x14ac:dyDescent="0.45">
      <c r="A12" s="1">
        <v>45303</v>
      </c>
      <c r="B12" s="2">
        <v>6</v>
      </c>
      <c r="C12" s="160"/>
      <c r="D12" s="180"/>
    </row>
    <row r="13" spans="1:4" x14ac:dyDescent="0.45">
      <c r="A13" s="1">
        <v>45304</v>
      </c>
      <c r="B13" s="2">
        <v>2</v>
      </c>
      <c r="C13" s="160"/>
      <c r="D13" s="180"/>
    </row>
    <row r="14" spans="1:4" x14ac:dyDescent="0.45">
      <c r="A14" s="1">
        <v>45305</v>
      </c>
      <c r="B14" s="2">
        <v>4</v>
      </c>
      <c r="C14" s="160"/>
      <c r="D14" s="180"/>
    </row>
    <row r="15" spans="1:4" x14ac:dyDescent="0.45">
      <c r="A15" s="1">
        <v>45306</v>
      </c>
      <c r="B15" s="2">
        <v>6</v>
      </c>
      <c r="C15" s="160"/>
      <c r="D15" s="180"/>
    </row>
    <row r="16" spans="1:4" x14ac:dyDescent="0.45">
      <c r="A16" s="1">
        <v>45307</v>
      </c>
      <c r="B16" s="2">
        <v>0</v>
      </c>
      <c r="C16" s="160"/>
      <c r="D16" s="180"/>
    </row>
    <row r="17" spans="1:19" ht="14.35" thickBot="1" x14ac:dyDescent="0.5">
      <c r="A17" s="1">
        <v>45308</v>
      </c>
      <c r="B17" s="2">
        <v>6</v>
      </c>
      <c r="C17" s="160"/>
      <c r="D17" s="180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60"/>
      <c r="D18" s="180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60"/>
      <c r="D19" s="180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186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184">
        <f>AVERAGE(K19:K22)</f>
        <v>4.9297923618835746</v>
      </c>
    </row>
    <row r="20" spans="1:19" x14ac:dyDescent="0.45">
      <c r="A20" s="1">
        <v>45311</v>
      </c>
      <c r="B20" s="2">
        <v>6</v>
      </c>
      <c r="C20" s="160"/>
      <c r="D20" s="180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186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60"/>
    </row>
    <row r="21" spans="1:19" x14ac:dyDescent="0.45">
      <c r="A21" s="1">
        <v>45312</v>
      </c>
      <c r="B21" s="2">
        <v>6</v>
      </c>
      <c r="C21" s="160"/>
      <c r="D21" s="180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186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60"/>
    </row>
    <row r="22" spans="1:19" x14ac:dyDescent="0.45">
      <c r="A22" s="1">
        <v>45313</v>
      </c>
      <c r="B22" s="2">
        <v>4</v>
      </c>
      <c r="C22" s="160"/>
      <c r="D22" s="180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186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60"/>
    </row>
    <row r="23" spans="1:19" ht="14.35" thickBot="1" x14ac:dyDescent="0.5">
      <c r="A23" s="1">
        <v>45314</v>
      </c>
      <c r="B23" s="2">
        <v>4</v>
      </c>
      <c r="C23" s="160"/>
      <c r="D23" s="180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186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184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60"/>
      <c r="D24" s="180"/>
      <c r="F24" s="162" t="s">
        <v>6</v>
      </c>
      <c r="G24" s="163"/>
      <c r="H24" s="17">
        <f>SUM(H18:H23)</f>
        <v>366</v>
      </c>
      <c r="J24" s="10" t="s">
        <v>13</v>
      </c>
      <c r="K24" s="29">
        <v>5.333333333333333</v>
      </c>
      <c r="L24" s="186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60"/>
    </row>
    <row r="25" spans="1:19" x14ac:dyDescent="0.45">
      <c r="A25" s="1">
        <v>45316</v>
      </c>
      <c r="B25" s="2">
        <v>6</v>
      </c>
      <c r="C25" s="160"/>
      <c r="D25" s="180"/>
      <c r="J25" s="10" t="s">
        <v>14</v>
      </c>
      <c r="K25" s="29">
        <v>5.032258064516129</v>
      </c>
      <c r="L25" s="186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60"/>
    </row>
    <row r="26" spans="1:19" x14ac:dyDescent="0.45">
      <c r="A26" s="1">
        <v>45317</v>
      </c>
      <c r="B26" s="2">
        <v>10</v>
      </c>
      <c r="C26" s="160"/>
      <c r="D26" s="180"/>
      <c r="J26" s="10" t="s">
        <v>15</v>
      </c>
      <c r="K26" s="29">
        <v>4.967741935483871</v>
      </c>
      <c r="L26" s="186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60"/>
    </row>
    <row r="27" spans="1:19" x14ac:dyDescent="0.45">
      <c r="A27" s="1">
        <v>45318</v>
      </c>
      <c r="B27" s="2">
        <v>10</v>
      </c>
      <c r="C27" s="160"/>
      <c r="D27" s="180"/>
      <c r="F27" s="183" t="s">
        <v>23</v>
      </c>
      <c r="G27" s="183"/>
      <c r="H27" s="183"/>
      <c r="J27" s="10" t="s">
        <v>16</v>
      </c>
      <c r="K27" s="29">
        <v>5.2666666666666666</v>
      </c>
      <c r="L27" s="186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184">
        <f>AVERAGE(K27:K30)</f>
        <v>5.2806451612903231</v>
      </c>
    </row>
    <row r="28" spans="1:19" x14ac:dyDescent="0.45">
      <c r="A28" s="1">
        <v>45319</v>
      </c>
      <c r="B28" s="2">
        <v>10</v>
      </c>
      <c r="C28" s="160"/>
      <c r="D28" s="180"/>
      <c r="F28" s="185">
        <v>2024</v>
      </c>
      <c r="G28" s="185"/>
      <c r="H28" s="185"/>
      <c r="J28" s="10" t="s">
        <v>17</v>
      </c>
      <c r="K28" s="29">
        <v>5.612903225806452</v>
      </c>
      <c r="L28" s="186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60"/>
    </row>
    <row r="29" spans="1:19" x14ac:dyDescent="0.45">
      <c r="A29" s="1">
        <v>45320</v>
      </c>
      <c r="B29" s="2">
        <v>4</v>
      </c>
      <c r="C29" s="160"/>
      <c r="D29" s="180"/>
      <c r="J29" s="10" t="s">
        <v>18</v>
      </c>
      <c r="K29" s="29">
        <v>5.5333333333333332</v>
      </c>
      <c r="L29" s="186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60"/>
    </row>
    <row r="30" spans="1:19" ht="14.35" thickBot="1" x14ac:dyDescent="0.5">
      <c r="A30" s="1">
        <v>45321</v>
      </c>
      <c r="B30" s="2">
        <v>4</v>
      </c>
      <c r="C30" s="160"/>
      <c r="D30" s="180"/>
      <c r="J30" s="18" t="s">
        <v>19</v>
      </c>
      <c r="K30" s="30">
        <v>4.709677419354839</v>
      </c>
      <c r="L30" s="187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60"/>
    </row>
    <row r="31" spans="1:19" x14ac:dyDescent="0.45">
      <c r="A31" s="1">
        <v>45322</v>
      </c>
      <c r="B31" s="2">
        <v>4</v>
      </c>
      <c r="C31" s="160"/>
      <c r="D31" s="180"/>
    </row>
    <row r="32" spans="1:19" x14ac:dyDescent="0.45">
      <c r="A32" s="1">
        <v>45323</v>
      </c>
      <c r="B32" s="2">
        <v>6</v>
      </c>
      <c r="C32" s="160">
        <f>AVERAGE(B32:B60)</f>
        <v>4.4137931034482758</v>
      </c>
      <c r="D32" s="180"/>
    </row>
    <row r="33" spans="1:4" x14ac:dyDescent="0.45">
      <c r="A33" s="1">
        <v>45324</v>
      </c>
      <c r="B33" s="2">
        <v>6</v>
      </c>
      <c r="C33" s="160"/>
      <c r="D33" s="180"/>
    </row>
    <row r="34" spans="1:4" x14ac:dyDescent="0.45">
      <c r="A34" s="1">
        <v>45325</v>
      </c>
      <c r="B34" s="2">
        <v>6</v>
      </c>
      <c r="C34" s="160"/>
      <c r="D34" s="180"/>
    </row>
    <row r="35" spans="1:4" x14ac:dyDescent="0.45">
      <c r="A35" s="1">
        <v>45326</v>
      </c>
      <c r="B35" s="2">
        <v>4</v>
      </c>
      <c r="C35" s="160"/>
      <c r="D35" s="180"/>
    </row>
    <row r="36" spans="1:4" x14ac:dyDescent="0.45">
      <c r="A36" s="1">
        <v>45327</v>
      </c>
      <c r="B36" s="2">
        <v>2</v>
      </c>
      <c r="C36" s="160"/>
      <c r="D36" s="180"/>
    </row>
    <row r="37" spans="1:4" x14ac:dyDescent="0.45">
      <c r="A37" s="1">
        <v>45328</v>
      </c>
      <c r="B37" s="2">
        <v>6</v>
      </c>
      <c r="C37" s="160"/>
      <c r="D37" s="180"/>
    </row>
    <row r="38" spans="1:4" x14ac:dyDescent="0.45">
      <c r="A38" s="1">
        <v>45329</v>
      </c>
      <c r="B38" s="2">
        <v>4</v>
      </c>
      <c r="C38" s="160"/>
      <c r="D38" s="180"/>
    </row>
    <row r="39" spans="1:4" x14ac:dyDescent="0.45">
      <c r="A39" s="1">
        <v>45330</v>
      </c>
      <c r="B39" s="2">
        <v>6</v>
      </c>
      <c r="C39" s="160"/>
      <c r="D39" s="180"/>
    </row>
    <row r="40" spans="1:4" x14ac:dyDescent="0.45">
      <c r="A40" s="1">
        <v>45331</v>
      </c>
      <c r="B40" s="2">
        <v>6</v>
      </c>
      <c r="C40" s="160"/>
      <c r="D40" s="180"/>
    </row>
    <row r="41" spans="1:4" x14ac:dyDescent="0.45">
      <c r="A41" s="1">
        <v>45332</v>
      </c>
      <c r="B41" s="2">
        <v>4</v>
      </c>
      <c r="C41" s="160"/>
      <c r="D41" s="180"/>
    </row>
    <row r="42" spans="1:4" x14ac:dyDescent="0.45">
      <c r="A42" s="1">
        <v>45333</v>
      </c>
      <c r="B42" s="2">
        <v>4</v>
      </c>
      <c r="C42" s="160"/>
      <c r="D42" s="180"/>
    </row>
    <row r="43" spans="1:4" x14ac:dyDescent="0.45">
      <c r="A43" s="1">
        <v>45334</v>
      </c>
      <c r="B43" s="2">
        <v>4</v>
      </c>
      <c r="C43" s="160"/>
      <c r="D43" s="180"/>
    </row>
    <row r="44" spans="1:4" x14ac:dyDescent="0.45">
      <c r="A44" s="1">
        <v>45335</v>
      </c>
      <c r="B44" s="2">
        <v>6</v>
      </c>
      <c r="C44" s="160"/>
      <c r="D44" s="180"/>
    </row>
    <row r="45" spans="1:4" x14ac:dyDescent="0.45">
      <c r="A45" s="1">
        <v>45336</v>
      </c>
      <c r="B45" s="2">
        <v>10</v>
      </c>
      <c r="C45" s="160"/>
      <c r="D45" s="180"/>
    </row>
    <row r="46" spans="1:4" x14ac:dyDescent="0.45">
      <c r="A46" s="1">
        <v>45337</v>
      </c>
      <c r="B46" s="2">
        <v>6</v>
      </c>
      <c r="C46" s="160"/>
      <c r="D46" s="180"/>
    </row>
    <row r="47" spans="1:4" x14ac:dyDescent="0.45">
      <c r="A47" s="1">
        <v>45338</v>
      </c>
      <c r="B47" s="2">
        <v>2</v>
      </c>
      <c r="C47" s="160"/>
      <c r="D47" s="180"/>
    </row>
    <row r="48" spans="1:4" x14ac:dyDescent="0.45">
      <c r="A48" s="1">
        <v>45339</v>
      </c>
      <c r="B48" s="2">
        <v>4</v>
      </c>
      <c r="C48" s="160"/>
      <c r="D48" s="180"/>
    </row>
    <row r="49" spans="1:4" x14ac:dyDescent="0.45">
      <c r="A49" s="1">
        <v>45340</v>
      </c>
      <c r="B49" s="2">
        <v>4</v>
      </c>
      <c r="C49" s="160"/>
      <c r="D49" s="180"/>
    </row>
    <row r="50" spans="1:4" x14ac:dyDescent="0.45">
      <c r="A50" s="1">
        <v>45341</v>
      </c>
      <c r="B50" s="2">
        <v>4</v>
      </c>
      <c r="C50" s="160"/>
      <c r="D50" s="180"/>
    </row>
    <row r="51" spans="1:4" x14ac:dyDescent="0.45">
      <c r="A51" s="1">
        <v>45342</v>
      </c>
      <c r="B51" s="2">
        <v>0</v>
      </c>
      <c r="C51" s="160"/>
      <c r="D51" s="180"/>
    </row>
    <row r="52" spans="1:4" x14ac:dyDescent="0.45">
      <c r="A52" s="1">
        <v>45343</v>
      </c>
      <c r="B52" s="2">
        <v>0</v>
      </c>
      <c r="C52" s="160"/>
      <c r="D52" s="180"/>
    </row>
    <row r="53" spans="1:4" x14ac:dyDescent="0.45">
      <c r="A53" s="1">
        <v>45344</v>
      </c>
      <c r="B53" s="2">
        <v>2</v>
      </c>
      <c r="C53" s="160"/>
      <c r="D53" s="180"/>
    </row>
    <row r="54" spans="1:4" x14ac:dyDescent="0.45">
      <c r="A54" s="1">
        <v>45345</v>
      </c>
      <c r="B54" s="2">
        <v>4</v>
      </c>
      <c r="C54" s="160"/>
      <c r="D54" s="180"/>
    </row>
    <row r="55" spans="1:4" x14ac:dyDescent="0.45">
      <c r="A55" s="1">
        <v>45346</v>
      </c>
      <c r="B55" s="2">
        <v>4</v>
      </c>
      <c r="C55" s="160"/>
      <c r="D55" s="180"/>
    </row>
    <row r="56" spans="1:4" x14ac:dyDescent="0.45">
      <c r="A56" s="1">
        <v>45347</v>
      </c>
      <c r="B56" s="2">
        <v>6</v>
      </c>
      <c r="C56" s="160"/>
      <c r="D56" s="180"/>
    </row>
    <row r="57" spans="1:4" x14ac:dyDescent="0.45">
      <c r="A57" s="1">
        <v>45348</v>
      </c>
      <c r="B57" s="2">
        <v>4</v>
      </c>
      <c r="C57" s="160"/>
      <c r="D57" s="180"/>
    </row>
    <row r="58" spans="1:4" x14ac:dyDescent="0.45">
      <c r="A58" s="1">
        <v>45349</v>
      </c>
      <c r="B58" s="2">
        <v>4</v>
      </c>
      <c r="C58" s="160"/>
      <c r="D58" s="180"/>
    </row>
    <row r="59" spans="1:4" x14ac:dyDescent="0.45">
      <c r="A59" s="1">
        <v>45350</v>
      </c>
      <c r="B59" s="2">
        <v>4</v>
      </c>
      <c r="C59" s="160"/>
      <c r="D59" s="180"/>
    </row>
    <row r="60" spans="1:4" x14ac:dyDescent="0.45">
      <c r="A60" s="1">
        <v>45351</v>
      </c>
      <c r="B60" s="2">
        <v>6</v>
      </c>
      <c r="C60" s="160"/>
      <c r="D60" s="180"/>
    </row>
    <row r="61" spans="1:4" x14ac:dyDescent="0.45">
      <c r="A61" s="1">
        <v>45352</v>
      </c>
      <c r="B61" s="2">
        <v>6</v>
      </c>
      <c r="C61" s="160">
        <f>AVERAGE(B61:B91)</f>
        <v>5.5483870967741939</v>
      </c>
      <c r="D61" s="180"/>
    </row>
    <row r="62" spans="1:4" x14ac:dyDescent="0.45">
      <c r="A62" s="1">
        <v>45353</v>
      </c>
      <c r="B62" s="2">
        <v>6</v>
      </c>
      <c r="C62" s="160"/>
      <c r="D62" s="180"/>
    </row>
    <row r="63" spans="1:4" x14ac:dyDescent="0.45">
      <c r="A63" s="1">
        <v>45354</v>
      </c>
      <c r="B63" s="2">
        <v>8</v>
      </c>
      <c r="C63" s="160"/>
      <c r="D63" s="180"/>
    </row>
    <row r="64" spans="1:4" x14ac:dyDescent="0.45">
      <c r="A64" s="1">
        <v>45355</v>
      </c>
      <c r="B64" s="2">
        <v>6</v>
      </c>
      <c r="C64" s="160"/>
      <c r="D64" s="180"/>
    </row>
    <row r="65" spans="1:4" x14ac:dyDescent="0.45">
      <c r="A65" s="1">
        <v>45356</v>
      </c>
      <c r="B65" s="2">
        <v>4</v>
      </c>
      <c r="C65" s="160"/>
      <c r="D65" s="180"/>
    </row>
    <row r="66" spans="1:4" x14ac:dyDescent="0.45">
      <c r="A66" s="1">
        <v>45357</v>
      </c>
      <c r="B66" s="2">
        <v>4</v>
      </c>
      <c r="C66" s="160"/>
      <c r="D66" s="180"/>
    </row>
    <row r="67" spans="1:4" x14ac:dyDescent="0.45">
      <c r="A67" s="1">
        <v>45358</v>
      </c>
      <c r="B67" s="2">
        <v>6</v>
      </c>
      <c r="C67" s="160"/>
      <c r="D67" s="180"/>
    </row>
    <row r="68" spans="1:4" x14ac:dyDescent="0.45">
      <c r="A68" s="1">
        <v>45359</v>
      </c>
      <c r="B68" s="2">
        <v>6</v>
      </c>
      <c r="C68" s="160"/>
      <c r="D68" s="180"/>
    </row>
    <row r="69" spans="1:4" x14ac:dyDescent="0.45">
      <c r="A69" s="1">
        <v>45360</v>
      </c>
      <c r="B69" s="2">
        <v>6</v>
      </c>
      <c r="C69" s="160"/>
      <c r="D69" s="180"/>
    </row>
    <row r="70" spans="1:4" x14ac:dyDescent="0.45">
      <c r="A70" s="1">
        <v>45361</v>
      </c>
      <c r="B70" s="2">
        <v>6</v>
      </c>
      <c r="C70" s="160"/>
      <c r="D70" s="180"/>
    </row>
    <row r="71" spans="1:4" x14ac:dyDescent="0.45">
      <c r="A71" s="1">
        <v>45362</v>
      </c>
      <c r="B71" s="2">
        <v>4</v>
      </c>
      <c r="C71" s="160"/>
      <c r="D71" s="180"/>
    </row>
    <row r="72" spans="1:4" x14ac:dyDescent="0.45">
      <c r="A72" s="1">
        <v>45363</v>
      </c>
      <c r="B72" s="2">
        <v>6</v>
      </c>
      <c r="C72" s="160"/>
      <c r="D72" s="180"/>
    </row>
    <row r="73" spans="1:4" x14ac:dyDescent="0.45">
      <c r="A73" s="1">
        <v>45364</v>
      </c>
      <c r="B73" s="2">
        <v>6</v>
      </c>
      <c r="C73" s="160"/>
      <c r="D73" s="180"/>
    </row>
    <row r="74" spans="1:4" x14ac:dyDescent="0.45">
      <c r="A74" s="1">
        <v>45365</v>
      </c>
      <c r="B74" s="2">
        <v>4</v>
      </c>
      <c r="C74" s="160"/>
      <c r="D74" s="180"/>
    </row>
    <row r="75" spans="1:4" x14ac:dyDescent="0.45">
      <c r="A75" s="1">
        <v>45366</v>
      </c>
      <c r="B75" s="2">
        <v>6</v>
      </c>
      <c r="C75" s="160"/>
      <c r="D75" s="180"/>
    </row>
    <row r="76" spans="1:4" x14ac:dyDescent="0.45">
      <c r="A76" s="1">
        <v>45367</v>
      </c>
      <c r="B76" s="2">
        <v>6</v>
      </c>
      <c r="C76" s="160"/>
      <c r="D76" s="180"/>
    </row>
    <row r="77" spans="1:4" x14ac:dyDescent="0.45">
      <c r="A77" s="1">
        <v>45368</v>
      </c>
      <c r="B77" s="2">
        <v>4</v>
      </c>
      <c r="C77" s="160"/>
      <c r="D77" s="180"/>
    </row>
    <row r="78" spans="1:4" x14ac:dyDescent="0.45">
      <c r="A78" s="1">
        <v>45369</v>
      </c>
      <c r="B78" s="2">
        <v>6</v>
      </c>
      <c r="C78" s="160"/>
      <c r="D78" s="180"/>
    </row>
    <row r="79" spans="1:4" x14ac:dyDescent="0.45">
      <c r="A79" s="1">
        <v>45370</v>
      </c>
      <c r="B79" s="2">
        <v>2</v>
      </c>
      <c r="C79" s="160"/>
      <c r="D79" s="180"/>
    </row>
    <row r="80" spans="1:4" x14ac:dyDescent="0.45">
      <c r="A80" s="1">
        <v>45371</v>
      </c>
      <c r="B80" s="2">
        <v>8</v>
      </c>
      <c r="C80" s="160"/>
      <c r="D80" s="180"/>
    </row>
    <row r="81" spans="1:4" x14ac:dyDescent="0.45">
      <c r="A81" s="1">
        <v>45372</v>
      </c>
      <c r="B81" s="2">
        <v>6</v>
      </c>
      <c r="C81" s="160"/>
      <c r="D81" s="180"/>
    </row>
    <row r="82" spans="1:4" x14ac:dyDescent="0.45">
      <c r="A82" s="1">
        <v>45373</v>
      </c>
      <c r="B82" s="2">
        <v>8</v>
      </c>
      <c r="C82" s="160"/>
      <c r="D82" s="180"/>
    </row>
    <row r="83" spans="1:4" x14ac:dyDescent="0.45">
      <c r="A83" s="1">
        <v>45374</v>
      </c>
      <c r="B83" s="2">
        <v>6</v>
      </c>
      <c r="C83" s="160"/>
      <c r="D83" s="180"/>
    </row>
    <row r="84" spans="1:4" x14ac:dyDescent="0.45">
      <c r="A84" s="1">
        <v>45375</v>
      </c>
      <c r="B84" s="2">
        <v>2</v>
      </c>
      <c r="C84" s="160"/>
      <c r="D84" s="180"/>
    </row>
    <row r="85" spans="1:4" x14ac:dyDescent="0.45">
      <c r="A85" s="1">
        <v>45376</v>
      </c>
      <c r="B85" s="2">
        <v>8</v>
      </c>
      <c r="C85" s="160"/>
      <c r="D85" s="180"/>
    </row>
    <row r="86" spans="1:4" x14ac:dyDescent="0.45">
      <c r="A86" s="1">
        <v>45377</v>
      </c>
      <c r="B86" s="2">
        <v>6</v>
      </c>
      <c r="C86" s="160"/>
      <c r="D86" s="180"/>
    </row>
    <row r="87" spans="1:4" x14ac:dyDescent="0.45">
      <c r="A87" s="1">
        <v>45378</v>
      </c>
      <c r="B87" s="2">
        <v>4</v>
      </c>
      <c r="C87" s="160"/>
      <c r="D87" s="180"/>
    </row>
    <row r="88" spans="1:4" x14ac:dyDescent="0.45">
      <c r="A88" s="1">
        <v>45379</v>
      </c>
      <c r="B88" s="2">
        <v>6</v>
      </c>
      <c r="C88" s="160"/>
      <c r="D88" s="180"/>
    </row>
    <row r="89" spans="1:4" x14ac:dyDescent="0.45">
      <c r="A89" s="1">
        <v>45380</v>
      </c>
      <c r="B89" s="2">
        <v>4</v>
      </c>
      <c r="C89" s="160"/>
      <c r="D89" s="180"/>
    </row>
    <row r="90" spans="1:4" x14ac:dyDescent="0.45">
      <c r="A90" s="1">
        <v>45381</v>
      </c>
      <c r="B90" s="2">
        <v>6</v>
      </c>
      <c r="C90" s="160"/>
      <c r="D90" s="180"/>
    </row>
    <row r="91" spans="1:4" x14ac:dyDescent="0.45">
      <c r="A91" s="1">
        <v>45382</v>
      </c>
      <c r="B91" s="2">
        <v>6</v>
      </c>
      <c r="C91" s="160"/>
      <c r="D91" s="180"/>
    </row>
    <row r="92" spans="1:4" x14ac:dyDescent="0.45">
      <c r="A92" s="1">
        <v>45383</v>
      </c>
      <c r="B92" s="2">
        <v>4</v>
      </c>
      <c r="C92" s="160">
        <f>AVERAGE(B92:B121)</f>
        <v>4.4666666666666668</v>
      </c>
      <c r="D92" s="180"/>
    </row>
    <row r="93" spans="1:4" x14ac:dyDescent="0.45">
      <c r="A93" s="1">
        <v>45384</v>
      </c>
      <c r="B93" s="2">
        <v>4</v>
      </c>
      <c r="C93" s="160"/>
      <c r="D93" s="180"/>
    </row>
    <row r="94" spans="1:4" x14ac:dyDescent="0.45">
      <c r="A94" s="1">
        <v>45385</v>
      </c>
      <c r="B94" s="2">
        <v>4</v>
      </c>
      <c r="C94" s="160"/>
      <c r="D94" s="180"/>
    </row>
    <row r="95" spans="1:4" x14ac:dyDescent="0.45">
      <c r="A95" s="1">
        <v>45386</v>
      </c>
      <c r="B95" s="2">
        <v>4</v>
      </c>
      <c r="C95" s="160"/>
      <c r="D95" s="180"/>
    </row>
    <row r="96" spans="1:4" x14ac:dyDescent="0.45">
      <c r="A96" s="1">
        <v>45387</v>
      </c>
      <c r="B96" s="2">
        <v>0</v>
      </c>
      <c r="C96" s="160"/>
      <c r="D96" s="180"/>
    </row>
    <row r="97" spans="1:10" x14ac:dyDescent="0.45">
      <c r="A97" s="1">
        <v>45388</v>
      </c>
      <c r="B97" s="2">
        <v>2</v>
      </c>
      <c r="C97" s="160"/>
      <c r="D97" s="180"/>
    </row>
    <row r="98" spans="1:10" x14ac:dyDescent="0.45">
      <c r="A98" s="1">
        <v>45389</v>
      </c>
      <c r="B98" s="2">
        <v>4</v>
      </c>
      <c r="C98" s="160"/>
      <c r="D98" s="180"/>
    </row>
    <row r="99" spans="1:10" x14ac:dyDescent="0.45">
      <c r="A99" s="1">
        <v>45390</v>
      </c>
      <c r="B99" s="2">
        <v>4</v>
      </c>
      <c r="C99" s="160"/>
      <c r="D99" s="180"/>
    </row>
    <row r="100" spans="1:10" x14ac:dyDescent="0.45">
      <c r="A100" s="1">
        <v>45391</v>
      </c>
      <c r="B100" s="2">
        <v>6</v>
      </c>
      <c r="C100" s="160"/>
      <c r="D100" s="180"/>
    </row>
    <row r="101" spans="1:10" x14ac:dyDescent="0.45">
      <c r="A101" s="1">
        <v>45392</v>
      </c>
      <c r="B101" s="2">
        <v>2</v>
      </c>
      <c r="C101" s="160"/>
      <c r="D101" s="180"/>
    </row>
    <row r="102" spans="1:10" x14ac:dyDescent="0.45">
      <c r="A102" s="1">
        <v>45393</v>
      </c>
      <c r="B102" s="2">
        <v>0</v>
      </c>
      <c r="C102" s="160"/>
      <c r="D102" s="180"/>
    </row>
    <row r="103" spans="1:10" x14ac:dyDescent="0.45">
      <c r="A103" s="1">
        <v>45394</v>
      </c>
      <c r="B103" s="2">
        <v>6</v>
      </c>
      <c r="C103" s="160"/>
      <c r="D103" s="180"/>
    </row>
    <row r="104" spans="1:10" x14ac:dyDescent="0.45">
      <c r="A104" s="1">
        <v>45395</v>
      </c>
      <c r="B104" s="2">
        <v>6</v>
      </c>
      <c r="C104" s="160"/>
      <c r="D104" s="180"/>
    </row>
    <row r="105" spans="1:10" x14ac:dyDescent="0.45">
      <c r="A105" s="1">
        <v>45396</v>
      </c>
      <c r="B105" s="2">
        <v>4</v>
      </c>
      <c r="C105" s="160"/>
      <c r="D105" s="180"/>
    </row>
    <row r="106" spans="1:10" x14ac:dyDescent="0.45">
      <c r="A106" s="1">
        <v>45397</v>
      </c>
      <c r="B106" s="2">
        <v>6</v>
      </c>
      <c r="C106" s="160"/>
      <c r="D106" s="180"/>
    </row>
    <row r="107" spans="1:10" x14ac:dyDescent="0.45">
      <c r="A107" s="1">
        <v>45398</v>
      </c>
      <c r="B107" s="2">
        <v>4</v>
      </c>
      <c r="C107" s="160"/>
      <c r="D107" s="180"/>
    </row>
    <row r="108" spans="1:10" x14ac:dyDescent="0.45">
      <c r="A108" s="1">
        <v>45399</v>
      </c>
      <c r="B108" s="2">
        <v>8</v>
      </c>
      <c r="C108" s="160"/>
      <c r="D108" s="180"/>
      <c r="J108" s="3" t="s">
        <v>22</v>
      </c>
    </row>
    <row r="109" spans="1:10" x14ac:dyDescent="0.45">
      <c r="A109" s="1">
        <v>45400</v>
      </c>
      <c r="B109" s="2">
        <v>6</v>
      </c>
      <c r="C109" s="160"/>
      <c r="D109" s="180"/>
    </row>
    <row r="110" spans="1:10" x14ac:dyDescent="0.45">
      <c r="A110" s="1">
        <v>45401</v>
      </c>
      <c r="B110" s="2">
        <v>6</v>
      </c>
      <c r="C110" s="160"/>
      <c r="D110" s="180"/>
    </row>
    <row r="111" spans="1:10" x14ac:dyDescent="0.45">
      <c r="A111" s="1">
        <v>45402</v>
      </c>
      <c r="B111" s="2">
        <v>4</v>
      </c>
      <c r="C111" s="160"/>
      <c r="D111" s="180"/>
    </row>
    <row r="112" spans="1:10" x14ac:dyDescent="0.45">
      <c r="A112" s="1">
        <v>45403</v>
      </c>
      <c r="B112" s="2">
        <v>6</v>
      </c>
      <c r="C112" s="160"/>
      <c r="D112" s="180"/>
    </row>
    <row r="113" spans="1:4" x14ac:dyDescent="0.45">
      <c r="A113" s="1">
        <v>45404</v>
      </c>
      <c r="B113" s="2">
        <v>6</v>
      </c>
      <c r="C113" s="160"/>
      <c r="D113" s="180"/>
    </row>
    <row r="114" spans="1:4" x14ac:dyDescent="0.45">
      <c r="A114" s="1">
        <v>45405</v>
      </c>
      <c r="B114" s="2">
        <v>4</v>
      </c>
      <c r="C114" s="160"/>
      <c r="D114" s="180"/>
    </row>
    <row r="115" spans="1:4" x14ac:dyDescent="0.45">
      <c r="A115" s="1">
        <v>45406</v>
      </c>
      <c r="B115" s="2">
        <v>6</v>
      </c>
      <c r="C115" s="160"/>
      <c r="D115" s="180"/>
    </row>
    <row r="116" spans="1:4" x14ac:dyDescent="0.45">
      <c r="A116" s="1">
        <v>45407</v>
      </c>
      <c r="B116" s="2">
        <v>4</v>
      </c>
      <c r="C116" s="160"/>
      <c r="D116" s="180"/>
    </row>
    <row r="117" spans="1:4" x14ac:dyDescent="0.45">
      <c r="A117" s="1">
        <v>45408</v>
      </c>
      <c r="B117" s="2">
        <v>4</v>
      </c>
      <c r="C117" s="160"/>
      <c r="D117" s="180"/>
    </row>
    <row r="118" spans="1:4" x14ac:dyDescent="0.45">
      <c r="A118" s="1">
        <v>45409</v>
      </c>
      <c r="B118" s="2">
        <v>4</v>
      </c>
      <c r="C118" s="160"/>
      <c r="D118" s="180"/>
    </row>
    <row r="119" spans="1:4" x14ac:dyDescent="0.45">
      <c r="A119" s="1">
        <v>45410</v>
      </c>
      <c r="B119" s="2">
        <v>4</v>
      </c>
      <c r="C119" s="160"/>
      <c r="D119" s="180"/>
    </row>
    <row r="120" spans="1:4" x14ac:dyDescent="0.45">
      <c r="A120" s="1">
        <v>45411</v>
      </c>
      <c r="B120" s="2">
        <v>6</v>
      </c>
      <c r="C120" s="160"/>
      <c r="D120" s="180"/>
    </row>
    <row r="121" spans="1:4" x14ac:dyDescent="0.45">
      <c r="A121" s="1">
        <v>45412</v>
      </c>
      <c r="B121" s="2">
        <v>6</v>
      </c>
      <c r="C121" s="160"/>
      <c r="D121" s="180"/>
    </row>
    <row r="122" spans="1:4" x14ac:dyDescent="0.45">
      <c r="A122" s="1">
        <v>45413</v>
      </c>
      <c r="B122" s="2">
        <v>8</v>
      </c>
      <c r="C122" s="181">
        <f>AVERAGE(B122:B152)</f>
        <v>6.129032258064516</v>
      </c>
      <c r="D122" s="180"/>
    </row>
    <row r="123" spans="1:4" x14ac:dyDescent="0.45">
      <c r="A123" s="1">
        <v>45414</v>
      </c>
      <c r="B123" s="2">
        <v>6</v>
      </c>
      <c r="C123" s="182"/>
      <c r="D123" s="180"/>
    </row>
    <row r="124" spans="1:4" x14ac:dyDescent="0.45">
      <c r="A124" s="1">
        <v>45415</v>
      </c>
      <c r="B124" s="2">
        <v>6</v>
      </c>
      <c r="C124" s="182"/>
      <c r="D124" s="180"/>
    </row>
    <row r="125" spans="1:4" x14ac:dyDescent="0.45">
      <c r="A125" s="1">
        <v>45416</v>
      </c>
      <c r="B125" s="2">
        <v>10</v>
      </c>
      <c r="C125" s="182"/>
      <c r="D125" s="180"/>
    </row>
    <row r="126" spans="1:4" x14ac:dyDescent="0.45">
      <c r="A126" s="1">
        <v>45417</v>
      </c>
      <c r="B126" s="2">
        <v>6</v>
      </c>
      <c r="C126" s="182"/>
      <c r="D126" s="180"/>
    </row>
    <row r="127" spans="1:4" x14ac:dyDescent="0.45">
      <c r="A127" s="1">
        <v>45418</v>
      </c>
      <c r="B127" s="2">
        <v>4</v>
      </c>
      <c r="C127" s="182"/>
      <c r="D127" s="180"/>
    </row>
    <row r="128" spans="1:4" x14ac:dyDescent="0.45">
      <c r="A128" s="1">
        <v>45419</v>
      </c>
      <c r="B128" s="2">
        <v>6</v>
      </c>
      <c r="C128" s="182"/>
      <c r="D128" s="180"/>
    </row>
    <row r="129" spans="1:4" x14ac:dyDescent="0.45">
      <c r="A129" s="1">
        <v>45420</v>
      </c>
      <c r="B129" s="2">
        <v>6</v>
      </c>
      <c r="C129" s="182"/>
      <c r="D129" s="180"/>
    </row>
    <row r="130" spans="1:4" x14ac:dyDescent="0.45">
      <c r="A130" s="1">
        <v>45421</v>
      </c>
      <c r="B130" s="2">
        <v>6</v>
      </c>
      <c r="C130" s="182"/>
      <c r="D130" s="180"/>
    </row>
    <row r="131" spans="1:4" x14ac:dyDescent="0.45">
      <c r="A131" s="1">
        <v>45422</v>
      </c>
      <c r="B131" s="2">
        <v>8</v>
      </c>
      <c r="C131" s="182"/>
      <c r="D131" s="180"/>
    </row>
    <row r="132" spans="1:4" x14ac:dyDescent="0.45">
      <c r="A132" s="1">
        <v>45423</v>
      </c>
      <c r="B132" s="2">
        <v>8</v>
      </c>
      <c r="C132" s="182"/>
      <c r="D132" s="180"/>
    </row>
    <row r="133" spans="1:4" x14ac:dyDescent="0.45">
      <c r="A133" s="1">
        <v>45424</v>
      </c>
      <c r="B133" s="2">
        <v>6</v>
      </c>
      <c r="C133" s="182"/>
      <c r="D133" s="180"/>
    </row>
    <row r="134" spans="1:4" x14ac:dyDescent="0.45">
      <c r="A134" s="1">
        <v>45425</v>
      </c>
      <c r="B134" s="2">
        <v>6</v>
      </c>
      <c r="C134" s="182"/>
      <c r="D134" s="180"/>
    </row>
    <row r="135" spans="1:4" x14ac:dyDescent="0.45">
      <c r="A135" s="1">
        <v>45426</v>
      </c>
      <c r="B135" s="2">
        <v>6</v>
      </c>
      <c r="C135" s="182"/>
      <c r="D135" s="180"/>
    </row>
    <row r="136" spans="1:4" x14ac:dyDescent="0.45">
      <c r="A136" s="1">
        <v>45427</v>
      </c>
      <c r="B136" s="2">
        <v>6</v>
      </c>
      <c r="C136" s="182"/>
      <c r="D136" s="180"/>
    </row>
    <row r="137" spans="1:4" x14ac:dyDescent="0.45">
      <c r="A137" s="1">
        <v>45428</v>
      </c>
      <c r="B137" s="2">
        <v>4</v>
      </c>
      <c r="C137" s="182"/>
      <c r="D137" s="180"/>
    </row>
    <row r="138" spans="1:4" x14ac:dyDescent="0.45">
      <c r="A138" s="1">
        <v>45429</v>
      </c>
      <c r="B138" s="2">
        <v>4</v>
      </c>
      <c r="C138" s="182"/>
      <c r="D138" s="180"/>
    </row>
    <row r="139" spans="1:4" x14ac:dyDescent="0.45">
      <c r="A139" s="1">
        <v>45430</v>
      </c>
      <c r="B139" s="2">
        <v>6</v>
      </c>
      <c r="C139" s="182"/>
      <c r="D139" s="180"/>
    </row>
    <row r="140" spans="1:4" x14ac:dyDescent="0.45">
      <c r="A140" s="1">
        <v>45431</v>
      </c>
      <c r="B140" s="2">
        <v>4</v>
      </c>
      <c r="C140" s="182"/>
      <c r="D140" s="180"/>
    </row>
    <row r="141" spans="1:4" x14ac:dyDescent="0.45">
      <c r="A141" s="1">
        <v>45432</v>
      </c>
      <c r="B141" s="2">
        <v>4</v>
      </c>
      <c r="C141" s="182"/>
      <c r="D141" s="180"/>
    </row>
    <row r="142" spans="1:4" x14ac:dyDescent="0.45">
      <c r="A142" s="1">
        <v>45433</v>
      </c>
      <c r="B142" s="2">
        <v>6</v>
      </c>
      <c r="C142" s="182"/>
      <c r="D142" s="180"/>
    </row>
    <row r="143" spans="1:4" x14ac:dyDescent="0.45">
      <c r="A143" s="1">
        <v>45434</v>
      </c>
      <c r="B143" s="2">
        <v>6</v>
      </c>
      <c r="C143" s="182"/>
      <c r="D143" s="180"/>
    </row>
    <row r="144" spans="1:4" x14ac:dyDescent="0.45">
      <c r="A144" s="1">
        <v>45435</v>
      </c>
      <c r="B144" s="2">
        <v>8</v>
      </c>
      <c r="C144" s="182"/>
      <c r="D144" s="180"/>
    </row>
    <row r="145" spans="1:4" x14ac:dyDescent="0.45">
      <c r="A145" s="1">
        <v>45436</v>
      </c>
      <c r="B145" s="2">
        <v>8</v>
      </c>
      <c r="C145" s="182"/>
      <c r="D145" s="180"/>
    </row>
    <row r="146" spans="1:4" x14ac:dyDescent="0.45">
      <c r="A146" s="1">
        <v>45437</v>
      </c>
      <c r="B146" s="2">
        <v>8</v>
      </c>
      <c r="C146" s="182"/>
      <c r="D146" s="180"/>
    </row>
    <row r="147" spans="1:4" x14ac:dyDescent="0.45">
      <c r="A147" s="1">
        <v>45438</v>
      </c>
      <c r="B147" s="2">
        <v>6</v>
      </c>
      <c r="C147" s="182"/>
      <c r="D147" s="180"/>
    </row>
    <row r="148" spans="1:4" x14ac:dyDescent="0.45">
      <c r="A148" s="1">
        <v>45439</v>
      </c>
      <c r="B148" s="2">
        <v>4</v>
      </c>
      <c r="C148" s="182"/>
      <c r="D148" s="180"/>
    </row>
    <row r="149" spans="1:4" x14ac:dyDescent="0.45">
      <c r="A149" s="1">
        <v>45440</v>
      </c>
      <c r="B149" s="2">
        <v>6</v>
      </c>
      <c r="C149" s="182"/>
      <c r="D149" s="180"/>
    </row>
    <row r="150" spans="1:4" x14ac:dyDescent="0.45">
      <c r="A150" s="1">
        <v>45441</v>
      </c>
      <c r="B150" s="2">
        <v>6</v>
      </c>
      <c r="C150" s="182"/>
      <c r="D150" s="180"/>
    </row>
    <row r="151" spans="1:4" x14ac:dyDescent="0.45">
      <c r="A151" s="1">
        <v>45442</v>
      </c>
      <c r="B151" s="2">
        <v>6</v>
      </c>
      <c r="C151" s="182"/>
      <c r="D151" s="180"/>
    </row>
    <row r="152" spans="1:4" x14ac:dyDescent="0.45">
      <c r="A152" s="1">
        <v>45443</v>
      </c>
      <c r="B152" s="2">
        <v>6</v>
      </c>
      <c r="C152" s="168"/>
      <c r="D152" s="180"/>
    </row>
    <row r="153" spans="1:4" x14ac:dyDescent="0.45">
      <c r="A153" s="1">
        <v>45444</v>
      </c>
      <c r="B153" s="2">
        <v>6</v>
      </c>
      <c r="C153" s="181">
        <f>AVERAGE(B153:B182)</f>
        <v>5.333333333333333</v>
      </c>
      <c r="D153" s="180"/>
    </row>
    <row r="154" spans="1:4" x14ac:dyDescent="0.45">
      <c r="A154" s="1">
        <v>45445</v>
      </c>
      <c r="B154" s="2">
        <v>6</v>
      </c>
      <c r="C154" s="182"/>
      <c r="D154" s="180"/>
    </row>
    <row r="155" spans="1:4" x14ac:dyDescent="0.45">
      <c r="A155" s="1">
        <v>45446</v>
      </c>
      <c r="B155" s="2">
        <v>4</v>
      </c>
      <c r="C155" s="182"/>
      <c r="D155" s="180"/>
    </row>
    <row r="156" spans="1:4" x14ac:dyDescent="0.45">
      <c r="A156" s="1">
        <v>45447</v>
      </c>
      <c r="B156" s="2">
        <v>8</v>
      </c>
      <c r="C156" s="182"/>
      <c r="D156" s="180"/>
    </row>
    <row r="157" spans="1:4" x14ac:dyDescent="0.45">
      <c r="A157" s="1">
        <v>45448</v>
      </c>
      <c r="B157" s="2">
        <v>10</v>
      </c>
      <c r="C157" s="182"/>
      <c r="D157" s="180"/>
    </row>
    <row r="158" spans="1:4" x14ac:dyDescent="0.45">
      <c r="A158" s="1">
        <v>45449</v>
      </c>
      <c r="B158" s="2">
        <v>6</v>
      </c>
      <c r="C158" s="182"/>
      <c r="D158" s="180"/>
    </row>
    <row r="159" spans="1:4" x14ac:dyDescent="0.45">
      <c r="A159" s="1">
        <v>45450</v>
      </c>
      <c r="B159" s="2">
        <v>4</v>
      </c>
      <c r="C159" s="182"/>
      <c r="D159" s="180"/>
    </row>
    <row r="160" spans="1:4" x14ac:dyDescent="0.45">
      <c r="A160" s="1">
        <v>45451</v>
      </c>
      <c r="B160" s="2">
        <v>6</v>
      </c>
      <c r="C160" s="182"/>
      <c r="D160" s="180"/>
    </row>
    <row r="161" spans="1:4" x14ac:dyDescent="0.45">
      <c r="A161" s="1">
        <v>45452</v>
      </c>
      <c r="B161" s="2">
        <v>6</v>
      </c>
      <c r="C161" s="182"/>
      <c r="D161" s="180"/>
    </row>
    <row r="162" spans="1:4" x14ac:dyDescent="0.45">
      <c r="A162" s="1">
        <v>45453</v>
      </c>
      <c r="B162" s="2">
        <v>6</v>
      </c>
      <c r="C162" s="182"/>
      <c r="D162" s="180"/>
    </row>
    <row r="163" spans="1:4" x14ac:dyDescent="0.45">
      <c r="A163" s="1">
        <v>45454</v>
      </c>
      <c r="B163" s="2">
        <v>0</v>
      </c>
      <c r="C163" s="182"/>
      <c r="D163" s="180"/>
    </row>
    <row r="164" spans="1:4" x14ac:dyDescent="0.45">
      <c r="A164" s="1">
        <v>45455</v>
      </c>
      <c r="B164" s="2">
        <v>4</v>
      </c>
      <c r="C164" s="182"/>
      <c r="D164" s="180"/>
    </row>
    <row r="165" spans="1:4" x14ac:dyDescent="0.45">
      <c r="A165" s="1">
        <v>45456</v>
      </c>
      <c r="B165" s="2">
        <v>4</v>
      </c>
      <c r="C165" s="182"/>
      <c r="D165" s="180"/>
    </row>
    <row r="166" spans="1:4" x14ac:dyDescent="0.45">
      <c r="A166" s="1">
        <v>45457</v>
      </c>
      <c r="B166" s="2">
        <v>4</v>
      </c>
      <c r="C166" s="182"/>
      <c r="D166" s="180"/>
    </row>
    <row r="167" spans="1:4" x14ac:dyDescent="0.45">
      <c r="A167" s="1">
        <v>45458</v>
      </c>
      <c r="B167" s="2">
        <v>6</v>
      </c>
      <c r="C167" s="182"/>
      <c r="D167" s="180"/>
    </row>
    <row r="168" spans="1:4" x14ac:dyDescent="0.45">
      <c r="A168" s="1">
        <v>45459</v>
      </c>
      <c r="B168" s="2">
        <v>6</v>
      </c>
      <c r="C168" s="182"/>
      <c r="D168" s="180"/>
    </row>
    <row r="169" spans="1:4" x14ac:dyDescent="0.45">
      <c r="A169" s="1">
        <v>45460</v>
      </c>
      <c r="B169" s="2">
        <v>4</v>
      </c>
      <c r="C169" s="182"/>
      <c r="D169" s="180"/>
    </row>
    <row r="170" spans="1:4" x14ac:dyDescent="0.45">
      <c r="A170" s="1">
        <v>45461</v>
      </c>
      <c r="B170" s="2">
        <v>4</v>
      </c>
      <c r="C170" s="182"/>
      <c r="D170" s="180"/>
    </row>
    <row r="171" spans="1:4" x14ac:dyDescent="0.45">
      <c r="A171" s="1">
        <v>45462</v>
      </c>
      <c r="B171" s="2">
        <v>10</v>
      </c>
      <c r="C171" s="182"/>
      <c r="D171" s="180"/>
    </row>
    <row r="172" spans="1:4" x14ac:dyDescent="0.45">
      <c r="A172" s="1">
        <v>45463</v>
      </c>
      <c r="B172" s="2">
        <v>2</v>
      </c>
      <c r="C172" s="182"/>
      <c r="D172" s="180"/>
    </row>
    <row r="173" spans="1:4" x14ac:dyDescent="0.45">
      <c r="A173" s="1">
        <v>45464</v>
      </c>
      <c r="B173" s="2">
        <v>2</v>
      </c>
      <c r="C173" s="182"/>
      <c r="D173" s="180"/>
    </row>
    <row r="174" spans="1:4" x14ac:dyDescent="0.45">
      <c r="A174" s="1">
        <v>45465</v>
      </c>
      <c r="B174" s="2">
        <v>4</v>
      </c>
      <c r="C174" s="182"/>
      <c r="D174" s="180"/>
    </row>
    <row r="175" spans="1:4" x14ac:dyDescent="0.45">
      <c r="A175" s="1">
        <v>45466</v>
      </c>
      <c r="B175" s="2">
        <v>4</v>
      </c>
      <c r="C175" s="182"/>
      <c r="D175" s="180"/>
    </row>
    <row r="176" spans="1:4" x14ac:dyDescent="0.45">
      <c r="A176" s="1">
        <v>45467</v>
      </c>
      <c r="B176" s="2">
        <v>6</v>
      </c>
      <c r="C176" s="182"/>
      <c r="D176" s="180"/>
    </row>
    <row r="177" spans="1:4" x14ac:dyDescent="0.45">
      <c r="A177" s="1">
        <v>45468</v>
      </c>
      <c r="B177" s="2">
        <v>4</v>
      </c>
      <c r="C177" s="182"/>
      <c r="D177" s="180"/>
    </row>
    <row r="178" spans="1:4" x14ac:dyDescent="0.45">
      <c r="A178" s="1">
        <v>45469</v>
      </c>
      <c r="B178" s="2">
        <v>4</v>
      </c>
      <c r="C178" s="182"/>
      <c r="D178" s="180"/>
    </row>
    <row r="179" spans="1:4" x14ac:dyDescent="0.45">
      <c r="A179" s="1">
        <v>45470</v>
      </c>
      <c r="B179" s="2">
        <v>6</v>
      </c>
      <c r="C179" s="182"/>
      <c r="D179" s="180"/>
    </row>
    <row r="180" spans="1:4" x14ac:dyDescent="0.45">
      <c r="A180" s="1">
        <v>45471</v>
      </c>
      <c r="B180" s="2">
        <v>10</v>
      </c>
      <c r="C180" s="182"/>
      <c r="D180" s="180"/>
    </row>
    <row r="181" spans="1:4" x14ac:dyDescent="0.45">
      <c r="A181" s="1">
        <v>45472</v>
      </c>
      <c r="B181" s="2">
        <v>8</v>
      </c>
      <c r="C181" s="182"/>
      <c r="D181" s="180"/>
    </row>
    <row r="182" spans="1:4" x14ac:dyDescent="0.45">
      <c r="A182" s="1">
        <v>45473</v>
      </c>
      <c r="B182" s="2">
        <v>6</v>
      </c>
      <c r="C182" s="168"/>
      <c r="D182" s="180"/>
    </row>
    <row r="183" spans="1:4" x14ac:dyDescent="0.45">
      <c r="A183" s="1">
        <v>45474</v>
      </c>
      <c r="B183" s="2">
        <v>6</v>
      </c>
      <c r="C183" s="181">
        <f>AVERAGE(B183:B213)</f>
        <v>5.032258064516129</v>
      </c>
      <c r="D183" s="180"/>
    </row>
    <row r="184" spans="1:4" x14ac:dyDescent="0.45">
      <c r="A184" s="1">
        <v>45475</v>
      </c>
      <c r="B184" s="2">
        <v>4</v>
      </c>
      <c r="C184" s="182"/>
      <c r="D184" s="180"/>
    </row>
    <row r="185" spans="1:4" x14ac:dyDescent="0.45">
      <c r="A185" s="1">
        <v>45476</v>
      </c>
      <c r="B185" s="2">
        <v>2</v>
      </c>
      <c r="C185" s="182"/>
      <c r="D185" s="180"/>
    </row>
    <row r="186" spans="1:4" x14ac:dyDescent="0.45">
      <c r="A186" s="1">
        <v>45477</v>
      </c>
      <c r="B186" s="2">
        <v>4</v>
      </c>
      <c r="C186" s="182"/>
      <c r="D186" s="180"/>
    </row>
    <row r="187" spans="1:4" x14ac:dyDescent="0.45">
      <c r="A187" s="1">
        <v>45478</v>
      </c>
      <c r="B187" s="2">
        <v>4</v>
      </c>
      <c r="C187" s="182"/>
      <c r="D187" s="180"/>
    </row>
    <row r="188" spans="1:4" x14ac:dyDescent="0.45">
      <c r="A188" s="1">
        <v>45479</v>
      </c>
      <c r="B188" s="2">
        <v>10</v>
      </c>
      <c r="C188" s="182"/>
      <c r="D188" s="180"/>
    </row>
    <row r="189" spans="1:4" x14ac:dyDescent="0.45">
      <c r="A189" s="1">
        <v>45480</v>
      </c>
      <c r="B189" s="2">
        <v>6</v>
      </c>
      <c r="C189" s="182"/>
      <c r="D189" s="180"/>
    </row>
    <row r="190" spans="1:4" x14ac:dyDescent="0.45">
      <c r="A190" s="1">
        <v>45481</v>
      </c>
      <c r="B190" s="2">
        <v>4</v>
      </c>
      <c r="C190" s="182"/>
      <c r="D190" s="180"/>
    </row>
    <row r="191" spans="1:4" x14ac:dyDescent="0.45">
      <c r="A191" s="1">
        <v>45482</v>
      </c>
      <c r="B191" s="2">
        <v>4</v>
      </c>
      <c r="C191" s="182"/>
      <c r="D191" s="180"/>
    </row>
    <row r="192" spans="1:4" x14ac:dyDescent="0.45">
      <c r="A192" s="1">
        <v>45483</v>
      </c>
      <c r="B192" s="2">
        <v>4</v>
      </c>
      <c r="C192" s="182"/>
      <c r="D192" s="180"/>
    </row>
    <row r="193" spans="1:4" x14ac:dyDescent="0.45">
      <c r="A193" s="1">
        <v>45484</v>
      </c>
      <c r="B193" s="2">
        <v>6</v>
      </c>
      <c r="C193" s="182"/>
      <c r="D193" s="180"/>
    </row>
    <row r="194" spans="1:4" x14ac:dyDescent="0.45">
      <c r="A194" s="1">
        <v>45485</v>
      </c>
      <c r="B194" s="2">
        <v>4</v>
      </c>
      <c r="C194" s="182"/>
      <c r="D194" s="180"/>
    </row>
    <row r="195" spans="1:4" x14ac:dyDescent="0.45">
      <c r="A195" s="1">
        <v>45486</v>
      </c>
      <c r="B195" s="2">
        <v>10</v>
      </c>
      <c r="C195" s="182"/>
      <c r="D195" s="180"/>
    </row>
    <row r="196" spans="1:4" x14ac:dyDescent="0.45">
      <c r="A196" s="1">
        <v>45487</v>
      </c>
      <c r="B196" s="2">
        <v>6</v>
      </c>
      <c r="C196" s="182"/>
      <c r="D196" s="180"/>
    </row>
    <row r="197" spans="1:4" x14ac:dyDescent="0.45">
      <c r="A197" s="1">
        <v>45488</v>
      </c>
      <c r="B197" s="2">
        <v>4</v>
      </c>
      <c r="C197" s="182"/>
      <c r="D197" s="180"/>
    </row>
    <row r="198" spans="1:4" x14ac:dyDescent="0.45">
      <c r="A198" s="1">
        <v>45489</v>
      </c>
      <c r="B198" s="2">
        <v>4</v>
      </c>
      <c r="C198" s="182"/>
      <c r="D198" s="180"/>
    </row>
    <row r="199" spans="1:4" x14ac:dyDescent="0.45">
      <c r="A199" s="1">
        <v>45490</v>
      </c>
      <c r="B199" s="2">
        <v>6</v>
      </c>
      <c r="C199" s="182"/>
      <c r="D199" s="180"/>
    </row>
    <row r="200" spans="1:4" x14ac:dyDescent="0.45">
      <c r="A200" s="1">
        <v>45491</v>
      </c>
      <c r="B200" s="2">
        <v>4</v>
      </c>
      <c r="C200" s="182"/>
      <c r="D200" s="180"/>
    </row>
    <row r="201" spans="1:4" x14ac:dyDescent="0.45">
      <c r="A201" s="1">
        <v>45492</v>
      </c>
      <c r="B201" s="2">
        <v>2</v>
      </c>
      <c r="C201" s="182"/>
      <c r="D201" s="180"/>
    </row>
    <row r="202" spans="1:4" x14ac:dyDescent="0.45">
      <c r="A202" s="1">
        <v>45493</v>
      </c>
      <c r="B202" s="2">
        <v>8</v>
      </c>
      <c r="C202" s="182"/>
      <c r="D202" s="180"/>
    </row>
    <row r="203" spans="1:4" x14ac:dyDescent="0.45">
      <c r="A203" s="1">
        <v>45494</v>
      </c>
      <c r="B203" s="2">
        <v>6</v>
      </c>
      <c r="C203" s="182"/>
      <c r="D203" s="180"/>
    </row>
    <row r="204" spans="1:4" x14ac:dyDescent="0.45">
      <c r="A204" s="1">
        <v>45495</v>
      </c>
      <c r="B204" s="2">
        <v>4</v>
      </c>
      <c r="C204" s="182"/>
      <c r="D204" s="180"/>
    </row>
    <row r="205" spans="1:4" x14ac:dyDescent="0.45">
      <c r="A205" s="1">
        <v>45496</v>
      </c>
      <c r="B205" s="2">
        <v>4</v>
      </c>
      <c r="C205" s="182"/>
      <c r="D205" s="180"/>
    </row>
    <row r="206" spans="1:4" x14ac:dyDescent="0.45">
      <c r="A206" s="1">
        <v>45497</v>
      </c>
      <c r="B206" s="2">
        <v>2</v>
      </c>
      <c r="C206" s="182"/>
      <c r="D206" s="180"/>
    </row>
    <row r="207" spans="1:4" x14ac:dyDescent="0.45">
      <c r="A207" s="1">
        <v>45498</v>
      </c>
      <c r="B207" s="2">
        <v>4</v>
      </c>
      <c r="C207" s="182"/>
      <c r="D207" s="180"/>
    </row>
    <row r="208" spans="1:4" x14ac:dyDescent="0.45">
      <c r="A208" s="1">
        <v>45499</v>
      </c>
      <c r="B208" s="2">
        <v>4</v>
      </c>
      <c r="C208" s="182"/>
      <c r="D208" s="180"/>
    </row>
    <row r="209" spans="1:4" x14ac:dyDescent="0.45">
      <c r="A209" s="1">
        <v>45500</v>
      </c>
      <c r="B209" s="2">
        <v>6</v>
      </c>
      <c r="C209" s="182"/>
      <c r="D209" s="180"/>
    </row>
    <row r="210" spans="1:4" x14ac:dyDescent="0.45">
      <c r="A210" s="1">
        <v>45501</v>
      </c>
      <c r="B210" s="2">
        <v>6</v>
      </c>
      <c r="C210" s="182"/>
      <c r="D210" s="180"/>
    </row>
    <row r="211" spans="1:4" x14ac:dyDescent="0.45">
      <c r="A211" s="1">
        <v>45502</v>
      </c>
      <c r="B211" s="2">
        <v>6</v>
      </c>
      <c r="C211" s="182"/>
      <c r="D211" s="180"/>
    </row>
    <row r="212" spans="1:4" x14ac:dyDescent="0.45">
      <c r="A212" s="1">
        <v>45503</v>
      </c>
      <c r="B212" s="2">
        <v>6</v>
      </c>
      <c r="C212" s="182"/>
      <c r="D212" s="180"/>
    </row>
    <row r="213" spans="1:4" x14ac:dyDescent="0.45">
      <c r="A213" s="1">
        <v>45504</v>
      </c>
      <c r="B213" s="2">
        <v>6</v>
      </c>
      <c r="C213" s="168"/>
      <c r="D213" s="180"/>
    </row>
    <row r="214" spans="1:4" x14ac:dyDescent="0.45">
      <c r="A214" s="1">
        <v>45505</v>
      </c>
      <c r="B214" s="2">
        <v>6</v>
      </c>
      <c r="C214" s="181">
        <f>AVERAGE(B214:B244)</f>
        <v>4.967741935483871</v>
      </c>
      <c r="D214" s="180"/>
    </row>
    <row r="215" spans="1:4" x14ac:dyDescent="0.45">
      <c r="A215" s="1">
        <v>45506</v>
      </c>
      <c r="B215" s="2">
        <v>6</v>
      </c>
      <c r="C215" s="182"/>
      <c r="D215" s="180"/>
    </row>
    <row r="216" spans="1:4" x14ac:dyDescent="0.45">
      <c r="A216" s="1">
        <v>45507</v>
      </c>
      <c r="B216" s="2">
        <v>6</v>
      </c>
      <c r="C216" s="182"/>
      <c r="D216" s="180"/>
    </row>
    <row r="217" spans="1:4" x14ac:dyDescent="0.45">
      <c r="A217" s="1">
        <v>45508</v>
      </c>
      <c r="B217" s="2">
        <v>8</v>
      </c>
      <c r="C217" s="182"/>
      <c r="D217" s="180"/>
    </row>
    <row r="218" spans="1:4" x14ac:dyDescent="0.45">
      <c r="A218" s="1">
        <v>45509</v>
      </c>
      <c r="B218" s="2">
        <v>4</v>
      </c>
      <c r="C218" s="182"/>
      <c r="D218" s="180"/>
    </row>
    <row r="219" spans="1:4" x14ac:dyDescent="0.45">
      <c r="A219" s="1">
        <v>45510</v>
      </c>
      <c r="B219" s="2">
        <v>4</v>
      </c>
      <c r="C219" s="182"/>
      <c r="D219" s="180"/>
    </row>
    <row r="220" spans="1:4" x14ac:dyDescent="0.45">
      <c r="A220" s="1">
        <v>45511</v>
      </c>
      <c r="B220" s="2">
        <v>6</v>
      </c>
      <c r="C220" s="182"/>
      <c r="D220" s="180"/>
    </row>
    <row r="221" spans="1:4" x14ac:dyDescent="0.45">
      <c r="A221" s="1">
        <v>45512</v>
      </c>
      <c r="B221" s="2">
        <v>4</v>
      </c>
      <c r="C221" s="182"/>
      <c r="D221" s="180"/>
    </row>
    <row r="222" spans="1:4" x14ac:dyDescent="0.45">
      <c r="A222" s="1">
        <v>45513</v>
      </c>
      <c r="B222" s="2">
        <v>6</v>
      </c>
      <c r="C222" s="182"/>
      <c r="D222" s="180"/>
    </row>
    <row r="223" spans="1:4" x14ac:dyDescent="0.45">
      <c r="A223" s="1">
        <v>45514</v>
      </c>
      <c r="B223" s="2">
        <v>6</v>
      </c>
      <c r="C223" s="182"/>
      <c r="D223" s="180"/>
    </row>
    <row r="224" spans="1:4" x14ac:dyDescent="0.45">
      <c r="A224" s="1">
        <v>45515</v>
      </c>
      <c r="B224" s="2">
        <v>6</v>
      </c>
      <c r="C224" s="182"/>
      <c r="D224" s="180"/>
    </row>
    <row r="225" spans="1:4" x14ac:dyDescent="0.45">
      <c r="A225" s="1">
        <v>45516</v>
      </c>
      <c r="B225" s="2">
        <v>6</v>
      </c>
      <c r="C225" s="182"/>
      <c r="D225" s="180"/>
    </row>
    <row r="226" spans="1:4" x14ac:dyDescent="0.45">
      <c r="A226" s="1">
        <v>45517</v>
      </c>
      <c r="B226" s="2">
        <v>4</v>
      </c>
      <c r="C226" s="182"/>
      <c r="D226" s="180"/>
    </row>
    <row r="227" spans="1:4" x14ac:dyDescent="0.45">
      <c r="A227" s="1">
        <v>45518</v>
      </c>
      <c r="B227" s="2">
        <v>2</v>
      </c>
      <c r="C227" s="182"/>
      <c r="D227" s="180"/>
    </row>
    <row r="228" spans="1:4" x14ac:dyDescent="0.45">
      <c r="A228" s="1">
        <v>45519</v>
      </c>
      <c r="B228" s="2">
        <v>2</v>
      </c>
      <c r="C228" s="182"/>
      <c r="D228" s="180"/>
    </row>
    <row r="229" spans="1:4" x14ac:dyDescent="0.45">
      <c r="A229" s="1">
        <v>45520</v>
      </c>
      <c r="B229" s="2">
        <v>4</v>
      </c>
      <c r="C229" s="182"/>
      <c r="D229" s="180"/>
    </row>
    <row r="230" spans="1:4" x14ac:dyDescent="0.45">
      <c r="A230" s="1">
        <v>45521</v>
      </c>
      <c r="B230" s="2">
        <v>6</v>
      </c>
      <c r="C230" s="182"/>
      <c r="D230" s="180"/>
    </row>
    <row r="231" spans="1:4" x14ac:dyDescent="0.45">
      <c r="A231" s="1">
        <v>45522</v>
      </c>
      <c r="B231" s="2">
        <v>8</v>
      </c>
      <c r="C231" s="182"/>
      <c r="D231" s="180"/>
    </row>
    <row r="232" spans="1:4" x14ac:dyDescent="0.45">
      <c r="A232" s="1">
        <v>45523</v>
      </c>
      <c r="B232" s="2">
        <v>4</v>
      </c>
      <c r="C232" s="182"/>
      <c r="D232" s="180"/>
    </row>
    <row r="233" spans="1:4" x14ac:dyDescent="0.45">
      <c r="A233" s="1">
        <v>45524</v>
      </c>
      <c r="B233" s="2">
        <v>4</v>
      </c>
      <c r="C233" s="182"/>
      <c r="D233" s="180"/>
    </row>
    <row r="234" spans="1:4" x14ac:dyDescent="0.45">
      <c r="A234" s="1">
        <v>45525</v>
      </c>
      <c r="B234" s="2">
        <v>4</v>
      </c>
      <c r="C234" s="182"/>
      <c r="D234" s="180"/>
    </row>
    <row r="235" spans="1:4" x14ac:dyDescent="0.45">
      <c r="A235" s="1">
        <v>45526</v>
      </c>
      <c r="B235" s="2">
        <v>4</v>
      </c>
      <c r="C235" s="182"/>
      <c r="D235" s="180"/>
    </row>
    <row r="236" spans="1:4" x14ac:dyDescent="0.45">
      <c r="A236" s="1">
        <v>45527</v>
      </c>
      <c r="B236" s="2">
        <v>6</v>
      </c>
      <c r="C236" s="182"/>
      <c r="D236" s="180"/>
    </row>
    <row r="237" spans="1:4" x14ac:dyDescent="0.45">
      <c r="A237" s="1">
        <v>45528</v>
      </c>
      <c r="B237" s="2">
        <v>4</v>
      </c>
      <c r="C237" s="182"/>
      <c r="D237" s="180"/>
    </row>
    <row r="238" spans="1:4" x14ac:dyDescent="0.45">
      <c r="A238" s="1">
        <v>45529</v>
      </c>
      <c r="B238" s="2">
        <v>4</v>
      </c>
      <c r="C238" s="182"/>
      <c r="D238" s="180"/>
    </row>
    <row r="239" spans="1:4" x14ac:dyDescent="0.45">
      <c r="A239" s="1">
        <v>45530</v>
      </c>
      <c r="B239" s="2">
        <v>6</v>
      </c>
      <c r="C239" s="182"/>
      <c r="D239" s="180"/>
    </row>
    <row r="240" spans="1:4" x14ac:dyDescent="0.45">
      <c r="A240" s="1">
        <v>45531</v>
      </c>
      <c r="B240" s="2">
        <v>2</v>
      </c>
      <c r="C240" s="182"/>
      <c r="D240" s="180"/>
    </row>
    <row r="241" spans="1:4" x14ac:dyDescent="0.45">
      <c r="A241" s="1">
        <v>45532</v>
      </c>
      <c r="B241" s="2">
        <v>6</v>
      </c>
      <c r="C241" s="182"/>
      <c r="D241" s="180"/>
    </row>
    <row r="242" spans="1:4" x14ac:dyDescent="0.45">
      <c r="A242" s="1">
        <v>45533</v>
      </c>
      <c r="B242" s="2">
        <v>6</v>
      </c>
      <c r="C242" s="182"/>
      <c r="D242" s="180"/>
    </row>
    <row r="243" spans="1:4" x14ac:dyDescent="0.45">
      <c r="A243" s="1">
        <v>45534</v>
      </c>
      <c r="B243" s="2">
        <v>4</v>
      </c>
      <c r="C243" s="182"/>
      <c r="D243" s="180"/>
    </row>
    <row r="244" spans="1:4" x14ac:dyDescent="0.45">
      <c r="A244" s="1">
        <v>45535</v>
      </c>
      <c r="B244" s="2">
        <v>6</v>
      </c>
      <c r="C244" s="168"/>
      <c r="D244" s="180"/>
    </row>
    <row r="245" spans="1:4" x14ac:dyDescent="0.45">
      <c r="A245" s="1">
        <v>45536</v>
      </c>
      <c r="B245" s="2">
        <v>4</v>
      </c>
      <c r="C245" s="181">
        <f>AVERAGE(B245:B274)</f>
        <v>5.2666666666666666</v>
      </c>
      <c r="D245" s="180"/>
    </row>
    <row r="246" spans="1:4" x14ac:dyDescent="0.45">
      <c r="A246" s="1">
        <v>45537</v>
      </c>
      <c r="B246" s="2">
        <v>4</v>
      </c>
      <c r="C246" s="182"/>
      <c r="D246" s="180"/>
    </row>
    <row r="247" spans="1:4" x14ac:dyDescent="0.45">
      <c r="A247" s="1">
        <v>45538</v>
      </c>
      <c r="B247" s="2">
        <v>6</v>
      </c>
      <c r="C247" s="182"/>
      <c r="D247" s="180"/>
    </row>
    <row r="248" spans="1:4" x14ac:dyDescent="0.45">
      <c r="A248" s="1">
        <v>45539</v>
      </c>
      <c r="B248" s="2">
        <v>4</v>
      </c>
      <c r="C248" s="182"/>
      <c r="D248" s="180"/>
    </row>
    <row r="249" spans="1:4" x14ac:dyDescent="0.45">
      <c r="A249" s="1">
        <v>45540</v>
      </c>
      <c r="B249" s="2">
        <v>6</v>
      </c>
      <c r="C249" s="182"/>
      <c r="D249" s="180"/>
    </row>
    <row r="250" spans="1:4" x14ac:dyDescent="0.45">
      <c r="A250" s="1">
        <v>45541</v>
      </c>
      <c r="B250" s="2">
        <v>4</v>
      </c>
      <c r="C250" s="182"/>
      <c r="D250" s="180"/>
    </row>
    <row r="251" spans="1:4" x14ac:dyDescent="0.45">
      <c r="A251" s="1">
        <v>45542</v>
      </c>
      <c r="B251" s="2">
        <v>4</v>
      </c>
      <c r="C251" s="182"/>
      <c r="D251" s="180"/>
    </row>
    <row r="252" spans="1:4" x14ac:dyDescent="0.45">
      <c r="A252" s="1">
        <v>45543</v>
      </c>
      <c r="B252" s="2">
        <v>6</v>
      </c>
      <c r="C252" s="182"/>
      <c r="D252" s="180"/>
    </row>
    <row r="253" spans="1:4" x14ac:dyDescent="0.45">
      <c r="A253" s="1">
        <v>45544</v>
      </c>
      <c r="B253" s="2">
        <v>4</v>
      </c>
      <c r="C253" s="182"/>
      <c r="D253" s="180"/>
    </row>
    <row r="254" spans="1:4" x14ac:dyDescent="0.45">
      <c r="A254" s="1">
        <v>45545</v>
      </c>
      <c r="B254" s="2">
        <v>4</v>
      </c>
      <c r="C254" s="182"/>
      <c r="D254" s="180"/>
    </row>
    <row r="255" spans="1:4" x14ac:dyDescent="0.45">
      <c r="A255" s="1">
        <v>45546</v>
      </c>
      <c r="B255" s="2">
        <v>6</v>
      </c>
      <c r="C255" s="182"/>
      <c r="D255" s="180"/>
    </row>
    <row r="256" spans="1:4" x14ac:dyDescent="0.45">
      <c r="A256" s="1">
        <v>45547</v>
      </c>
      <c r="B256" s="2">
        <v>6</v>
      </c>
      <c r="C256" s="182"/>
      <c r="D256" s="180"/>
    </row>
    <row r="257" spans="1:4" x14ac:dyDescent="0.45">
      <c r="A257" s="1">
        <v>45548</v>
      </c>
      <c r="B257" s="2">
        <v>10</v>
      </c>
      <c r="C257" s="182"/>
      <c r="D257" s="180"/>
    </row>
    <row r="258" spans="1:4" x14ac:dyDescent="0.45">
      <c r="A258" s="1">
        <v>45549</v>
      </c>
      <c r="B258" s="2">
        <v>8</v>
      </c>
      <c r="C258" s="182"/>
      <c r="D258" s="180"/>
    </row>
    <row r="259" spans="1:4" x14ac:dyDescent="0.45">
      <c r="A259" s="1">
        <v>45550</v>
      </c>
      <c r="B259" s="2">
        <v>6</v>
      </c>
      <c r="C259" s="182"/>
      <c r="D259" s="180"/>
    </row>
    <row r="260" spans="1:4" x14ac:dyDescent="0.45">
      <c r="A260" s="1">
        <v>45551</v>
      </c>
      <c r="B260" s="2">
        <v>6</v>
      </c>
      <c r="C260" s="182"/>
      <c r="D260" s="180"/>
    </row>
    <row r="261" spans="1:4" x14ac:dyDescent="0.45">
      <c r="A261" s="1">
        <v>45552</v>
      </c>
      <c r="B261" s="2">
        <v>4</v>
      </c>
      <c r="C261" s="182"/>
      <c r="D261" s="180"/>
    </row>
    <row r="262" spans="1:4" x14ac:dyDescent="0.45">
      <c r="A262" s="1">
        <v>45553</v>
      </c>
      <c r="B262" s="2">
        <v>2</v>
      </c>
      <c r="C262" s="182"/>
      <c r="D262" s="180"/>
    </row>
    <row r="263" spans="1:4" x14ac:dyDescent="0.45">
      <c r="A263" s="1">
        <v>45554</v>
      </c>
      <c r="B263" s="2">
        <v>4</v>
      </c>
      <c r="C263" s="182"/>
      <c r="D263" s="180"/>
    </row>
    <row r="264" spans="1:4" x14ac:dyDescent="0.45">
      <c r="A264" s="1">
        <v>45555</v>
      </c>
      <c r="B264" s="2">
        <v>4</v>
      </c>
      <c r="C264" s="182"/>
      <c r="D264" s="180"/>
    </row>
    <row r="265" spans="1:4" x14ac:dyDescent="0.45">
      <c r="A265" s="1">
        <v>45556</v>
      </c>
      <c r="B265" s="2">
        <v>6</v>
      </c>
      <c r="C265" s="182"/>
      <c r="D265" s="180"/>
    </row>
    <row r="266" spans="1:4" x14ac:dyDescent="0.45">
      <c r="A266" s="1">
        <v>45557</v>
      </c>
      <c r="B266" s="2">
        <v>6</v>
      </c>
      <c r="C266" s="182"/>
      <c r="D266" s="180"/>
    </row>
    <row r="267" spans="1:4" x14ac:dyDescent="0.45">
      <c r="A267" s="1">
        <v>45558</v>
      </c>
      <c r="B267" s="2">
        <v>4</v>
      </c>
      <c r="C267" s="182"/>
      <c r="D267" s="180"/>
    </row>
    <row r="268" spans="1:4" x14ac:dyDescent="0.45">
      <c r="A268" s="1">
        <v>45559</v>
      </c>
      <c r="B268" s="2">
        <v>2</v>
      </c>
      <c r="C268" s="182"/>
      <c r="D268" s="180"/>
    </row>
    <row r="269" spans="1:4" x14ac:dyDescent="0.45">
      <c r="A269" s="1">
        <v>45560</v>
      </c>
      <c r="B269" s="2">
        <v>6</v>
      </c>
      <c r="C269" s="182"/>
      <c r="D269" s="180"/>
    </row>
    <row r="270" spans="1:4" x14ac:dyDescent="0.45">
      <c r="A270" s="1">
        <v>45561</v>
      </c>
      <c r="B270" s="2">
        <v>8</v>
      </c>
      <c r="C270" s="182"/>
      <c r="D270" s="180"/>
    </row>
    <row r="271" spans="1:4" x14ac:dyDescent="0.45">
      <c r="A271" s="1">
        <v>45562</v>
      </c>
      <c r="B271" s="2">
        <v>4</v>
      </c>
      <c r="C271" s="182"/>
      <c r="D271" s="180"/>
    </row>
    <row r="272" spans="1:4" x14ac:dyDescent="0.45">
      <c r="A272" s="1">
        <v>45563</v>
      </c>
      <c r="B272" s="2">
        <v>6</v>
      </c>
      <c r="C272" s="182"/>
      <c r="D272" s="180"/>
    </row>
    <row r="273" spans="1:4" x14ac:dyDescent="0.45">
      <c r="A273" s="1">
        <v>45564</v>
      </c>
      <c r="B273" s="2">
        <v>8</v>
      </c>
      <c r="C273" s="182"/>
      <c r="D273" s="180"/>
    </row>
    <row r="274" spans="1:4" x14ac:dyDescent="0.45">
      <c r="A274" s="1">
        <v>45565</v>
      </c>
      <c r="B274" s="2">
        <v>6</v>
      </c>
      <c r="C274" s="168"/>
      <c r="D274" s="180"/>
    </row>
    <row r="275" spans="1:4" x14ac:dyDescent="0.45">
      <c r="A275" s="1">
        <v>45566</v>
      </c>
      <c r="B275" s="2">
        <v>4</v>
      </c>
      <c r="C275" s="181">
        <f>AVERAGE(B275:B305)</f>
        <v>5.612903225806452</v>
      </c>
      <c r="D275" s="180"/>
    </row>
    <row r="276" spans="1:4" x14ac:dyDescent="0.45">
      <c r="A276" s="1">
        <v>45567</v>
      </c>
      <c r="B276" s="2">
        <v>6</v>
      </c>
      <c r="C276" s="182"/>
      <c r="D276" s="180"/>
    </row>
    <row r="277" spans="1:4" x14ac:dyDescent="0.45">
      <c r="A277" s="1">
        <v>45568</v>
      </c>
      <c r="B277" s="2">
        <v>6</v>
      </c>
      <c r="C277" s="182"/>
      <c r="D277" s="180"/>
    </row>
    <row r="278" spans="1:4" x14ac:dyDescent="0.45">
      <c r="A278" s="1">
        <v>45569</v>
      </c>
      <c r="B278" s="2">
        <v>6</v>
      </c>
      <c r="C278" s="182"/>
      <c r="D278" s="180"/>
    </row>
    <row r="279" spans="1:4" x14ac:dyDescent="0.45">
      <c r="A279" s="1">
        <v>45570</v>
      </c>
      <c r="B279" s="2">
        <v>2</v>
      </c>
      <c r="C279" s="182"/>
      <c r="D279" s="180"/>
    </row>
    <row r="280" spans="1:4" x14ac:dyDescent="0.45">
      <c r="A280" s="1">
        <v>45571</v>
      </c>
      <c r="B280" s="2">
        <v>4</v>
      </c>
      <c r="C280" s="182"/>
      <c r="D280" s="180"/>
    </row>
    <row r="281" spans="1:4" x14ac:dyDescent="0.45">
      <c r="A281" s="1">
        <v>45572</v>
      </c>
      <c r="B281" s="2">
        <v>0</v>
      </c>
      <c r="C281" s="182"/>
      <c r="D281" s="180"/>
    </row>
    <row r="282" spans="1:4" x14ac:dyDescent="0.45">
      <c r="A282" s="1">
        <v>45573</v>
      </c>
      <c r="B282" s="2">
        <v>2</v>
      </c>
      <c r="C282" s="182"/>
      <c r="D282" s="180"/>
    </row>
    <row r="283" spans="1:4" x14ac:dyDescent="0.45">
      <c r="A283" s="1">
        <v>45574</v>
      </c>
      <c r="B283" s="2">
        <v>6</v>
      </c>
      <c r="C283" s="182"/>
      <c r="D283" s="180"/>
    </row>
    <row r="284" spans="1:4" x14ac:dyDescent="0.45">
      <c r="A284" s="1">
        <v>45575</v>
      </c>
      <c r="B284" s="2">
        <v>6</v>
      </c>
      <c r="C284" s="182"/>
      <c r="D284" s="180"/>
    </row>
    <row r="285" spans="1:4" x14ac:dyDescent="0.45">
      <c r="A285" s="1">
        <v>45576</v>
      </c>
      <c r="B285" s="2">
        <v>8</v>
      </c>
      <c r="C285" s="182"/>
      <c r="D285" s="180"/>
    </row>
    <row r="286" spans="1:4" x14ac:dyDescent="0.45">
      <c r="A286" s="1">
        <v>45577</v>
      </c>
      <c r="B286" s="2">
        <v>8</v>
      </c>
      <c r="C286" s="182"/>
      <c r="D286" s="180"/>
    </row>
    <row r="287" spans="1:4" x14ac:dyDescent="0.45">
      <c r="A287" s="1">
        <v>45578</v>
      </c>
      <c r="B287" s="2">
        <v>6</v>
      </c>
      <c r="C287" s="182"/>
      <c r="D287" s="180"/>
    </row>
    <row r="288" spans="1:4" x14ac:dyDescent="0.45">
      <c r="A288" s="1">
        <v>45579</v>
      </c>
      <c r="B288" s="2">
        <v>6</v>
      </c>
      <c r="C288" s="182"/>
      <c r="D288" s="180"/>
    </row>
    <row r="289" spans="1:4" x14ac:dyDescent="0.45">
      <c r="A289" s="1">
        <v>45580</v>
      </c>
      <c r="B289" s="2">
        <v>6</v>
      </c>
      <c r="C289" s="182"/>
      <c r="D289" s="180"/>
    </row>
    <row r="290" spans="1:4" x14ac:dyDescent="0.45">
      <c r="A290" s="1">
        <v>45581</v>
      </c>
      <c r="B290" s="2">
        <v>4</v>
      </c>
      <c r="C290" s="182"/>
      <c r="D290" s="180"/>
    </row>
    <row r="291" spans="1:4" x14ac:dyDescent="0.45">
      <c r="A291" s="1">
        <v>45582</v>
      </c>
      <c r="B291" s="2">
        <v>6</v>
      </c>
      <c r="C291" s="182"/>
      <c r="D291" s="180"/>
    </row>
    <row r="292" spans="1:4" x14ac:dyDescent="0.45">
      <c r="A292" s="1">
        <v>45583</v>
      </c>
      <c r="B292" s="2">
        <v>8</v>
      </c>
      <c r="C292" s="182"/>
      <c r="D292" s="180"/>
    </row>
    <row r="293" spans="1:4" x14ac:dyDescent="0.45">
      <c r="A293" s="1">
        <v>45584</v>
      </c>
      <c r="B293" s="2">
        <v>6</v>
      </c>
      <c r="C293" s="182"/>
      <c r="D293" s="180"/>
    </row>
    <row r="294" spans="1:4" x14ac:dyDescent="0.45">
      <c r="A294" s="1">
        <v>45585</v>
      </c>
      <c r="B294" s="2">
        <v>6</v>
      </c>
      <c r="C294" s="182"/>
      <c r="D294" s="180"/>
    </row>
    <row r="295" spans="1:4" x14ac:dyDescent="0.45">
      <c r="A295" s="1">
        <v>45586</v>
      </c>
      <c r="B295" s="2">
        <v>6</v>
      </c>
      <c r="C295" s="182"/>
      <c r="D295" s="180"/>
    </row>
    <row r="296" spans="1:4" x14ac:dyDescent="0.45">
      <c r="A296" s="1">
        <v>45587</v>
      </c>
      <c r="B296" s="2">
        <v>6</v>
      </c>
      <c r="C296" s="182"/>
      <c r="D296" s="180"/>
    </row>
    <row r="297" spans="1:4" x14ac:dyDescent="0.45">
      <c r="A297" s="1">
        <v>45588</v>
      </c>
      <c r="B297" s="2">
        <v>4</v>
      </c>
      <c r="C297" s="182"/>
      <c r="D297" s="180"/>
    </row>
    <row r="298" spans="1:4" x14ac:dyDescent="0.45">
      <c r="A298" s="1">
        <v>45589</v>
      </c>
      <c r="B298" s="2">
        <v>4</v>
      </c>
      <c r="C298" s="182"/>
      <c r="D298" s="180"/>
    </row>
    <row r="299" spans="1:4" x14ac:dyDescent="0.45">
      <c r="A299" s="1">
        <v>45590</v>
      </c>
      <c r="B299" s="2">
        <v>6</v>
      </c>
      <c r="C299" s="182"/>
      <c r="D299" s="180"/>
    </row>
    <row r="300" spans="1:4" x14ac:dyDescent="0.45">
      <c r="A300" s="1">
        <v>45591</v>
      </c>
      <c r="B300" s="2">
        <v>6</v>
      </c>
      <c r="C300" s="182"/>
      <c r="D300" s="180"/>
    </row>
    <row r="301" spans="1:4" x14ac:dyDescent="0.45">
      <c r="A301" s="1">
        <v>45592</v>
      </c>
      <c r="B301" s="2">
        <v>4</v>
      </c>
      <c r="C301" s="182"/>
      <c r="D301" s="180"/>
    </row>
    <row r="302" spans="1:4" x14ac:dyDescent="0.45">
      <c r="A302" s="1">
        <v>45593</v>
      </c>
      <c r="B302" s="2">
        <v>6</v>
      </c>
      <c r="C302" s="182"/>
      <c r="D302" s="180"/>
    </row>
    <row r="303" spans="1:4" x14ac:dyDescent="0.45">
      <c r="A303" s="1">
        <v>45594</v>
      </c>
      <c r="B303" s="2">
        <v>8</v>
      </c>
      <c r="C303" s="182"/>
      <c r="D303" s="180"/>
    </row>
    <row r="304" spans="1:4" x14ac:dyDescent="0.45">
      <c r="A304" s="1">
        <v>45595</v>
      </c>
      <c r="B304" s="2">
        <v>8</v>
      </c>
      <c r="C304" s="182"/>
      <c r="D304" s="180"/>
    </row>
    <row r="305" spans="1:15" x14ac:dyDescent="0.45">
      <c r="A305" s="1">
        <v>45596</v>
      </c>
      <c r="B305" s="2">
        <v>10</v>
      </c>
      <c r="C305" s="168"/>
      <c r="D305" s="180"/>
    </row>
    <row r="306" spans="1:15" x14ac:dyDescent="0.45">
      <c r="A306" s="1">
        <v>45597</v>
      </c>
      <c r="B306" s="2">
        <v>6</v>
      </c>
      <c r="C306" s="181">
        <f>AVERAGE(B306:B335)</f>
        <v>5.5333333333333332</v>
      </c>
      <c r="D306" s="180"/>
    </row>
    <row r="307" spans="1:15" x14ac:dyDescent="0.45">
      <c r="A307" s="1">
        <v>45598</v>
      </c>
      <c r="B307" s="2">
        <v>2</v>
      </c>
      <c r="C307" s="182"/>
      <c r="D307" s="180"/>
    </row>
    <row r="308" spans="1:15" x14ac:dyDescent="0.45">
      <c r="A308" s="1">
        <v>45599</v>
      </c>
      <c r="B308" s="2">
        <v>0</v>
      </c>
      <c r="C308" s="182"/>
      <c r="D308" s="180"/>
    </row>
    <row r="309" spans="1:15" x14ac:dyDescent="0.45">
      <c r="A309" s="1">
        <v>45600</v>
      </c>
      <c r="B309" s="2">
        <v>4</v>
      </c>
      <c r="C309" s="182"/>
      <c r="D309" s="180"/>
    </row>
    <row r="310" spans="1:15" x14ac:dyDescent="0.45">
      <c r="A310" s="1">
        <v>45601</v>
      </c>
      <c r="B310" s="2">
        <v>6</v>
      </c>
      <c r="C310" s="182"/>
      <c r="D310" s="180"/>
    </row>
    <row r="311" spans="1:15" x14ac:dyDescent="0.45">
      <c r="A311" s="1">
        <v>45602</v>
      </c>
      <c r="B311" s="2">
        <v>6</v>
      </c>
      <c r="C311" s="182"/>
      <c r="D311" s="180"/>
    </row>
    <row r="312" spans="1:15" x14ac:dyDescent="0.45">
      <c r="A312" s="1">
        <v>45603</v>
      </c>
      <c r="B312" s="2">
        <v>6</v>
      </c>
      <c r="C312" s="182"/>
      <c r="D312" s="180"/>
    </row>
    <row r="313" spans="1:15" x14ac:dyDescent="0.45">
      <c r="A313" s="1">
        <v>45604</v>
      </c>
      <c r="B313" s="2">
        <v>8</v>
      </c>
      <c r="C313" s="182"/>
      <c r="D313" s="180"/>
    </row>
    <row r="314" spans="1:15" x14ac:dyDescent="0.45">
      <c r="A314" s="1">
        <v>45605</v>
      </c>
      <c r="B314" s="2">
        <v>6</v>
      </c>
      <c r="C314" s="182"/>
      <c r="D314" s="180"/>
    </row>
    <row r="315" spans="1:15" x14ac:dyDescent="0.45">
      <c r="A315" s="1">
        <v>45606</v>
      </c>
      <c r="B315" s="2">
        <v>8</v>
      </c>
      <c r="C315" s="182"/>
      <c r="D315" s="180"/>
    </row>
    <row r="316" spans="1:15" x14ac:dyDescent="0.45">
      <c r="A316" s="1">
        <v>45607</v>
      </c>
      <c r="B316" s="2">
        <v>8</v>
      </c>
      <c r="C316" s="182"/>
      <c r="D316" s="180"/>
      <c r="M316" s="3"/>
      <c r="O316" s="3"/>
    </row>
    <row r="317" spans="1:15" x14ac:dyDescent="0.45">
      <c r="A317" s="1">
        <v>45608</v>
      </c>
      <c r="B317" s="2">
        <v>2</v>
      </c>
      <c r="C317" s="182"/>
      <c r="D317" s="180"/>
      <c r="M317" s="3"/>
      <c r="O317" s="3"/>
    </row>
    <row r="318" spans="1:15" x14ac:dyDescent="0.45">
      <c r="A318" s="1">
        <v>45609</v>
      </c>
      <c r="B318" s="2">
        <v>6</v>
      </c>
      <c r="C318" s="182"/>
      <c r="D318" s="180"/>
      <c r="M318" s="3"/>
      <c r="O318" s="3"/>
    </row>
    <row r="319" spans="1:15" x14ac:dyDescent="0.45">
      <c r="A319" s="1">
        <v>45610</v>
      </c>
      <c r="B319" s="2">
        <v>8</v>
      </c>
      <c r="C319" s="182"/>
      <c r="D319" s="180"/>
    </row>
    <row r="320" spans="1:15" x14ac:dyDescent="0.45">
      <c r="A320" s="1">
        <v>45611</v>
      </c>
      <c r="B320" s="2">
        <v>8</v>
      </c>
      <c r="C320" s="182"/>
      <c r="D320" s="180"/>
    </row>
    <row r="321" spans="1:4" x14ac:dyDescent="0.45">
      <c r="A321" s="1">
        <v>45612</v>
      </c>
      <c r="B321" s="2">
        <v>6</v>
      </c>
      <c r="C321" s="182"/>
      <c r="D321" s="180"/>
    </row>
    <row r="322" spans="1:4" x14ac:dyDescent="0.45">
      <c r="A322" s="1">
        <v>45613</v>
      </c>
      <c r="B322" s="2">
        <v>6</v>
      </c>
      <c r="C322" s="182"/>
      <c r="D322" s="180"/>
    </row>
    <row r="323" spans="1:4" x14ac:dyDescent="0.45">
      <c r="A323" s="1">
        <v>45614</v>
      </c>
      <c r="B323" s="2">
        <v>4</v>
      </c>
      <c r="C323" s="182"/>
      <c r="D323" s="180"/>
    </row>
    <row r="324" spans="1:4" x14ac:dyDescent="0.45">
      <c r="A324" s="1">
        <v>45615</v>
      </c>
      <c r="B324" s="2">
        <v>8</v>
      </c>
      <c r="C324" s="182"/>
      <c r="D324" s="180"/>
    </row>
    <row r="325" spans="1:4" x14ac:dyDescent="0.45">
      <c r="A325" s="1">
        <v>45616</v>
      </c>
      <c r="B325" s="2">
        <v>6</v>
      </c>
      <c r="C325" s="182"/>
      <c r="D325" s="180"/>
    </row>
    <row r="326" spans="1:4" x14ac:dyDescent="0.45">
      <c r="A326" s="1">
        <v>45617</v>
      </c>
      <c r="B326" s="2">
        <v>4</v>
      </c>
      <c r="C326" s="182"/>
      <c r="D326" s="180"/>
    </row>
    <row r="327" spans="1:4" x14ac:dyDescent="0.45">
      <c r="A327" s="1">
        <v>45618</v>
      </c>
      <c r="B327" s="2">
        <v>4</v>
      </c>
      <c r="C327" s="182"/>
      <c r="D327" s="180"/>
    </row>
    <row r="328" spans="1:4" x14ac:dyDescent="0.45">
      <c r="A328" s="1">
        <v>45619</v>
      </c>
      <c r="B328" s="2">
        <v>6</v>
      </c>
      <c r="C328" s="182"/>
      <c r="D328" s="180"/>
    </row>
    <row r="329" spans="1:4" x14ac:dyDescent="0.45">
      <c r="A329" s="1">
        <v>45620</v>
      </c>
      <c r="B329" s="2">
        <v>8</v>
      </c>
      <c r="C329" s="182"/>
      <c r="D329" s="180"/>
    </row>
    <row r="330" spans="1:4" x14ac:dyDescent="0.45">
      <c r="A330" s="1">
        <v>45621</v>
      </c>
      <c r="B330" s="2">
        <v>4</v>
      </c>
      <c r="C330" s="182"/>
      <c r="D330" s="180"/>
    </row>
    <row r="331" spans="1:4" x14ac:dyDescent="0.45">
      <c r="A331" s="1">
        <v>45622</v>
      </c>
      <c r="B331" s="2">
        <v>6</v>
      </c>
      <c r="C331" s="182"/>
      <c r="D331" s="180"/>
    </row>
    <row r="332" spans="1:4" x14ac:dyDescent="0.45">
      <c r="A332" s="1">
        <v>45623</v>
      </c>
      <c r="B332" s="2">
        <v>6</v>
      </c>
      <c r="C332" s="182"/>
      <c r="D332" s="180"/>
    </row>
    <row r="333" spans="1:4" x14ac:dyDescent="0.45">
      <c r="A333" s="1">
        <v>45624</v>
      </c>
      <c r="B333" s="2">
        <v>2</v>
      </c>
      <c r="C333" s="182"/>
      <c r="D333" s="180"/>
    </row>
    <row r="334" spans="1:4" x14ac:dyDescent="0.45">
      <c r="A334" s="1">
        <v>45625</v>
      </c>
      <c r="B334" s="2">
        <v>6</v>
      </c>
      <c r="C334" s="182"/>
      <c r="D334" s="180"/>
    </row>
    <row r="335" spans="1:4" x14ac:dyDescent="0.45">
      <c r="A335" s="1">
        <v>45626</v>
      </c>
      <c r="B335" s="2">
        <v>6</v>
      </c>
      <c r="C335" s="168"/>
      <c r="D335" s="180"/>
    </row>
    <row r="336" spans="1:4" x14ac:dyDescent="0.45">
      <c r="A336" s="1">
        <v>45627</v>
      </c>
      <c r="B336" s="2">
        <v>6</v>
      </c>
      <c r="C336" s="181">
        <f>AVERAGE(B336:B366)</f>
        <v>4.709677419354839</v>
      </c>
      <c r="D336" s="180"/>
    </row>
    <row r="337" spans="1:4" x14ac:dyDescent="0.45">
      <c r="A337" s="1">
        <v>45628</v>
      </c>
      <c r="B337" s="2">
        <v>4</v>
      </c>
      <c r="C337" s="182"/>
      <c r="D337" s="180"/>
    </row>
    <row r="338" spans="1:4" x14ac:dyDescent="0.45">
      <c r="A338" s="1">
        <v>45629</v>
      </c>
      <c r="B338" s="2">
        <v>4</v>
      </c>
      <c r="C338" s="182"/>
      <c r="D338" s="180"/>
    </row>
    <row r="339" spans="1:4" x14ac:dyDescent="0.45">
      <c r="A339" s="1">
        <v>45630</v>
      </c>
      <c r="B339" s="2">
        <v>6</v>
      </c>
      <c r="C339" s="182"/>
      <c r="D339" s="180"/>
    </row>
    <row r="340" spans="1:4" x14ac:dyDescent="0.45">
      <c r="A340" s="1">
        <v>45631</v>
      </c>
      <c r="B340" s="2">
        <v>6</v>
      </c>
      <c r="C340" s="182"/>
      <c r="D340" s="180"/>
    </row>
    <row r="341" spans="1:4" x14ac:dyDescent="0.45">
      <c r="A341" s="1">
        <v>45632</v>
      </c>
      <c r="B341" s="2">
        <v>6</v>
      </c>
      <c r="C341" s="182"/>
      <c r="D341" s="180"/>
    </row>
    <row r="342" spans="1:4" x14ac:dyDescent="0.45">
      <c r="A342" s="1">
        <v>45633</v>
      </c>
      <c r="B342" s="2">
        <v>6</v>
      </c>
      <c r="C342" s="182"/>
      <c r="D342" s="180"/>
    </row>
    <row r="343" spans="1:4" x14ac:dyDescent="0.45">
      <c r="A343" s="1">
        <v>45634</v>
      </c>
      <c r="B343" s="2">
        <v>4</v>
      </c>
      <c r="C343" s="182"/>
      <c r="D343" s="180"/>
    </row>
    <row r="344" spans="1:4" x14ac:dyDescent="0.45">
      <c r="A344" s="1">
        <v>45635</v>
      </c>
      <c r="B344" s="2">
        <v>4</v>
      </c>
      <c r="C344" s="182"/>
      <c r="D344" s="180"/>
    </row>
    <row r="345" spans="1:4" x14ac:dyDescent="0.45">
      <c r="A345" s="1">
        <v>45636</v>
      </c>
      <c r="B345" s="2">
        <v>4</v>
      </c>
      <c r="C345" s="182"/>
      <c r="D345" s="180"/>
    </row>
    <row r="346" spans="1:4" x14ac:dyDescent="0.45">
      <c r="A346" s="1">
        <v>45637</v>
      </c>
      <c r="B346" s="2">
        <v>4</v>
      </c>
      <c r="C346" s="182"/>
      <c r="D346" s="180"/>
    </row>
    <row r="347" spans="1:4" x14ac:dyDescent="0.45">
      <c r="A347" s="1">
        <v>45638</v>
      </c>
      <c r="B347" s="2">
        <v>6</v>
      </c>
      <c r="C347" s="182"/>
      <c r="D347" s="180"/>
    </row>
    <row r="348" spans="1:4" x14ac:dyDescent="0.45">
      <c r="A348" s="1">
        <v>45639</v>
      </c>
      <c r="B348" s="2">
        <v>4</v>
      </c>
      <c r="C348" s="182"/>
      <c r="D348" s="180"/>
    </row>
    <row r="349" spans="1:4" x14ac:dyDescent="0.45">
      <c r="A349" s="1">
        <v>45640</v>
      </c>
      <c r="B349" s="2">
        <v>6</v>
      </c>
      <c r="C349" s="182"/>
      <c r="D349" s="180"/>
    </row>
    <row r="350" spans="1:4" x14ac:dyDescent="0.45">
      <c r="A350" s="1">
        <v>45641</v>
      </c>
      <c r="B350" s="2">
        <v>4</v>
      </c>
      <c r="C350" s="182"/>
      <c r="D350" s="180"/>
    </row>
    <row r="351" spans="1:4" x14ac:dyDescent="0.45">
      <c r="A351" s="1">
        <v>45642</v>
      </c>
      <c r="B351" s="2">
        <v>4</v>
      </c>
      <c r="C351" s="182"/>
      <c r="D351" s="180"/>
    </row>
    <row r="352" spans="1:4" x14ac:dyDescent="0.45">
      <c r="A352" s="1">
        <v>45643</v>
      </c>
      <c r="B352" s="2">
        <v>2</v>
      </c>
      <c r="C352" s="182"/>
      <c r="D352" s="180"/>
    </row>
    <row r="353" spans="1:4" x14ac:dyDescent="0.45">
      <c r="A353" s="1">
        <v>45644</v>
      </c>
      <c r="B353" s="2">
        <v>4</v>
      </c>
      <c r="C353" s="182"/>
      <c r="D353" s="180"/>
    </row>
    <row r="354" spans="1:4" x14ac:dyDescent="0.45">
      <c r="A354" s="1">
        <v>45645</v>
      </c>
      <c r="B354" s="2">
        <v>2</v>
      </c>
      <c r="C354" s="182"/>
      <c r="D354" s="180"/>
    </row>
    <row r="355" spans="1:4" x14ac:dyDescent="0.45">
      <c r="A355" s="1">
        <v>45646</v>
      </c>
      <c r="B355" s="2">
        <v>4</v>
      </c>
      <c r="C355" s="182"/>
      <c r="D355" s="180"/>
    </row>
    <row r="356" spans="1:4" x14ac:dyDescent="0.45">
      <c r="A356" s="1">
        <v>45647</v>
      </c>
      <c r="B356" s="2">
        <v>4</v>
      </c>
      <c r="C356" s="182"/>
      <c r="D356" s="180"/>
    </row>
    <row r="357" spans="1:4" x14ac:dyDescent="0.45">
      <c r="A357" s="1">
        <v>45648</v>
      </c>
      <c r="B357" s="2">
        <v>4</v>
      </c>
      <c r="C357" s="182"/>
      <c r="D357" s="180"/>
    </row>
    <row r="358" spans="1:4" x14ac:dyDescent="0.45">
      <c r="A358" s="1">
        <v>45649</v>
      </c>
      <c r="B358" s="2">
        <v>4</v>
      </c>
      <c r="C358" s="182"/>
      <c r="D358" s="180"/>
    </row>
    <row r="359" spans="1:4" x14ac:dyDescent="0.45">
      <c r="A359" s="1">
        <v>45650</v>
      </c>
      <c r="B359" s="2">
        <v>10</v>
      </c>
      <c r="C359" s="182"/>
      <c r="D359" s="180"/>
    </row>
    <row r="360" spans="1:4" x14ac:dyDescent="0.45">
      <c r="A360" s="1">
        <v>45651</v>
      </c>
      <c r="B360" s="2">
        <v>6</v>
      </c>
      <c r="C360" s="182"/>
      <c r="D360" s="180"/>
    </row>
    <row r="361" spans="1:4" x14ac:dyDescent="0.45">
      <c r="A361" s="1">
        <v>45652</v>
      </c>
      <c r="B361" s="2">
        <v>4</v>
      </c>
      <c r="C361" s="182"/>
      <c r="D361" s="180"/>
    </row>
    <row r="362" spans="1:4" x14ac:dyDescent="0.45">
      <c r="A362" s="1">
        <v>45653</v>
      </c>
      <c r="B362" s="2">
        <v>4</v>
      </c>
      <c r="C362" s="182"/>
      <c r="D362" s="180"/>
    </row>
    <row r="363" spans="1:4" x14ac:dyDescent="0.45">
      <c r="A363" s="1">
        <v>45654</v>
      </c>
      <c r="B363" s="2">
        <v>4</v>
      </c>
      <c r="C363" s="182"/>
      <c r="D363" s="180"/>
    </row>
    <row r="364" spans="1:4" x14ac:dyDescent="0.45">
      <c r="A364" s="1">
        <v>45655</v>
      </c>
      <c r="B364" s="2">
        <v>6</v>
      </c>
      <c r="C364" s="182"/>
      <c r="D364" s="180"/>
    </row>
    <row r="365" spans="1:4" x14ac:dyDescent="0.45">
      <c r="A365" s="1">
        <v>45656</v>
      </c>
      <c r="B365" s="2">
        <v>4</v>
      </c>
      <c r="C365" s="182"/>
      <c r="D365" s="180"/>
    </row>
    <row r="366" spans="1:4" x14ac:dyDescent="0.45">
      <c r="A366" s="1">
        <v>45657</v>
      </c>
      <c r="B366" s="2">
        <v>6</v>
      </c>
      <c r="C366" s="168"/>
      <c r="D366" s="180"/>
    </row>
    <row r="367" spans="1:4" x14ac:dyDescent="0.45">
      <c r="B367" s="5">
        <f>SUM(B1:B366)</f>
        <v>1902</v>
      </c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C13" sqref="C13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189" t="s">
        <v>52</v>
      </c>
      <c r="B1" s="189"/>
      <c r="C1" s="189"/>
      <c r="D1" s="189"/>
      <c r="E1" s="94"/>
      <c r="G1" s="188" t="s">
        <v>53</v>
      </c>
      <c r="H1" s="188"/>
      <c r="I1" s="188"/>
      <c r="J1" s="95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310</v>
      </c>
      <c r="G2" s="33" t="s">
        <v>26</v>
      </c>
      <c r="H2" s="33" t="s">
        <v>27</v>
      </c>
      <c r="I2" s="33" t="s">
        <v>30</v>
      </c>
      <c r="J2" s="33" t="s">
        <v>310</v>
      </c>
      <c r="L2" s="43" t="s">
        <v>30</v>
      </c>
      <c r="M2" s="43" t="s">
        <v>310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327</v>
      </c>
      <c r="G3" s="32" t="s">
        <v>214</v>
      </c>
      <c r="H3" s="32">
        <v>4.29</v>
      </c>
      <c r="I3" s="32" t="s">
        <v>42</v>
      </c>
      <c r="J3" s="32" t="s">
        <v>333</v>
      </c>
      <c r="L3" s="43">
        <v>0</v>
      </c>
      <c r="M3" s="43" t="s">
        <v>311</v>
      </c>
      <c r="N3" s="31" t="s">
        <v>319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328</v>
      </c>
      <c r="G4" s="32" t="s">
        <v>181</v>
      </c>
      <c r="H4" s="32">
        <v>4.2</v>
      </c>
      <c r="I4" s="32" t="s">
        <v>42</v>
      </c>
      <c r="J4" s="32" t="s">
        <v>332</v>
      </c>
      <c r="L4" s="43">
        <v>1</v>
      </c>
      <c r="M4" s="43" t="s">
        <v>312</v>
      </c>
      <c r="N4" s="31" t="s">
        <v>320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334</v>
      </c>
      <c r="L5" s="43">
        <v>2</v>
      </c>
      <c r="M5" s="43" t="s">
        <v>313</v>
      </c>
      <c r="N5" s="31" t="s">
        <v>321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314</v>
      </c>
      <c r="N6" s="31" t="s">
        <v>322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328</v>
      </c>
      <c r="G7" s="32" t="s">
        <v>47</v>
      </c>
      <c r="H7" s="32">
        <v>4.0999999999999996</v>
      </c>
      <c r="I7" s="32" t="s">
        <v>42</v>
      </c>
      <c r="J7" s="32" t="s">
        <v>333</v>
      </c>
      <c r="L7" s="43">
        <v>4</v>
      </c>
      <c r="M7" s="43" t="s">
        <v>315</v>
      </c>
      <c r="N7" s="31" t="s">
        <v>323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337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316</v>
      </c>
      <c r="N8" s="31" t="s">
        <v>324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330</v>
      </c>
      <c r="G9" s="32" t="s">
        <v>212</v>
      </c>
      <c r="H9" s="32">
        <v>3.9</v>
      </c>
      <c r="I9" s="32" t="s">
        <v>42</v>
      </c>
      <c r="J9" s="32" t="s">
        <v>333</v>
      </c>
      <c r="L9" s="43">
        <v>6</v>
      </c>
      <c r="M9" s="43" t="s">
        <v>317</v>
      </c>
      <c r="N9" s="31" t="s">
        <v>325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337</v>
      </c>
      <c r="G10" s="32" t="s">
        <v>45</v>
      </c>
      <c r="H10" s="32">
        <v>4</v>
      </c>
      <c r="I10" s="32" t="s">
        <v>42</v>
      </c>
      <c r="J10" s="32" t="s">
        <v>333</v>
      </c>
      <c r="L10" s="43">
        <v>7</v>
      </c>
      <c r="M10" s="43" t="s">
        <v>318</v>
      </c>
      <c r="N10" s="31" t="s">
        <v>326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329</v>
      </c>
      <c r="G11" s="32" t="s">
        <v>409</v>
      </c>
      <c r="H11" s="32">
        <v>4</v>
      </c>
      <c r="I11" s="32" t="s">
        <v>42</v>
      </c>
      <c r="J11" s="31" t="s">
        <v>333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338</v>
      </c>
      <c r="G12" s="32" t="s">
        <v>410</v>
      </c>
      <c r="H12" s="32">
        <v>4</v>
      </c>
      <c r="I12" s="32" t="s">
        <v>42</v>
      </c>
      <c r="J12" s="32" t="s">
        <v>333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331</v>
      </c>
      <c r="G13" s="32" t="s">
        <v>411</v>
      </c>
      <c r="H13" s="32">
        <v>4</v>
      </c>
      <c r="I13" s="32" t="s">
        <v>42</v>
      </c>
      <c r="J13" s="32" t="s">
        <v>333</v>
      </c>
    </row>
    <row r="14" spans="1:14" x14ac:dyDescent="0.5">
      <c r="G14" s="32" t="s">
        <v>33</v>
      </c>
      <c r="H14" s="32">
        <v>3.5</v>
      </c>
      <c r="I14" s="32" t="s">
        <v>41</v>
      </c>
      <c r="J14" s="32" t="s">
        <v>336</v>
      </c>
      <c r="M14" s="37" t="s">
        <v>30</v>
      </c>
      <c r="N14" s="37" t="s">
        <v>339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335</v>
      </c>
    </row>
    <row r="19" spans="7:11" ht="28.7" x14ac:dyDescent="0.5">
      <c r="J19" t="s">
        <v>340</v>
      </c>
      <c r="K19" s="96" t="s">
        <v>341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15:C17 C21:C1048576 N19 C2:C13 H1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38"/>
  <sheetViews>
    <sheetView topLeftCell="A11" zoomScale="71" zoomScaleNormal="90" workbookViewId="0">
      <selection activeCell="K20" sqref="K20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190" t="s">
        <v>55</v>
      </c>
      <c r="B1" s="190"/>
      <c r="C1" s="190"/>
      <c r="D1" s="190"/>
      <c r="E1" s="192" t="s">
        <v>56</v>
      </c>
      <c r="F1" s="192"/>
      <c r="G1" s="192"/>
      <c r="H1" s="192"/>
      <c r="I1" s="67"/>
      <c r="J1" s="64" t="s">
        <v>26</v>
      </c>
      <c r="K1" s="65" t="s">
        <v>183</v>
      </c>
    </row>
    <row r="2" spans="1:13" x14ac:dyDescent="0.5">
      <c r="A2" s="34" t="s">
        <v>26</v>
      </c>
      <c r="B2" s="191" t="s">
        <v>27</v>
      </c>
      <c r="C2" s="191"/>
      <c r="D2" s="68" t="s">
        <v>187</v>
      </c>
      <c r="E2" s="35" t="s">
        <v>57</v>
      </c>
      <c r="F2" s="191" t="s">
        <v>27</v>
      </c>
      <c r="G2" s="191"/>
      <c r="H2" s="78" t="s">
        <v>187</v>
      </c>
      <c r="J2" s="31" t="s">
        <v>184</v>
      </c>
      <c r="K2" s="31" t="s">
        <v>299</v>
      </c>
    </row>
    <row r="3" spans="1:13" x14ac:dyDescent="0.5">
      <c r="A3" s="31" t="s">
        <v>191</v>
      </c>
      <c r="B3" s="31">
        <v>7</v>
      </c>
      <c r="C3" s="31"/>
      <c r="D3" s="66">
        <v>45683</v>
      </c>
      <c r="E3" s="31" t="s">
        <v>182</v>
      </c>
      <c r="F3" s="31">
        <v>6.7</v>
      </c>
      <c r="G3" s="31"/>
      <c r="H3" s="66">
        <v>45680</v>
      </c>
      <c r="J3" s="31" t="s">
        <v>186</v>
      </c>
      <c r="K3" s="31" t="s">
        <v>205</v>
      </c>
    </row>
    <row r="4" spans="1:13" x14ac:dyDescent="0.5">
      <c r="A4" s="79" t="s">
        <v>211</v>
      </c>
      <c r="B4" s="31">
        <v>7</v>
      </c>
      <c r="C4" s="31"/>
      <c r="D4" s="66">
        <v>45708</v>
      </c>
      <c r="E4" s="31" t="s">
        <v>188</v>
      </c>
      <c r="F4" s="31">
        <v>7.9</v>
      </c>
      <c r="G4" s="31"/>
      <c r="H4" s="66">
        <v>45682</v>
      </c>
      <c r="J4" s="31" t="s">
        <v>283</v>
      </c>
      <c r="K4" s="31" t="s">
        <v>284</v>
      </c>
    </row>
    <row r="5" spans="1:13" x14ac:dyDescent="0.5">
      <c r="A5" s="31" t="s">
        <v>280</v>
      </c>
      <c r="B5" s="31">
        <v>7.4</v>
      </c>
      <c r="C5" s="31"/>
      <c r="D5" s="66">
        <v>45780</v>
      </c>
      <c r="E5" s="31" t="s">
        <v>190</v>
      </c>
      <c r="F5" s="31">
        <v>6.9</v>
      </c>
      <c r="G5" s="31"/>
      <c r="H5" s="66">
        <v>45682</v>
      </c>
      <c r="J5" s="31" t="s">
        <v>296</v>
      </c>
      <c r="K5" s="31" t="s">
        <v>297</v>
      </c>
    </row>
    <row r="6" spans="1:13" x14ac:dyDescent="0.5">
      <c r="A6" s="31" t="s">
        <v>298</v>
      </c>
      <c r="B6" s="31">
        <v>8.5</v>
      </c>
      <c r="C6" s="31"/>
      <c r="D6" s="66">
        <v>45840</v>
      </c>
      <c r="E6" s="31" t="s">
        <v>192</v>
      </c>
      <c r="F6" s="31">
        <v>7.3</v>
      </c>
      <c r="G6" s="31"/>
      <c r="H6" s="66">
        <v>45688</v>
      </c>
      <c r="J6" s="31" t="s">
        <v>247</v>
      </c>
      <c r="K6" s="43">
        <v>4</v>
      </c>
    </row>
    <row r="7" spans="1:13" x14ac:dyDescent="0.5">
      <c r="A7" s="31" t="s">
        <v>300</v>
      </c>
      <c r="B7" s="31">
        <v>8.4</v>
      </c>
      <c r="C7" s="31"/>
      <c r="D7" s="66">
        <v>45842</v>
      </c>
      <c r="E7" s="79" t="s">
        <v>202</v>
      </c>
      <c r="F7" s="31">
        <v>8.4</v>
      </c>
      <c r="G7" s="31"/>
      <c r="H7" s="66">
        <v>45696</v>
      </c>
      <c r="J7" s="31" t="s">
        <v>250</v>
      </c>
      <c r="K7" s="31" t="s">
        <v>185</v>
      </c>
    </row>
    <row r="8" spans="1:13" x14ac:dyDescent="0.5">
      <c r="A8" s="31" t="s">
        <v>304</v>
      </c>
      <c r="B8" s="31">
        <v>7.6</v>
      </c>
      <c r="C8" s="31"/>
      <c r="D8" s="66">
        <v>45854</v>
      </c>
      <c r="E8" s="31" t="s">
        <v>203</v>
      </c>
      <c r="F8" s="31">
        <v>6.9</v>
      </c>
      <c r="G8" s="31"/>
      <c r="H8" s="66">
        <v>45698</v>
      </c>
      <c r="J8" s="31" t="s">
        <v>400</v>
      </c>
      <c r="K8" s="31" t="s">
        <v>412</v>
      </c>
    </row>
    <row r="9" spans="1:13" x14ac:dyDescent="0.5">
      <c r="A9" s="31" t="s">
        <v>305</v>
      </c>
      <c r="B9" s="31">
        <v>7.7</v>
      </c>
      <c r="C9" s="31"/>
      <c r="D9" s="66">
        <v>45855</v>
      </c>
      <c r="E9" s="31" t="s">
        <v>204</v>
      </c>
      <c r="F9" s="31">
        <v>6.8</v>
      </c>
      <c r="G9" s="31"/>
      <c r="H9" s="66">
        <v>45699</v>
      </c>
      <c r="J9" s="152" t="s">
        <v>406</v>
      </c>
      <c r="K9" s="152" t="s">
        <v>185</v>
      </c>
    </row>
    <row r="10" spans="1:13" x14ac:dyDescent="0.5">
      <c r="A10" s="31" t="s">
        <v>307</v>
      </c>
      <c r="B10" s="31">
        <v>7.9</v>
      </c>
      <c r="C10" s="31"/>
      <c r="D10" s="66">
        <v>45858</v>
      </c>
      <c r="E10" s="31" t="s">
        <v>210</v>
      </c>
      <c r="F10" s="31">
        <v>7</v>
      </c>
      <c r="G10" s="31"/>
      <c r="H10" s="66">
        <v>45707</v>
      </c>
    </row>
    <row r="11" spans="1:13" x14ac:dyDescent="0.5">
      <c r="A11" s="31" t="s">
        <v>308</v>
      </c>
      <c r="B11" s="31">
        <v>7.5</v>
      </c>
      <c r="C11" s="31"/>
      <c r="D11" s="66">
        <v>45858</v>
      </c>
      <c r="E11" s="31" t="s">
        <v>213</v>
      </c>
      <c r="F11" s="31">
        <v>7.5</v>
      </c>
      <c r="G11" s="31"/>
      <c r="H11" s="66">
        <v>45711</v>
      </c>
    </row>
    <row r="12" spans="1:13" x14ac:dyDescent="0.5">
      <c r="A12" s="31" t="s">
        <v>342</v>
      </c>
      <c r="B12" s="31">
        <v>7.9</v>
      </c>
      <c r="C12" s="31"/>
      <c r="D12" s="66">
        <v>45860</v>
      </c>
      <c r="E12" s="31" t="s">
        <v>218</v>
      </c>
      <c r="F12" s="31">
        <v>7.6</v>
      </c>
      <c r="G12" s="31"/>
      <c r="H12" s="66">
        <v>45713</v>
      </c>
    </row>
    <row r="13" spans="1:13" x14ac:dyDescent="0.5">
      <c r="A13" s="31" t="s">
        <v>343</v>
      </c>
      <c r="B13" s="31">
        <v>6</v>
      </c>
      <c r="C13" s="31"/>
      <c r="D13" s="66">
        <v>45862</v>
      </c>
      <c r="E13" s="31" t="s">
        <v>215</v>
      </c>
      <c r="F13" s="31">
        <v>7</v>
      </c>
      <c r="G13" s="31"/>
      <c r="H13" s="66">
        <v>45717</v>
      </c>
      <c r="M13" t="s">
        <v>392</v>
      </c>
    </row>
    <row r="14" spans="1:13" x14ac:dyDescent="0.5">
      <c r="A14" s="31" t="s">
        <v>344</v>
      </c>
      <c r="B14" s="31">
        <v>7.6</v>
      </c>
      <c r="C14" s="31"/>
      <c r="D14" s="66">
        <v>45863</v>
      </c>
      <c r="E14" s="31" t="s">
        <v>217</v>
      </c>
      <c r="F14" s="31">
        <v>6.5</v>
      </c>
      <c r="G14" s="31"/>
      <c r="H14" s="66">
        <v>45734</v>
      </c>
      <c r="M14" t="s">
        <v>393</v>
      </c>
    </row>
    <row r="15" spans="1:13" x14ac:dyDescent="0.5">
      <c r="A15" s="79" t="s">
        <v>356</v>
      </c>
      <c r="B15" s="31">
        <v>7.6</v>
      </c>
      <c r="C15" s="31"/>
      <c r="D15" s="66">
        <v>45886</v>
      </c>
      <c r="E15" s="31" t="s">
        <v>264</v>
      </c>
      <c r="F15" s="31">
        <v>6</v>
      </c>
      <c r="G15" s="31"/>
      <c r="H15" s="66">
        <v>45750</v>
      </c>
      <c r="M15" t="s">
        <v>394</v>
      </c>
    </row>
    <row r="16" spans="1:13" x14ac:dyDescent="0.5">
      <c r="A16" s="79" t="s">
        <v>359</v>
      </c>
      <c r="B16" s="31">
        <v>6</v>
      </c>
      <c r="C16" s="31"/>
      <c r="D16" s="66">
        <v>45906</v>
      </c>
      <c r="E16" s="31" t="s">
        <v>266</v>
      </c>
      <c r="F16" s="31">
        <v>7.2</v>
      </c>
      <c r="G16" s="31" t="s">
        <v>61</v>
      </c>
      <c r="H16" s="66">
        <v>45758</v>
      </c>
      <c r="M16" t="s">
        <v>395</v>
      </c>
    </row>
    <row r="17" spans="1:13" x14ac:dyDescent="0.5">
      <c r="A17" s="79" t="s">
        <v>368</v>
      </c>
      <c r="B17" s="31">
        <v>8.3000000000000007</v>
      </c>
      <c r="C17" s="31"/>
      <c r="D17" s="66">
        <v>45921</v>
      </c>
      <c r="E17" s="31" t="s">
        <v>279</v>
      </c>
      <c r="F17" s="31">
        <v>8</v>
      </c>
      <c r="G17" s="31" t="s">
        <v>61</v>
      </c>
      <c r="H17" s="66">
        <v>45776</v>
      </c>
      <c r="M17" t="s">
        <v>396</v>
      </c>
    </row>
    <row r="18" spans="1:13" x14ac:dyDescent="0.5">
      <c r="A18" s="31" t="s">
        <v>390</v>
      </c>
      <c r="B18" s="31">
        <v>8.5</v>
      </c>
      <c r="C18" s="31"/>
      <c r="D18" s="66">
        <v>45934</v>
      </c>
      <c r="E18" s="31" t="s">
        <v>153</v>
      </c>
      <c r="F18" s="31">
        <v>8</v>
      </c>
      <c r="G18" s="31"/>
      <c r="H18" s="66">
        <v>45785</v>
      </c>
      <c r="M18" t="s">
        <v>397</v>
      </c>
    </row>
    <row r="19" spans="1:13" x14ac:dyDescent="0.5">
      <c r="A19" s="79" t="s">
        <v>391</v>
      </c>
      <c r="B19" s="31">
        <v>9.6</v>
      </c>
      <c r="C19" s="31"/>
      <c r="D19" s="66">
        <v>45934</v>
      </c>
      <c r="E19" s="31" t="s">
        <v>281</v>
      </c>
      <c r="F19" s="31">
        <v>8</v>
      </c>
      <c r="G19" s="31" t="s">
        <v>61</v>
      </c>
      <c r="H19" s="66">
        <v>45787</v>
      </c>
      <c r="M19" t="s">
        <v>398</v>
      </c>
    </row>
    <row r="20" spans="1:13" x14ac:dyDescent="0.5">
      <c r="A20" s="31"/>
      <c r="B20" s="31"/>
      <c r="C20" s="31"/>
      <c r="D20" s="31"/>
      <c r="E20" s="31" t="s">
        <v>286</v>
      </c>
      <c r="F20" s="31">
        <v>6.8</v>
      </c>
      <c r="G20" s="31"/>
      <c r="H20" s="66">
        <v>45803</v>
      </c>
      <c r="M20" t="s">
        <v>413</v>
      </c>
    </row>
    <row r="21" spans="1:13" x14ac:dyDescent="0.5">
      <c r="A21" s="31"/>
      <c r="B21" s="31"/>
      <c r="C21" s="31"/>
      <c r="D21" s="31"/>
      <c r="E21" s="31" t="s">
        <v>287</v>
      </c>
      <c r="F21" s="31">
        <v>7.8</v>
      </c>
      <c r="G21" s="31"/>
      <c r="H21" s="66">
        <v>45804</v>
      </c>
    </row>
    <row r="22" spans="1:13" x14ac:dyDescent="0.5">
      <c r="E22" s="31" t="s">
        <v>289</v>
      </c>
      <c r="F22" s="31">
        <v>7.8</v>
      </c>
      <c r="G22" s="31"/>
      <c r="H22" s="66">
        <v>45811</v>
      </c>
    </row>
    <row r="23" spans="1:13" x14ac:dyDescent="0.5">
      <c r="E23" s="31" t="s">
        <v>290</v>
      </c>
      <c r="F23" s="31">
        <v>8.5</v>
      </c>
      <c r="G23" s="31" t="s">
        <v>61</v>
      </c>
      <c r="H23" s="66">
        <v>45813</v>
      </c>
    </row>
    <row r="24" spans="1:13" x14ac:dyDescent="0.5">
      <c r="E24" s="31" t="s">
        <v>295</v>
      </c>
      <c r="F24" s="31">
        <v>6.8</v>
      </c>
      <c r="G24" s="31"/>
      <c r="H24" s="66">
        <v>45818</v>
      </c>
    </row>
    <row r="25" spans="1:13" x14ac:dyDescent="0.5">
      <c r="E25" s="31" t="s">
        <v>303</v>
      </c>
      <c r="F25" s="31">
        <v>8.4</v>
      </c>
      <c r="G25" s="31" t="s">
        <v>61</v>
      </c>
      <c r="H25" s="66">
        <v>45823</v>
      </c>
    </row>
    <row r="26" spans="1:13" x14ac:dyDescent="0.5">
      <c r="E26" s="31" t="s">
        <v>309</v>
      </c>
      <c r="F26" s="31">
        <v>8</v>
      </c>
      <c r="G26" s="31"/>
      <c r="H26" s="66">
        <v>45856</v>
      </c>
    </row>
    <row r="27" spans="1:13" x14ac:dyDescent="0.5">
      <c r="E27" s="31" t="s">
        <v>347</v>
      </c>
      <c r="F27" s="31">
        <v>7.2</v>
      </c>
      <c r="G27" s="31"/>
      <c r="H27" s="66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6">
        <v>45872</v>
      </c>
    </row>
    <row r="29" spans="1:13" x14ac:dyDescent="0.5">
      <c r="E29" s="31" t="s">
        <v>65</v>
      </c>
      <c r="F29" s="31">
        <v>9</v>
      </c>
      <c r="G29" s="31"/>
      <c r="H29" s="66">
        <v>45872</v>
      </c>
    </row>
    <row r="30" spans="1:13" x14ac:dyDescent="0.5">
      <c r="E30" s="31" t="s">
        <v>353</v>
      </c>
      <c r="F30" s="31">
        <v>7</v>
      </c>
      <c r="G30" s="31"/>
      <c r="H30" s="66">
        <v>45879</v>
      </c>
    </row>
    <row r="31" spans="1:13" x14ac:dyDescent="0.5">
      <c r="E31" s="31" t="s">
        <v>388</v>
      </c>
      <c r="F31" s="31">
        <v>7.2</v>
      </c>
      <c r="G31" s="31"/>
      <c r="H31" s="66">
        <v>45886</v>
      </c>
    </row>
    <row r="32" spans="1:13" x14ac:dyDescent="0.5">
      <c r="E32" s="31" t="s">
        <v>357</v>
      </c>
      <c r="F32" s="31">
        <v>8</v>
      </c>
      <c r="G32" s="31"/>
      <c r="H32" s="66">
        <v>45891</v>
      </c>
    </row>
    <row r="33" spans="5:8" x14ac:dyDescent="0.5">
      <c r="E33" s="31" t="s">
        <v>366</v>
      </c>
      <c r="F33" s="31">
        <v>8</v>
      </c>
      <c r="G33" s="31"/>
      <c r="H33" s="66">
        <v>45912</v>
      </c>
    </row>
    <row r="34" spans="5:8" x14ac:dyDescent="0.5">
      <c r="E34" s="31" t="s">
        <v>365</v>
      </c>
      <c r="F34" s="31">
        <v>7.4</v>
      </c>
      <c r="G34" s="31"/>
      <c r="H34" s="66">
        <v>45915</v>
      </c>
    </row>
    <row r="35" spans="5:8" x14ac:dyDescent="0.5">
      <c r="E35" s="31" t="s">
        <v>367</v>
      </c>
      <c r="F35" s="31">
        <v>8.1999999999999993</v>
      </c>
      <c r="G35" s="31"/>
      <c r="H35" s="66">
        <v>45918</v>
      </c>
    </row>
    <row r="36" spans="5:8" x14ac:dyDescent="0.5">
      <c r="E36" s="31" t="s">
        <v>380</v>
      </c>
      <c r="F36" s="31">
        <v>8.3000000000000007</v>
      </c>
      <c r="G36" s="31"/>
      <c r="H36" s="66">
        <v>45921</v>
      </c>
    </row>
    <row r="37" spans="5:8" x14ac:dyDescent="0.5">
      <c r="E37" s="31" t="s">
        <v>383</v>
      </c>
      <c r="F37" s="31">
        <v>8.1999999999999993</v>
      </c>
      <c r="G37" s="31"/>
      <c r="H37" s="66">
        <v>45923</v>
      </c>
    </row>
    <row r="38" spans="5:8" x14ac:dyDescent="0.5">
      <c r="E38" s="31" t="s">
        <v>387</v>
      </c>
      <c r="F38" s="31">
        <v>8.5</v>
      </c>
      <c r="G38" s="31"/>
      <c r="H38" s="66">
        <v>45927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I19" sqref="I19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190" t="s">
        <v>55</v>
      </c>
      <c r="B1" s="190"/>
      <c r="C1" s="190"/>
      <c r="D1" s="192" t="s">
        <v>56</v>
      </c>
      <c r="E1" s="192"/>
      <c r="F1" s="192"/>
    </row>
    <row r="2" spans="1:6" x14ac:dyDescent="0.5">
      <c r="A2" s="34" t="s">
        <v>26</v>
      </c>
      <c r="B2" s="191" t="s">
        <v>27</v>
      </c>
      <c r="C2" s="191"/>
      <c r="D2" s="35" t="s">
        <v>57</v>
      </c>
      <c r="E2" s="191" t="s">
        <v>27</v>
      </c>
      <c r="F2" s="191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5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5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5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5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201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O32"/>
  <sheetViews>
    <sheetView zoomScale="101" workbookViewId="0">
      <selection activeCell="M4" sqref="M4"/>
    </sheetView>
  </sheetViews>
  <sheetFormatPr defaultRowHeight="14.35" x14ac:dyDescent="0.5"/>
  <cols>
    <col min="1" max="1" width="6.52734375" style="102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100" bestFit="1" customWidth="1"/>
    <col min="6" max="6" width="13.76171875" bestFit="1" customWidth="1"/>
    <col min="7" max="7" width="7.52734375" style="102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7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195" t="s">
        <v>107</v>
      </c>
      <c r="C1" s="195"/>
      <c r="D1" s="195"/>
      <c r="E1" s="195"/>
      <c r="F1" s="195"/>
      <c r="G1" s="195"/>
      <c r="H1" s="43"/>
      <c r="I1" s="43"/>
      <c r="J1" s="41"/>
      <c r="K1" s="41"/>
      <c r="L1" s="41"/>
    </row>
    <row r="2" spans="1:15" x14ac:dyDescent="0.5">
      <c r="A2" s="43" t="s">
        <v>374</v>
      </c>
      <c r="B2" s="40" t="s">
        <v>108</v>
      </c>
      <c r="C2" s="42" t="s">
        <v>109</v>
      </c>
      <c r="D2" s="42" t="s">
        <v>110</v>
      </c>
      <c r="E2" s="98" t="s">
        <v>122</v>
      </c>
      <c r="F2" s="40" t="s">
        <v>111</v>
      </c>
      <c r="G2" s="40" t="s">
        <v>112</v>
      </c>
      <c r="H2" s="40" t="s">
        <v>113</v>
      </c>
      <c r="I2" s="40" t="s">
        <v>349</v>
      </c>
      <c r="J2" s="40" t="s">
        <v>350</v>
      </c>
      <c r="K2" s="40" t="s">
        <v>138</v>
      </c>
      <c r="L2" s="40" t="s">
        <v>351</v>
      </c>
    </row>
    <row r="3" spans="1:15" x14ac:dyDescent="0.5">
      <c r="A3" s="41">
        <v>1</v>
      </c>
      <c r="B3" s="44">
        <v>44868</v>
      </c>
      <c r="C3" s="41" t="s">
        <v>114</v>
      </c>
      <c r="D3" s="41" t="s">
        <v>115</v>
      </c>
      <c r="E3" s="99" t="s">
        <v>123</v>
      </c>
      <c r="F3" s="45" t="s">
        <v>116</v>
      </c>
      <c r="G3" s="41">
        <v>9000</v>
      </c>
      <c r="H3" s="199">
        <f>AVERAGE(G3:G21)</f>
        <v>8208.6666666666661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44">
        <v>44998</v>
      </c>
      <c r="C4" s="41" t="s">
        <v>115</v>
      </c>
      <c r="D4" s="41" t="s">
        <v>114</v>
      </c>
      <c r="E4" s="99" t="s">
        <v>124</v>
      </c>
      <c r="F4" s="46" t="s">
        <v>117</v>
      </c>
      <c r="G4" s="41">
        <v>6807</v>
      </c>
      <c r="H4" s="200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44">
        <v>45024</v>
      </c>
      <c r="C5" s="41" t="s">
        <v>114</v>
      </c>
      <c r="D5" s="41" t="s">
        <v>115</v>
      </c>
      <c r="E5" s="99" t="s">
        <v>123</v>
      </c>
      <c r="F5" s="46" t="s">
        <v>117</v>
      </c>
      <c r="G5" s="41">
        <v>6807</v>
      </c>
      <c r="H5" s="200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44">
        <v>45127</v>
      </c>
      <c r="C6" s="41" t="s">
        <v>115</v>
      </c>
      <c r="D6" s="41" t="s">
        <v>114</v>
      </c>
      <c r="E6" s="99" t="s">
        <v>124</v>
      </c>
      <c r="F6" s="46" t="s">
        <v>117</v>
      </c>
      <c r="G6" s="41">
        <v>6946</v>
      </c>
      <c r="H6" s="200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44">
        <v>45145</v>
      </c>
      <c r="C7" s="41" t="s">
        <v>114</v>
      </c>
      <c r="D7" s="41" t="s">
        <v>115</v>
      </c>
      <c r="E7" s="99" t="s">
        <v>123</v>
      </c>
      <c r="F7" s="46" t="s">
        <v>117</v>
      </c>
      <c r="G7" s="41">
        <v>6946</v>
      </c>
      <c r="H7" s="200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381</v>
      </c>
      <c r="O7" s="40" t="s">
        <v>382</v>
      </c>
    </row>
    <row r="8" spans="1:15" x14ac:dyDescent="0.5">
      <c r="A8" s="41">
        <v>6</v>
      </c>
      <c r="B8" s="44">
        <v>45261</v>
      </c>
      <c r="C8" s="41" t="s">
        <v>115</v>
      </c>
      <c r="D8" s="41" t="s">
        <v>114</v>
      </c>
      <c r="E8" s="99" t="s">
        <v>124</v>
      </c>
      <c r="F8" s="101" t="s">
        <v>118</v>
      </c>
      <c r="G8" s="41">
        <v>7564</v>
      </c>
      <c r="H8" s="200"/>
      <c r="I8" s="43">
        <v>2275</v>
      </c>
      <c r="J8" s="41" t="s">
        <v>141</v>
      </c>
      <c r="K8" s="41" t="s">
        <v>140</v>
      </c>
      <c r="L8" s="47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44">
        <v>45298</v>
      </c>
      <c r="C9" s="41" t="s">
        <v>114</v>
      </c>
      <c r="D9" s="41" t="s">
        <v>115</v>
      </c>
      <c r="E9" s="99" t="s">
        <v>123</v>
      </c>
      <c r="F9" s="48" t="s">
        <v>119</v>
      </c>
      <c r="G9" s="41">
        <v>6355</v>
      </c>
      <c r="H9" s="200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COUNTIF(F4:F22,N9)</f>
        <v>7</v>
      </c>
    </row>
    <row r="10" spans="1:15" x14ac:dyDescent="0.5">
      <c r="A10" s="41">
        <v>8</v>
      </c>
      <c r="B10" s="44">
        <v>45393</v>
      </c>
      <c r="C10" s="41" t="s">
        <v>120</v>
      </c>
      <c r="D10" s="41" t="s">
        <v>114</v>
      </c>
      <c r="E10" s="99" t="s">
        <v>124</v>
      </c>
      <c r="F10" s="46" t="s">
        <v>117</v>
      </c>
      <c r="G10" s="41">
        <v>10599</v>
      </c>
      <c r="H10" s="200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COUNTIF(F5:F23,N10)</f>
        <v>4</v>
      </c>
    </row>
    <row r="11" spans="1:15" x14ac:dyDescent="0.5">
      <c r="A11" s="41">
        <v>9</v>
      </c>
      <c r="B11" s="44">
        <v>45504</v>
      </c>
      <c r="C11" s="41" t="s">
        <v>114</v>
      </c>
      <c r="D11" s="41" t="s">
        <v>115</v>
      </c>
      <c r="E11" s="99" t="s">
        <v>123</v>
      </c>
      <c r="F11" s="46" t="s">
        <v>117</v>
      </c>
      <c r="G11" s="41">
        <v>7214</v>
      </c>
      <c r="H11" s="200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COUNTIF(F6:F24,N11)</f>
        <v>5</v>
      </c>
    </row>
    <row r="12" spans="1:15" x14ac:dyDescent="0.5">
      <c r="A12" s="41">
        <v>10</v>
      </c>
      <c r="B12" s="44">
        <v>45594</v>
      </c>
      <c r="C12" s="41" t="s">
        <v>115</v>
      </c>
      <c r="D12" s="41" t="s">
        <v>114</v>
      </c>
      <c r="E12" s="99" t="s">
        <v>125</v>
      </c>
      <c r="F12" s="46" t="s">
        <v>117</v>
      </c>
      <c r="G12" s="41">
        <v>8650</v>
      </c>
      <c r="H12" s="200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360</v>
      </c>
      <c r="O12" s="31">
        <f>COUNTIF(F7:F25,N12)</f>
        <v>2</v>
      </c>
    </row>
    <row r="13" spans="1:15" x14ac:dyDescent="0.5">
      <c r="A13" s="41">
        <v>11</v>
      </c>
      <c r="B13" s="44">
        <v>45599</v>
      </c>
      <c r="C13" s="41" t="s">
        <v>114</v>
      </c>
      <c r="D13" s="41" t="s">
        <v>115</v>
      </c>
      <c r="E13" s="99" t="s">
        <v>125</v>
      </c>
      <c r="F13" s="49" t="s">
        <v>119</v>
      </c>
      <c r="G13" s="41">
        <v>8650</v>
      </c>
      <c r="H13" s="200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44">
        <v>45626</v>
      </c>
      <c r="C14" s="41" t="s">
        <v>115</v>
      </c>
      <c r="D14" s="41" t="s">
        <v>114</v>
      </c>
      <c r="E14" s="99" t="s">
        <v>124</v>
      </c>
      <c r="F14" s="49" t="s">
        <v>119</v>
      </c>
      <c r="G14" s="41">
        <v>7565</v>
      </c>
      <c r="H14" s="200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44">
        <v>45665</v>
      </c>
      <c r="C15" s="41" t="s">
        <v>114</v>
      </c>
      <c r="D15" s="41" t="s">
        <v>115</v>
      </c>
      <c r="E15" s="99" t="s">
        <v>123</v>
      </c>
      <c r="F15" s="49" t="s">
        <v>119</v>
      </c>
      <c r="G15" s="41">
        <v>9218</v>
      </c>
      <c r="H15" s="200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44">
        <v>45776</v>
      </c>
      <c r="C16" s="41" t="s">
        <v>115</v>
      </c>
      <c r="D16" s="41" t="s">
        <v>114</v>
      </c>
      <c r="E16" s="99" t="s">
        <v>124</v>
      </c>
      <c r="F16" s="49" t="s">
        <v>119</v>
      </c>
      <c r="G16" s="41">
        <v>7166</v>
      </c>
      <c r="H16" s="200"/>
      <c r="I16" s="43">
        <v>2275</v>
      </c>
      <c r="J16" s="41" t="s">
        <v>137</v>
      </c>
      <c r="K16" s="41" t="s">
        <v>144</v>
      </c>
      <c r="L16" s="41" t="s">
        <v>216</v>
      </c>
    </row>
    <row r="17" spans="1:14" x14ac:dyDescent="0.5">
      <c r="A17" s="41">
        <v>15</v>
      </c>
      <c r="B17" s="44">
        <v>45871</v>
      </c>
      <c r="C17" s="41" t="s">
        <v>114</v>
      </c>
      <c r="D17" s="41" t="s">
        <v>115</v>
      </c>
      <c r="E17" s="99" t="s">
        <v>123</v>
      </c>
      <c r="F17" s="101" t="s">
        <v>118</v>
      </c>
      <c r="G17" s="41">
        <v>7987</v>
      </c>
      <c r="H17" s="200"/>
      <c r="I17" s="43">
        <v>2275</v>
      </c>
      <c r="J17" s="41" t="s">
        <v>132</v>
      </c>
      <c r="K17" s="41" t="s">
        <v>140</v>
      </c>
      <c r="L17" s="47" t="s">
        <v>306</v>
      </c>
    </row>
    <row r="18" spans="1:14" ht="28.7" x14ac:dyDescent="0.5">
      <c r="A18" s="41">
        <v>16</v>
      </c>
      <c r="B18" s="44">
        <v>45917</v>
      </c>
      <c r="C18" s="41" t="s">
        <v>115</v>
      </c>
      <c r="D18" s="41" t="s">
        <v>114</v>
      </c>
      <c r="E18" s="99" t="s">
        <v>362</v>
      </c>
      <c r="F18" s="103" t="s">
        <v>360</v>
      </c>
      <c r="G18" s="41">
        <v>10585</v>
      </c>
      <c r="H18" s="200"/>
      <c r="I18" s="43">
        <v>2275</v>
      </c>
      <c r="J18" s="41" t="s">
        <v>134</v>
      </c>
      <c r="K18" s="41" t="s">
        <v>144</v>
      </c>
      <c r="L18" s="47" t="s">
        <v>361</v>
      </c>
    </row>
    <row r="19" spans="1:14" x14ac:dyDescent="0.5">
      <c r="A19" s="193">
        <v>17</v>
      </c>
      <c r="B19" s="44">
        <v>45941</v>
      </c>
      <c r="C19" s="41" t="s">
        <v>114</v>
      </c>
      <c r="D19" s="41" t="s">
        <v>370</v>
      </c>
      <c r="E19" s="197" t="s">
        <v>123</v>
      </c>
      <c r="F19" s="101" t="s">
        <v>118</v>
      </c>
      <c r="G19" s="193">
        <v>11466</v>
      </c>
      <c r="H19" s="200"/>
      <c r="I19" s="43">
        <v>1756</v>
      </c>
      <c r="J19" s="41" t="s">
        <v>371</v>
      </c>
      <c r="K19" s="193" t="s">
        <v>144</v>
      </c>
      <c r="L19" s="47" t="s">
        <v>372</v>
      </c>
    </row>
    <row r="20" spans="1:14" x14ac:dyDescent="0.5">
      <c r="A20" s="194"/>
      <c r="B20" s="44">
        <v>45941</v>
      </c>
      <c r="C20" s="41" t="s">
        <v>370</v>
      </c>
      <c r="D20" s="41" t="s">
        <v>115</v>
      </c>
      <c r="E20" s="198"/>
      <c r="F20" s="101" t="s">
        <v>118</v>
      </c>
      <c r="G20" s="194"/>
      <c r="H20" s="200"/>
      <c r="I20" s="43">
        <v>517</v>
      </c>
      <c r="J20" s="41" t="s">
        <v>131</v>
      </c>
      <c r="K20" s="194"/>
      <c r="L20" s="47" t="s">
        <v>373</v>
      </c>
    </row>
    <row r="21" spans="1:14" x14ac:dyDescent="0.5">
      <c r="A21" s="158">
        <v>18</v>
      </c>
      <c r="B21" s="44">
        <v>45992</v>
      </c>
      <c r="C21" s="41" t="s">
        <v>115</v>
      </c>
      <c r="D21" s="41" t="s">
        <v>114</v>
      </c>
      <c r="E21" s="159" t="s">
        <v>124</v>
      </c>
      <c r="F21" s="103" t="s">
        <v>360</v>
      </c>
      <c r="G21" s="158">
        <v>8231</v>
      </c>
      <c r="H21" s="201"/>
      <c r="I21" s="43">
        <v>2275</v>
      </c>
      <c r="J21" s="41" t="s">
        <v>142</v>
      </c>
      <c r="K21" s="158" t="s">
        <v>139</v>
      </c>
      <c r="L21" s="47" t="s">
        <v>414</v>
      </c>
    </row>
    <row r="22" spans="1:14" x14ac:dyDescent="0.5">
      <c r="A22" s="43"/>
      <c r="B22" s="196" t="s">
        <v>121</v>
      </c>
      <c r="C22" s="196"/>
      <c r="D22" s="196"/>
      <c r="E22" s="196"/>
      <c r="F22" s="196"/>
      <c r="G22" s="40">
        <f>SUM(G3:G21)</f>
        <v>147756</v>
      </c>
      <c r="H22" s="43"/>
      <c r="I22" s="40">
        <f>SUM(I3:I21)</f>
        <v>41033</v>
      </c>
      <c r="J22" s="41"/>
      <c r="K22" s="41"/>
      <c r="L22" s="41"/>
    </row>
    <row r="23" spans="1:14" x14ac:dyDescent="0.5">
      <c r="G23" s="102">
        <f>AVERAGE(G3:G21)</f>
        <v>8208.6666666666661</v>
      </c>
      <c r="I23" s="38"/>
    </row>
    <row r="24" spans="1:14" x14ac:dyDescent="0.5">
      <c r="I24" s="38"/>
    </row>
    <row r="28" spans="1:14" x14ac:dyDescent="0.5">
      <c r="N28" t="s">
        <v>375</v>
      </c>
    </row>
    <row r="29" spans="1:14" x14ac:dyDescent="0.5">
      <c r="N29" t="s">
        <v>376</v>
      </c>
    </row>
    <row r="30" spans="1:14" x14ac:dyDescent="0.5">
      <c r="N30" t="s">
        <v>377</v>
      </c>
    </row>
    <row r="31" spans="1:14" x14ac:dyDescent="0.5">
      <c r="N31" t="s">
        <v>378</v>
      </c>
    </row>
    <row r="32" spans="1:14" x14ac:dyDescent="0.5">
      <c r="N32" t="s">
        <v>379</v>
      </c>
    </row>
  </sheetData>
  <mergeCells count="7">
    <mergeCell ref="K19:K20"/>
    <mergeCell ref="B1:G1"/>
    <mergeCell ref="B22:F22"/>
    <mergeCell ref="A19:A20"/>
    <mergeCell ref="E19:E20"/>
    <mergeCell ref="G19:G20"/>
    <mergeCell ref="H3:H21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topLeftCell="A2"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206</v>
      </c>
    </row>
    <row r="30" spans="1:6" x14ac:dyDescent="0.5">
      <c r="E30">
        <v>300</v>
      </c>
      <c r="F30" t="s">
        <v>207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5" zoomScale="122" zoomScaleNormal="85" workbookViewId="0">
      <selection activeCell="M15" sqref="M15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5" t="s">
        <v>270</v>
      </c>
      <c r="B1" s="86" t="s">
        <v>271</v>
      </c>
      <c r="C1" s="86" t="s">
        <v>272</v>
      </c>
      <c r="D1" s="86"/>
      <c r="E1" s="202"/>
      <c r="F1" s="203"/>
      <c r="G1" s="203"/>
      <c r="H1" s="203"/>
      <c r="I1" s="203"/>
      <c r="J1" s="203"/>
      <c r="K1" s="204"/>
    </row>
    <row r="2" spans="1:24" x14ac:dyDescent="0.5">
      <c r="A2" s="87" t="s">
        <v>402</v>
      </c>
      <c r="B2" s="84">
        <v>4</v>
      </c>
      <c r="C2" s="84">
        <v>10</v>
      </c>
      <c r="D2" s="84">
        <f>B2*C2</f>
        <v>40</v>
      </c>
      <c r="E2" s="207"/>
      <c r="F2" s="215" t="s">
        <v>156</v>
      </c>
      <c r="G2" s="215"/>
      <c r="H2" s="207"/>
      <c r="I2" s="207"/>
      <c r="J2" s="205"/>
      <c r="K2" s="206"/>
    </row>
    <row r="3" spans="1:24" x14ac:dyDescent="0.5">
      <c r="A3" s="87" t="s">
        <v>403</v>
      </c>
      <c r="B3" s="84">
        <v>4</v>
      </c>
      <c r="C3" s="84">
        <v>9</v>
      </c>
      <c r="D3" s="84">
        <f>B3*C3</f>
        <v>36</v>
      </c>
      <c r="E3" s="207"/>
      <c r="F3" s="215"/>
      <c r="G3" s="215"/>
      <c r="H3" s="207"/>
      <c r="I3" s="207"/>
      <c r="J3" s="83" t="s">
        <v>269</v>
      </c>
      <c r="K3" s="91" t="s">
        <v>156</v>
      </c>
      <c r="L3" s="93" t="s">
        <v>271</v>
      </c>
      <c r="M3" s="93" t="s">
        <v>285</v>
      </c>
      <c r="N3" s="93"/>
    </row>
    <row r="4" spans="1:24" x14ac:dyDescent="0.5">
      <c r="A4" s="87" t="s">
        <v>404</v>
      </c>
      <c r="B4" s="84">
        <v>4</v>
      </c>
      <c r="C4" s="84">
        <v>10</v>
      </c>
      <c r="D4" s="84">
        <f t="shared" ref="D4:D8" si="0">B4*C4</f>
        <v>40</v>
      </c>
      <c r="E4" s="207"/>
      <c r="F4" s="216">
        <f>D9/B9</f>
        <v>9.6666666666666661</v>
      </c>
      <c r="G4" s="216"/>
      <c r="H4" s="207"/>
      <c r="I4" s="207"/>
      <c r="J4" s="83">
        <v>1</v>
      </c>
      <c r="K4" s="91">
        <v>9.74</v>
      </c>
      <c r="L4" s="93">
        <v>23</v>
      </c>
      <c r="M4" s="93">
        <f>K4*L4</f>
        <v>224.02</v>
      </c>
      <c r="N4" s="93"/>
    </row>
    <row r="5" spans="1:24" x14ac:dyDescent="0.5">
      <c r="A5" s="87" t="s">
        <v>405</v>
      </c>
      <c r="B5" s="84">
        <v>3</v>
      </c>
      <c r="C5" s="84">
        <v>9</v>
      </c>
      <c r="D5" s="84">
        <f t="shared" si="0"/>
        <v>27</v>
      </c>
      <c r="E5" s="207"/>
      <c r="F5" s="216"/>
      <c r="G5" s="216"/>
      <c r="H5" s="207"/>
      <c r="I5" s="207"/>
      <c r="J5" s="83">
        <v>2</v>
      </c>
      <c r="K5" s="91">
        <v>9.43</v>
      </c>
      <c r="L5" s="93">
        <v>23</v>
      </c>
      <c r="M5" s="93">
        <f t="shared" ref="M5:M9" si="1">K5*L5</f>
        <v>216.89</v>
      </c>
      <c r="N5" s="93"/>
    </row>
    <row r="6" spans="1:24" x14ac:dyDescent="0.5">
      <c r="A6" s="106" t="s">
        <v>267</v>
      </c>
      <c r="B6" s="107">
        <v>0</v>
      </c>
      <c r="C6" s="107">
        <v>9</v>
      </c>
      <c r="D6" s="107">
        <f t="shared" si="0"/>
        <v>0</v>
      </c>
      <c r="E6" s="207"/>
      <c r="F6" s="221" t="s">
        <v>157</v>
      </c>
      <c r="G6" s="222"/>
      <c r="H6" s="207"/>
      <c r="I6" s="207"/>
      <c r="J6" s="83">
        <v>3</v>
      </c>
      <c r="K6" s="91">
        <v>9.58</v>
      </c>
      <c r="L6" s="93">
        <v>24</v>
      </c>
      <c r="M6" s="93">
        <f t="shared" si="1"/>
        <v>229.92000000000002</v>
      </c>
      <c r="N6" s="93"/>
      <c r="V6">
        <v>6.87</v>
      </c>
      <c r="W6">
        <v>23</v>
      </c>
      <c r="X6">
        <f>V6*W6</f>
        <v>158.01</v>
      </c>
    </row>
    <row r="7" spans="1:24" x14ac:dyDescent="0.5">
      <c r="A7" s="106" t="s">
        <v>268</v>
      </c>
      <c r="B7" s="107">
        <v>0</v>
      </c>
      <c r="C7" s="107">
        <v>10</v>
      </c>
      <c r="D7" s="107">
        <f t="shared" si="0"/>
        <v>0</v>
      </c>
      <c r="E7" s="207"/>
      <c r="F7" s="223"/>
      <c r="G7" s="224"/>
      <c r="H7" s="207"/>
      <c r="I7" s="207"/>
      <c r="J7" s="83">
        <v>4</v>
      </c>
      <c r="K7" s="91">
        <v>9.5399999999999991</v>
      </c>
      <c r="L7" s="93">
        <v>24</v>
      </c>
      <c r="M7" s="93">
        <f t="shared" si="1"/>
        <v>228.95999999999998</v>
      </c>
      <c r="N7" s="93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7" t="s">
        <v>401</v>
      </c>
      <c r="B8" s="84">
        <v>6</v>
      </c>
      <c r="C8" s="84">
        <v>10</v>
      </c>
      <c r="D8" s="84">
        <f t="shared" si="0"/>
        <v>60</v>
      </c>
      <c r="E8" s="207"/>
      <c r="F8" s="217">
        <f>M12/L12</f>
        <v>9.6638414634146343</v>
      </c>
      <c r="G8" s="218"/>
      <c r="H8" s="207"/>
      <c r="I8" s="207"/>
      <c r="J8" s="83">
        <v>5</v>
      </c>
      <c r="K8" s="91">
        <v>9.91</v>
      </c>
      <c r="L8" s="93">
        <v>22</v>
      </c>
      <c r="M8" s="93">
        <f t="shared" si="1"/>
        <v>218.02</v>
      </c>
      <c r="N8" s="93"/>
      <c r="V8">
        <v>7.42</v>
      </c>
      <c r="W8">
        <v>24</v>
      </c>
      <c r="X8">
        <f t="shared" si="2"/>
        <v>178.07999999999998</v>
      </c>
    </row>
    <row r="9" spans="1:24" x14ac:dyDescent="0.5">
      <c r="A9" s="87" t="s">
        <v>273</v>
      </c>
      <c r="B9" s="84">
        <f>SUM(B2:B8)</f>
        <v>21</v>
      </c>
      <c r="C9" s="84"/>
      <c r="D9" s="84">
        <f>SUM(D2:D8)</f>
        <v>203</v>
      </c>
      <c r="E9" s="207"/>
      <c r="F9" s="219"/>
      <c r="G9" s="220"/>
      <c r="H9" s="207"/>
      <c r="I9" s="207"/>
      <c r="J9" s="83">
        <v>6</v>
      </c>
      <c r="K9" s="92">
        <v>9.7799999999999994</v>
      </c>
      <c r="L9" s="93">
        <v>27</v>
      </c>
      <c r="M9" s="93">
        <f t="shared" si="1"/>
        <v>264.06</v>
      </c>
      <c r="N9" s="93"/>
      <c r="V9">
        <v>6.42</v>
      </c>
      <c r="W9">
        <v>24</v>
      </c>
      <c r="X9">
        <f t="shared" si="2"/>
        <v>154.07999999999998</v>
      </c>
    </row>
    <row r="10" spans="1:24" x14ac:dyDescent="0.5">
      <c r="A10" s="209"/>
      <c r="B10" s="210"/>
      <c r="C10" s="210"/>
      <c r="D10" s="210"/>
      <c r="E10" s="207"/>
      <c r="F10" s="210"/>
      <c r="G10" s="210"/>
      <c r="H10" s="207"/>
      <c r="I10" s="207"/>
      <c r="J10" s="83">
        <v>7</v>
      </c>
      <c r="K10" s="92">
        <f>F4</f>
        <v>9.6666666666666661</v>
      </c>
      <c r="L10" s="93">
        <v>21</v>
      </c>
      <c r="M10" s="93">
        <f>K10*L10</f>
        <v>203</v>
      </c>
      <c r="N10" s="93"/>
      <c r="V10">
        <v>7.23</v>
      </c>
      <c r="W10">
        <v>22</v>
      </c>
      <c r="X10">
        <f t="shared" si="2"/>
        <v>159.06</v>
      </c>
    </row>
    <row r="11" spans="1:24" x14ac:dyDescent="0.5">
      <c r="A11" s="211"/>
      <c r="B11" s="207"/>
      <c r="C11" s="207"/>
      <c r="D11" s="207"/>
      <c r="E11" s="207"/>
      <c r="F11" s="207"/>
      <c r="G11" s="207"/>
      <c r="H11" s="207"/>
      <c r="I11" s="207"/>
      <c r="J11" s="83">
        <v>8</v>
      </c>
      <c r="K11" s="91"/>
      <c r="L11" s="93"/>
      <c r="M11" s="93"/>
      <c r="N11" s="93"/>
      <c r="V11">
        <v>7.33</v>
      </c>
      <c r="W11">
        <v>21</v>
      </c>
      <c r="X11">
        <f t="shared" si="2"/>
        <v>153.93</v>
      </c>
    </row>
    <row r="12" spans="1:24" x14ac:dyDescent="0.5">
      <c r="A12" s="211"/>
      <c r="B12" s="207"/>
      <c r="C12" s="207"/>
      <c r="D12" s="207"/>
      <c r="E12" s="207"/>
      <c r="F12" s="207" t="s">
        <v>274</v>
      </c>
      <c r="G12" s="207">
        <v>9.6999999999999993</v>
      </c>
      <c r="H12" s="207"/>
      <c r="I12" s="207"/>
      <c r="J12" s="83"/>
      <c r="K12" s="92">
        <f>SUM(K4:K11)</f>
        <v>67.646666666666675</v>
      </c>
      <c r="L12" s="93">
        <f>SUM(L4:L11)</f>
        <v>164</v>
      </c>
      <c r="M12" s="93">
        <f>SUM(M4:M11)</f>
        <v>1584.87</v>
      </c>
      <c r="N12" s="93"/>
      <c r="W12">
        <f>SUM(W6:W11)</f>
        <v>137</v>
      </c>
      <c r="X12">
        <f>SUM(X6:X11)</f>
        <v>958.18000000000006</v>
      </c>
    </row>
    <row r="13" spans="1:24" x14ac:dyDescent="0.5">
      <c r="A13" s="211"/>
      <c r="B13" s="207"/>
      <c r="C13" s="207"/>
      <c r="D13" s="207"/>
      <c r="E13" s="207"/>
      <c r="F13" s="207"/>
      <c r="G13" s="207"/>
      <c r="H13" s="207"/>
      <c r="I13" s="207"/>
      <c r="J13" s="210"/>
      <c r="K13" s="213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12"/>
      <c r="B14" s="208"/>
      <c r="C14" s="208"/>
      <c r="D14" s="208"/>
      <c r="E14" s="208"/>
      <c r="F14" s="88" t="s">
        <v>275</v>
      </c>
      <c r="G14" s="88">
        <f>(G12-F8)*100/G12</f>
        <v>0.3727684184058242</v>
      </c>
      <c r="H14" s="208"/>
      <c r="I14" s="208"/>
      <c r="J14" s="208"/>
      <c r="K14" s="214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232"/>
  <sheetViews>
    <sheetView zoomScale="63" workbookViewId="0">
      <selection activeCell="J24" sqref="J24"/>
    </sheetView>
  </sheetViews>
  <sheetFormatPr defaultRowHeight="14.35" x14ac:dyDescent="0.5"/>
  <cols>
    <col min="1" max="1" width="10.3515625" bestFit="1" customWidth="1"/>
    <col min="2" max="7" width="18.703125" style="82" customWidth="1"/>
  </cols>
  <sheetData>
    <row r="1" spans="1:7" x14ac:dyDescent="0.5">
      <c r="A1" s="225" t="s">
        <v>219</v>
      </c>
      <c r="B1" s="108" t="s">
        <v>225</v>
      </c>
      <c r="C1" s="109" t="s">
        <v>228</v>
      </c>
      <c r="D1" s="109" t="s">
        <v>244</v>
      </c>
      <c r="E1" s="109"/>
      <c r="F1" s="109"/>
      <c r="G1" s="110"/>
    </row>
    <row r="2" spans="1:7" x14ac:dyDescent="0.5">
      <c r="A2" s="226"/>
      <c r="B2" s="111" t="s">
        <v>226</v>
      </c>
      <c r="C2" s="112" t="s">
        <v>250</v>
      </c>
      <c r="D2" s="112"/>
      <c r="E2" s="112"/>
      <c r="F2" s="112"/>
      <c r="G2" s="113"/>
    </row>
    <row r="3" spans="1:7" ht="29" thickBot="1" x14ac:dyDescent="0.55000000000000004">
      <c r="A3" s="227"/>
      <c r="B3" s="114" t="s">
        <v>227</v>
      </c>
      <c r="C3" s="115" t="s">
        <v>186</v>
      </c>
      <c r="D3" s="115"/>
      <c r="E3" s="115"/>
      <c r="F3" s="115"/>
      <c r="G3" s="116"/>
    </row>
    <row r="4" spans="1:7" x14ac:dyDescent="0.5">
      <c r="A4" s="228" t="s">
        <v>179</v>
      </c>
      <c r="B4" s="117" t="s">
        <v>229</v>
      </c>
      <c r="C4" s="118" t="s">
        <v>230</v>
      </c>
      <c r="D4" s="118" t="s">
        <v>255</v>
      </c>
      <c r="E4" s="118" t="s">
        <v>400</v>
      </c>
      <c r="F4" s="118"/>
      <c r="G4" s="119"/>
    </row>
    <row r="5" spans="1:7" x14ac:dyDescent="0.5">
      <c r="A5" s="229"/>
      <c r="B5" s="120" t="s">
        <v>245</v>
      </c>
      <c r="C5" s="121" t="s">
        <v>247</v>
      </c>
      <c r="D5" s="121" t="s">
        <v>256</v>
      </c>
      <c r="E5" s="121"/>
      <c r="F5" s="121"/>
      <c r="G5" s="122"/>
    </row>
    <row r="6" spans="1:7" ht="14.7" thickBot="1" x14ac:dyDescent="0.55000000000000004">
      <c r="A6" s="230"/>
      <c r="B6" s="123" t="s">
        <v>259</v>
      </c>
      <c r="C6" s="124" t="s">
        <v>260</v>
      </c>
      <c r="D6" s="124" t="s">
        <v>296</v>
      </c>
      <c r="E6" s="124"/>
      <c r="F6" s="124"/>
      <c r="G6" s="125"/>
    </row>
    <row r="7" spans="1:7" x14ac:dyDescent="0.5">
      <c r="A7" s="231" t="s">
        <v>220</v>
      </c>
      <c r="B7" s="126" t="s">
        <v>231</v>
      </c>
      <c r="C7" s="127" t="s">
        <v>243</v>
      </c>
      <c r="D7" s="127"/>
      <c r="E7" s="127"/>
      <c r="F7" s="127"/>
      <c r="G7" s="128"/>
    </row>
    <row r="8" spans="1:7" x14ac:dyDescent="0.5">
      <c r="A8" s="232"/>
      <c r="B8" s="129" t="s">
        <v>235</v>
      </c>
      <c r="C8" s="130" t="s">
        <v>254</v>
      </c>
      <c r="D8" s="130"/>
      <c r="E8" s="130"/>
      <c r="F8" s="130"/>
      <c r="G8" s="131"/>
    </row>
    <row r="9" spans="1:7" ht="14.7" thickBot="1" x14ac:dyDescent="0.55000000000000004">
      <c r="A9" s="233"/>
      <c r="B9" s="132" t="s">
        <v>238</v>
      </c>
      <c r="C9" s="133"/>
      <c r="D9" s="133"/>
      <c r="E9" s="133"/>
      <c r="F9" s="133"/>
      <c r="G9" s="134"/>
    </row>
    <row r="10" spans="1:7" x14ac:dyDescent="0.5">
      <c r="A10" s="234" t="s">
        <v>221</v>
      </c>
      <c r="B10" s="135" t="s">
        <v>232</v>
      </c>
      <c r="C10" s="136" t="s">
        <v>233</v>
      </c>
      <c r="D10" s="136" t="s">
        <v>248</v>
      </c>
      <c r="E10" s="136" t="s">
        <v>406</v>
      </c>
      <c r="F10" s="136"/>
      <c r="G10" s="137"/>
    </row>
    <row r="11" spans="1:7" ht="14.7" thickBot="1" x14ac:dyDescent="0.55000000000000004">
      <c r="A11" s="235"/>
      <c r="B11" s="138" t="s">
        <v>184</v>
      </c>
      <c r="C11" s="139" t="s">
        <v>246</v>
      </c>
      <c r="D11" s="139" t="s">
        <v>253</v>
      </c>
      <c r="E11" s="139"/>
      <c r="F11" s="139"/>
      <c r="G11" s="140"/>
    </row>
    <row r="12" spans="1:7" ht="28.7" x14ac:dyDescent="0.5">
      <c r="A12" s="236" t="s">
        <v>222</v>
      </c>
      <c r="B12" s="141" t="s">
        <v>234</v>
      </c>
      <c r="C12" s="142" t="s">
        <v>249</v>
      </c>
      <c r="D12" s="142" t="s">
        <v>251</v>
      </c>
      <c r="E12" s="142"/>
      <c r="F12" s="142"/>
      <c r="G12" s="143"/>
    </row>
    <row r="13" spans="1:7" ht="14.7" thickBot="1" x14ac:dyDescent="0.55000000000000004">
      <c r="A13" s="237"/>
      <c r="B13" s="144" t="s">
        <v>252</v>
      </c>
      <c r="C13" s="145" t="s">
        <v>258</v>
      </c>
      <c r="D13" s="145"/>
      <c r="E13" s="145"/>
      <c r="F13" s="145"/>
      <c r="G13" s="146"/>
    </row>
    <row r="14" spans="1:7" ht="29" thickBot="1" x14ac:dyDescent="0.55000000000000004">
      <c r="A14" s="80" t="s">
        <v>223</v>
      </c>
      <c r="B14" s="147" t="s">
        <v>236</v>
      </c>
      <c r="C14" s="148" t="s">
        <v>237</v>
      </c>
      <c r="D14" s="148" t="s">
        <v>239</v>
      </c>
      <c r="E14" s="148" t="s">
        <v>240</v>
      </c>
      <c r="F14" s="148" t="s">
        <v>257</v>
      </c>
      <c r="G14" s="149"/>
    </row>
    <row r="15" spans="1:7" ht="29" thickBot="1" x14ac:dyDescent="0.55000000000000004">
      <c r="A15" s="81" t="s">
        <v>224</v>
      </c>
      <c r="B15" s="150" t="s">
        <v>241</v>
      </c>
      <c r="C15" s="150" t="s">
        <v>242</v>
      </c>
      <c r="D15" s="150"/>
      <c r="E15" s="150"/>
      <c r="F15" s="150"/>
      <c r="G15" s="151"/>
    </row>
    <row r="18" spans="1:4" ht="14.7" thickBot="1" x14ac:dyDescent="0.55000000000000004">
      <c r="A18" s="70" t="s">
        <v>108</v>
      </c>
      <c r="B18" s="70" t="s">
        <v>24</v>
      </c>
      <c r="C18" s="63" t="s">
        <v>352</v>
      </c>
      <c r="D18" s="70" t="s">
        <v>180</v>
      </c>
    </row>
    <row r="19" spans="1:4" x14ac:dyDescent="0.5">
      <c r="A19" s="74">
        <v>45658</v>
      </c>
      <c r="B19" s="75">
        <v>2.5</v>
      </c>
      <c r="C19" s="61">
        <v>1</v>
      </c>
      <c r="D19" s="38" t="s">
        <v>194</v>
      </c>
    </row>
    <row r="20" spans="1:4" x14ac:dyDescent="0.5">
      <c r="A20" s="55">
        <v>45659</v>
      </c>
      <c r="B20" s="2">
        <v>2.8</v>
      </c>
      <c r="C20" s="61">
        <v>1</v>
      </c>
      <c r="D20" s="71" t="s">
        <v>195</v>
      </c>
    </row>
    <row r="21" spans="1:4" x14ac:dyDescent="0.5">
      <c r="A21" s="55">
        <v>45660</v>
      </c>
      <c r="B21" s="2">
        <v>4.8</v>
      </c>
      <c r="C21" s="61">
        <v>1</v>
      </c>
      <c r="D21" s="72" t="s">
        <v>114</v>
      </c>
    </row>
    <row r="22" spans="1:4" x14ac:dyDescent="0.5">
      <c r="A22" s="55">
        <v>45661</v>
      </c>
      <c r="B22" s="2">
        <v>8.1999999999999993</v>
      </c>
      <c r="C22" s="61">
        <v>1</v>
      </c>
      <c r="D22" s="71" t="s">
        <v>114</v>
      </c>
    </row>
    <row r="23" spans="1:4" x14ac:dyDescent="0.5">
      <c r="A23" s="55">
        <v>45662</v>
      </c>
      <c r="B23" s="2">
        <v>6.2</v>
      </c>
      <c r="C23" s="61">
        <v>1</v>
      </c>
      <c r="D23" s="72" t="s">
        <v>114</v>
      </c>
    </row>
    <row r="24" spans="1:4" x14ac:dyDescent="0.5">
      <c r="A24" s="55">
        <v>45663</v>
      </c>
      <c r="B24" s="2">
        <v>6.1</v>
      </c>
      <c r="C24" s="61">
        <v>1</v>
      </c>
      <c r="D24" s="71" t="s">
        <v>114</v>
      </c>
    </row>
    <row r="25" spans="1:4" x14ac:dyDescent="0.5">
      <c r="A25" s="55">
        <v>45664</v>
      </c>
      <c r="B25" s="2">
        <v>3.5</v>
      </c>
      <c r="C25" s="61">
        <v>1</v>
      </c>
      <c r="D25" s="72" t="s">
        <v>114</v>
      </c>
    </row>
    <row r="26" spans="1:4" x14ac:dyDescent="0.5">
      <c r="A26" s="55">
        <v>45665</v>
      </c>
      <c r="B26" s="2">
        <v>1.2</v>
      </c>
      <c r="C26" s="61">
        <v>1</v>
      </c>
      <c r="D26" s="71" t="s">
        <v>114</v>
      </c>
    </row>
    <row r="27" spans="1:4" x14ac:dyDescent="0.5">
      <c r="A27" s="55">
        <v>45666</v>
      </c>
      <c r="B27" s="2">
        <v>5.6</v>
      </c>
      <c r="C27" s="61">
        <v>1</v>
      </c>
      <c r="D27" s="72" t="s">
        <v>346</v>
      </c>
    </row>
    <row r="28" spans="1:4" x14ac:dyDescent="0.5">
      <c r="A28" s="55">
        <v>45667</v>
      </c>
      <c r="B28" s="2">
        <v>4.3</v>
      </c>
      <c r="C28" s="61">
        <v>1</v>
      </c>
      <c r="D28" s="71" t="s">
        <v>176</v>
      </c>
    </row>
    <row r="29" spans="1:4" x14ac:dyDescent="0.5">
      <c r="A29" s="55">
        <v>45668</v>
      </c>
      <c r="B29" s="2">
        <v>5.4</v>
      </c>
      <c r="C29" s="61">
        <v>1</v>
      </c>
      <c r="D29" s="72" t="s">
        <v>176</v>
      </c>
    </row>
    <row r="30" spans="1:4" x14ac:dyDescent="0.5">
      <c r="A30" s="55">
        <v>45669</v>
      </c>
      <c r="B30" s="2">
        <v>7.2</v>
      </c>
      <c r="C30" s="61">
        <v>1</v>
      </c>
      <c r="D30" s="71" t="s">
        <v>176</v>
      </c>
    </row>
    <row r="31" spans="1:4" x14ac:dyDescent="0.5">
      <c r="A31" s="55">
        <v>45670</v>
      </c>
      <c r="B31" s="2">
        <v>3.9</v>
      </c>
      <c r="C31" s="61">
        <v>0.8</v>
      </c>
      <c r="D31" s="72" t="s">
        <v>176</v>
      </c>
    </row>
    <row r="32" spans="1:4" x14ac:dyDescent="0.5">
      <c r="A32" s="55">
        <v>45671</v>
      </c>
      <c r="B32" s="2">
        <v>1.5</v>
      </c>
      <c r="C32" s="61">
        <v>1</v>
      </c>
      <c r="D32" s="71" t="s">
        <v>176</v>
      </c>
    </row>
    <row r="33" spans="1:4" x14ac:dyDescent="0.5">
      <c r="A33" s="55">
        <v>45672</v>
      </c>
      <c r="B33" s="2">
        <v>5.2</v>
      </c>
      <c r="C33" s="61">
        <v>1</v>
      </c>
      <c r="D33" s="72" t="s">
        <v>176</v>
      </c>
    </row>
    <row r="34" spans="1:4" x14ac:dyDescent="0.5">
      <c r="A34" s="55">
        <v>45673</v>
      </c>
      <c r="B34" s="2">
        <v>6.5</v>
      </c>
      <c r="C34" s="61">
        <v>1</v>
      </c>
      <c r="D34" s="71" t="s">
        <v>176</v>
      </c>
    </row>
    <row r="35" spans="1:4" x14ac:dyDescent="0.5">
      <c r="A35" s="55">
        <v>45674</v>
      </c>
      <c r="B35" s="2">
        <v>2.9</v>
      </c>
      <c r="C35" s="61">
        <v>0.6</v>
      </c>
      <c r="D35" s="72" t="s">
        <v>176</v>
      </c>
    </row>
    <row r="36" spans="1:4" x14ac:dyDescent="0.5">
      <c r="A36" s="55">
        <v>45675</v>
      </c>
      <c r="B36" s="2">
        <v>3.3</v>
      </c>
      <c r="C36" s="61">
        <v>0</v>
      </c>
      <c r="D36" s="71" t="s">
        <v>176</v>
      </c>
    </row>
    <row r="37" spans="1:4" x14ac:dyDescent="0.5">
      <c r="A37" s="55">
        <v>45676</v>
      </c>
      <c r="B37" s="2">
        <v>6.2</v>
      </c>
      <c r="C37" s="61">
        <v>1</v>
      </c>
      <c r="D37" s="72" t="s">
        <v>176</v>
      </c>
    </row>
    <row r="38" spans="1:4" x14ac:dyDescent="0.5">
      <c r="A38" s="55">
        <v>45677</v>
      </c>
      <c r="B38" s="2">
        <v>5</v>
      </c>
      <c r="C38" s="61">
        <v>1</v>
      </c>
      <c r="D38" s="71" t="s">
        <v>176</v>
      </c>
    </row>
    <row r="39" spans="1:4" x14ac:dyDescent="0.5">
      <c r="A39" s="55">
        <v>45678</v>
      </c>
      <c r="B39" s="2">
        <v>4.3</v>
      </c>
      <c r="C39" s="61">
        <v>0</v>
      </c>
      <c r="D39" s="72" t="s">
        <v>176</v>
      </c>
    </row>
    <row r="40" spans="1:4" x14ac:dyDescent="0.5">
      <c r="A40" s="55">
        <v>45679</v>
      </c>
      <c r="B40" s="2">
        <v>4.0999999999999996</v>
      </c>
      <c r="C40" s="61">
        <v>0</v>
      </c>
      <c r="D40" s="71" t="s">
        <v>176</v>
      </c>
    </row>
    <row r="41" spans="1:4" x14ac:dyDescent="0.5">
      <c r="A41" s="55">
        <v>45680</v>
      </c>
      <c r="B41" s="2">
        <v>1.2</v>
      </c>
      <c r="C41" s="61">
        <v>1</v>
      </c>
      <c r="D41" s="72" t="s">
        <v>176</v>
      </c>
    </row>
    <row r="42" spans="1:4" x14ac:dyDescent="0.5">
      <c r="A42" s="55">
        <v>45681</v>
      </c>
      <c r="B42" s="2">
        <v>6.2</v>
      </c>
      <c r="C42" s="61">
        <v>1</v>
      </c>
      <c r="D42" s="71" t="s">
        <v>176</v>
      </c>
    </row>
    <row r="43" spans="1:4" x14ac:dyDescent="0.5">
      <c r="A43" s="55">
        <v>45682</v>
      </c>
      <c r="B43" s="2">
        <v>8.1</v>
      </c>
      <c r="C43" s="61">
        <v>0</v>
      </c>
      <c r="D43" s="72" t="s">
        <v>176</v>
      </c>
    </row>
    <row r="44" spans="1:4" x14ac:dyDescent="0.5">
      <c r="A44" s="55">
        <v>45683</v>
      </c>
      <c r="B44" s="2">
        <v>6.8</v>
      </c>
      <c r="C44" s="61">
        <v>0</v>
      </c>
      <c r="D44" s="71" t="s">
        <v>176</v>
      </c>
    </row>
    <row r="45" spans="1:4" x14ac:dyDescent="0.5">
      <c r="A45" s="55">
        <v>45684</v>
      </c>
      <c r="B45" s="2">
        <v>5</v>
      </c>
      <c r="C45" s="61">
        <v>1</v>
      </c>
      <c r="D45" s="72" t="s">
        <v>176</v>
      </c>
    </row>
    <row r="46" spans="1:4" x14ac:dyDescent="0.5">
      <c r="A46" s="55">
        <v>45685</v>
      </c>
      <c r="B46" s="2">
        <v>5.8</v>
      </c>
      <c r="C46" s="61">
        <v>1</v>
      </c>
      <c r="D46" s="71" t="s">
        <v>176</v>
      </c>
    </row>
    <row r="47" spans="1:4" x14ac:dyDescent="0.5">
      <c r="A47" s="55">
        <v>45686</v>
      </c>
      <c r="B47" s="2">
        <v>5.3</v>
      </c>
      <c r="C47" s="61">
        <v>0</v>
      </c>
      <c r="D47" s="72" t="s">
        <v>176</v>
      </c>
    </row>
    <row r="48" spans="1:4" x14ac:dyDescent="0.5">
      <c r="A48" s="55">
        <v>45687</v>
      </c>
      <c r="B48" s="2">
        <v>7.4</v>
      </c>
      <c r="C48" s="61">
        <v>1</v>
      </c>
      <c r="D48" s="71" t="s">
        <v>176</v>
      </c>
    </row>
    <row r="49" spans="1:4" ht="14.7" thickBot="1" x14ac:dyDescent="0.55000000000000004">
      <c r="A49" s="56">
        <v>45688</v>
      </c>
      <c r="B49" s="57">
        <v>8.5</v>
      </c>
      <c r="C49" s="61">
        <v>1</v>
      </c>
      <c r="D49" s="72" t="s">
        <v>176</v>
      </c>
    </row>
    <row r="50" spans="1:4" x14ac:dyDescent="0.5">
      <c r="A50" s="54">
        <v>45689</v>
      </c>
      <c r="B50" s="50">
        <v>4.8</v>
      </c>
      <c r="C50" s="61">
        <v>1</v>
      </c>
      <c r="D50" s="71" t="s">
        <v>176</v>
      </c>
    </row>
    <row r="51" spans="1:4" x14ac:dyDescent="0.5">
      <c r="A51" s="1">
        <v>45690</v>
      </c>
      <c r="B51" s="2">
        <v>4.5</v>
      </c>
      <c r="C51" s="61">
        <v>0</v>
      </c>
      <c r="D51" s="72" t="s">
        <v>176</v>
      </c>
    </row>
    <row r="52" spans="1:4" x14ac:dyDescent="0.5">
      <c r="A52" s="1">
        <v>45691</v>
      </c>
      <c r="B52" s="2">
        <v>5</v>
      </c>
      <c r="C52" s="61">
        <v>1</v>
      </c>
      <c r="D52" s="71" t="s">
        <v>176</v>
      </c>
    </row>
    <row r="53" spans="1:4" x14ac:dyDescent="0.5">
      <c r="A53" s="1">
        <v>45692</v>
      </c>
      <c r="B53" s="2">
        <v>2.2999999999999998</v>
      </c>
      <c r="C53" s="61">
        <v>1</v>
      </c>
      <c r="D53" s="38" t="s">
        <v>176</v>
      </c>
    </row>
    <row r="54" spans="1:4" x14ac:dyDescent="0.5">
      <c r="A54" s="1">
        <v>45693</v>
      </c>
      <c r="B54" s="2">
        <v>3.3</v>
      </c>
      <c r="C54" s="61">
        <v>0</v>
      </c>
      <c r="D54" s="38" t="s">
        <v>176</v>
      </c>
    </row>
    <row r="55" spans="1:4" x14ac:dyDescent="0.5">
      <c r="A55" s="1">
        <v>45694</v>
      </c>
      <c r="B55" s="2">
        <v>2</v>
      </c>
      <c r="C55" s="61">
        <v>1</v>
      </c>
      <c r="D55" s="38" t="s">
        <v>176</v>
      </c>
    </row>
    <row r="56" spans="1:4" x14ac:dyDescent="0.5">
      <c r="A56" s="1">
        <v>45695</v>
      </c>
      <c r="B56" s="2">
        <v>1.3</v>
      </c>
      <c r="C56" s="61">
        <v>0</v>
      </c>
      <c r="D56" s="38" t="s">
        <v>176</v>
      </c>
    </row>
    <row r="57" spans="1:4" x14ac:dyDescent="0.5">
      <c r="A57" s="1">
        <v>45696</v>
      </c>
      <c r="B57" s="2">
        <v>8.5</v>
      </c>
      <c r="C57" s="61">
        <v>1</v>
      </c>
      <c r="D57" s="38" t="s">
        <v>176</v>
      </c>
    </row>
    <row r="58" spans="1:4" x14ac:dyDescent="0.5">
      <c r="A58" s="1">
        <v>45697</v>
      </c>
      <c r="B58" s="2">
        <v>4.5</v>
      </c>
      <c r="C58" s="61">
        <v>0</v>
      </c>
      <c r="D58" s="38" t="s">
        <v>176</v>
      </c>
    </row>
    <row r="59" spans="1:4" x14ac:dyDescent="0.5">
      <c r="A59" s="1">
        <v>45698</v>
      </c>
      <c r="B59" s="2">
        <v>3.8</v>
      </c>
      <c r="C59" s="61">
        <v>1</v>
      </c>
      <c r="D59" s="38" t="s">
        <v>176</v>
      </c>
    </row>
    <row r="60" spans="1:4" x14ac:dyDescent="0.5">
      <c r="A60" s="1">
        <v>45699</v>
      </c>
      <c r="B60" s="2">
        <v>5.5</v>
      </c>
      <c r="C60" s="61">
        <v>1</v>
      </c>
      <c r="D60" s="38" t="s">
        <v>176</v>
      </c>
    </row>
    <row r="61" spans="1:4" x14ac:dyDescent="0.5">
      <c r="A61" s="1">
        <v>45700</v>
      </c>
      <c r="B61" s="2">
        <v>5.8</v>
      </c>
      <c r="C61" s="61">
        <v>1</v>
      </c>
      <c r="D61" s="38" t="s">
        <v>176</v>
      </c>
    </row>
    <row r="62" spans="1:4" x14ac:dyDescent="0.5">
      <c r="A62" s="1">
        <v>45701</v>
      </c>
      <c r="B62" s="2">
        <v>5.5</v>
      </c>
      <c r="C62" s="61">
        <v>0</v>
      </c>
      <c r="D62" s="38" t="s">
        <v>176</v>
      </c>
    </row>
    <row r="63" spans="1:4" x14ac:dyDescent="0.5">
      <c r="A63" s="1">
        <v>45702</v>
      </c>
      <c r="B63" s="2">
        <v>0</v>
      </c>
      <c r="C63" s="61">
        <v>0</v>
      </c>
      <c r="D63" s="38" t="s">
        <v>176</v>
      </c>
    </row>
    <row r="64" spans="1:4" x14ac:dyDescent="0.5">
      <c r="A64" s="1">
        <v>45703</v>
      </c>
      <c r="B64" s="2">
        <v>4.5</v>
      </c>
      <c r="C64" s="61">
        <v>1</v>
      </c>
      <c r="D64" s="38" t="s">
        <v>176</v>
      </c>
    </row>
    <row r="65" spans="1:4" x14ac:dyDescent="0.5">
      <c r="A65" s="1">
        <v>45704</v>
      </c>
      <c r="B65" s="2">
        <v>6.6</v>
      </c>
      <c r="C65" s="61">
        <v>1</v>
      </c>
      <c r="D65" s="38" t="s">
        <v>176</v>
      </c>
    </row>
    <row r="66" spans="1:4" x14ac:dyDescent="0.5">
      <c r="A66" s="1">
        <v>45705</v>
      </c>
      <c r="B66" s="2">
        <v>7.5</v>
      </c>
      <c r="C66" s="61">
        <v>1</v>
      </c>
      <c r="D66" s="38" t="s">
        <v>176</v>
      </c>
    </row>
    <row r="67" spans="1:4" x14ac:dyDescent="0.5">
      <c r="A67" s="1">
        <v>45706</v>
      </c>
      <c r="B67" s="2">
        <v>5</v>
      </c>
      <c r="C67" s="61">
        <v>1</v>
      </c>
      <c r="D67" s="38" t="s">
        <v>176</v>
      </c>
    </row>
    <row r="68" spans="1:4" x14ac:dyDescent="0.5">
      <c r="A68" s="1">
        <v>45707</v>
      </c>
      <c r="B68" s="2">
        <v>4.8</v>
      </c>
      <c r="C68" s="61">
        <v>0</v>
      </c>
      <c r="D68" s="38" t="s">
        <v>176</v>
      </c>
    </row>
    <row r="69" spans="1:4" x14ac:dyDescent="0.5">
      <c r="A69" s="1">
        <v>45708</v>
      </c>
      <c r="B69" s="2">
        <v>6.8</v>
      </c>
      <c r="C69" s="61">
        <v>1</v>
      </c>
      <c r="D69" s="38" t="s">
        <v>176</v>
      </c>
    </row>
    <row r="70" spans="1:4" x14ac:dyDescent="0.5">
      <c r="A70" s="1">
        <v>45709</v>
      </c>
      <c r="B70" s="2">
        <v>2.2000000000000002</v>
      </c>
      <c r="C70" s="61">
        <v>1</v>
      </c>
      <c r="D70" s="38" t="s">
        <v>176</v>
      </c>
    </row>
    <row r="71" spans="1:4" x14ac:dyDescent="0.5">
      <c r="A71" s="1">
        <v>45710</v>
      </c>
      <c r="B71" s="2">
        <v>5.5</v>
      </c>
      <c r="C71" s="61">
        <v>0</v>
      </c>
      <c r="D71" s="38" t="s">
        <v>176</v>
      </c>
    </row>
    <row r="72" spans="1:4" x14ac:dyDescent="0.5">
      <c r="A72" s="1">
        <v>45711</v>
      </c>
      <c r="B72" s="2">
        <v>4.5</v>
      </c>
      <c r="C72" s="61">
        <v>1</v>
      </c>
      <c r="D72" s="38" t="s">
        <v>176</v>
      </c>
    </row>
    <row r="73" spans="1:4" x14ac:dyDescent="0.5">
      <c r="A73" s="1">
        <v>45712</v>
      </c>
      <c r="B73" s="2">
        <v>6.5</v>
      </c>
      <c r="C73" s="61">
        <v>1</v>
      </c>
      <c r="D73" s="38" t="s">
        <v>176</v>
      </c>
    </row>
    <row r="74" spans="1:4" x14ac:dyDescent="0.5">
      <c r="A74" s="1">
        <v>45713</v>
      </c>
      <c r="B74" s="2">
        <v>4.5</v>
      </c>
      <c r="C74" s="61">
        <v>1</v>
      </c>
      <c r="D74" s="38" t="s">
        <v>176</v>
      </c>
    </row>
    <row r="75" spans="1:4" x14ac:dyDescent="0.5">
      <c r="A75" s="1">
        <v>45714</v>
      </c>
      <c r="B75" s="2">
        <v>7.5</v>
      </c>
      <c r="C75" s="61">
        <v>0</v>
      </c>
      <c r="D75" s="38" t="s">
        <v>176</v>
      </c>
    </row>
    <row r="76" spans="1:4" x14ac:dyDescent="0.5">
      <c r="A76" s="1">
        <v>45715</v>
      </c>
      <c r="B76" s="2">
        <v>5</v>
      </c>
      <c r="C76" s="61">
        <v>1</v>
      </c>
      <c r="D76" s="38" t="s">
        <v>176</v>
      </c>
    </row>
    <row r="77" spans="1:4" x14ac:dyDescent="0.5">
      <c r="A77" s="1">
        <v>45716</v>
      </c>
      <c r="B77" s="2">
        <v>5.5</v>
      </c>
      <c r="C77" s="61">
        <v>1</v>
      </c>
      <c r="D77" s="38" t="s">
        <v>176</v>
      </c>
    </row>
    <row r="78" spans="1:4" x14ac:dyDescent="0.5">
      <c r="A78" s="1">
        <v>45717</v>
      </c>
      <c r="B78" s="2">
        <v>5</v>
      </c>
      <c r="C78" s="61">
        <v>0</v>
      </c>
      <c r="D78" s="38" t="s">
        <v>176</v>
      </c>
    </row>
    <row r="79" spans="1:4" x14ac:dyDescent="0.5">
      <c r="A79" s="1">
        <v>45718</v>
      </c>
      <c r="B79" s="2">
        <v>4.8</v>
      </c>
      <c r="C79" s="61">
        <v>0</v>
      </c>
      <c r="D79" s="38" t="s">
        <v>176</v>
      </c>
    </row>
    <row r="80" spans="1:4" x14ac:dyDescent="0.5">
      <c r="A80" s="1">
        <v>45719</v>
      </c>
      <c r="B80" s="2">
        <v>3</v>
      </c>
      <c r="C80" s="61">
        <v>1</v>
      </c>
      <c r="D80" s="38" t="s">
        <v>176</v>
      </c>
    </row>
    <row r="81" spans="1:4" x14ac:dyDescent="0.5">
      <c r="A81" s="1">
        <v>45720</v>
      </c>
      <c r="B81" s="2">
        <v>4</v>
      </c>
      <c r="C81" s="61">
        <v>1</v>
      </c>
      <c r="D81" s="38" t="s">
        <v>176</v>
      </c>
    </row>
    <row r="82" spans="1:4" x14ac:dyDescent="0.5">
      <c r="A82" s="1">
        <v>45721</v>
      </c>
      <c r="B82" s="2">
        <v>5</v>
      </c>
      <c r="C82" s="61">
        <v>0</v>
      </c>
      <c r="D82" s="38" t="s">
        <v>176</v>
      </c>
    </row>
    <row r="83" spans="1:4" x14ac:dyDescent="0.5">
      <c r="A83" s="1">
        <v>45722</v>
      </c>
      <c r="B83" s="2">
        <v>6.5</v>
      </c>
      <c r="C83" s="61">
        <v>0</v>
      </c>
      <c r="D83" s="38" t="s">
        <v>176</v>
      </c>
    </row>
    <row r="84" spans="1:4" x14ac:dyDescent="0.5">
      <c r="A84" s="1">
        <v>45723</v>
      </c>
      <c r="B84" s="2">
        <v>6</v>
      </c>
      <c r="C84" s="61">
        <v>1</v>
      </c>
      <c r="D84" s="38" t="s">
        <v>176</v>
      </c>
    </row>
    <row r="85" spans="1:4" x14ac:dyDescent="0.5">
      <c r="A85" s="1">
        <v>45724</v>
      </c>
      <c r="B85" s="2">
        <v>6.1</v>
      </c>
      <c r="C85" s="61">
        <v>1</v>
      </c>
      <c r="D85" s="38" t="s">
        <v>176</v>
      </c>
    </row>
    <row r="86" spans="1:4" x14ac:dyDescent="0.5">
      <c r="A86" s="1">
        <v>45725</v>
      </c>
      <c r="B86" s="2">
        <v>8</v>
      </c>
      <c r="C86" s="61">
        <v>0</v>
      </c>
      <c r="D86" s="38" t="s">
        <v>176</v>
      </c>
    </row>
    <row r="87" spans="1:4" x14ac:dyDescent="0.5">
      <c r="A87" s="1">
        <v>45726</v>
      </c>
      <c r="B87" s="2">
        <v>4.5</v>
      </c>
      <c r="C87" s="61">
        <v>1</v>
      </c>
      <c r="D87" s="38" t="s">
        <v>176</v>
      </c>
    </row>
    <row r="88" spans="1:4" x14ac:dyDescent="0.5">
      <c r="A88" s="1">
        <v>45727</v>
      </c>
      <c r="B88" s="2">
        <v>7</v>
      </c>
      <c r="C88" s="61">
        <v>1</v>
      </c>
      <c r="D88" s="38" t="s">
        <v>176</v>
      </c>
    </row>
    <row r="89" spans="1:4" x14ac:dyDescent="0.5">
      <c r="A89" s="1">
        <v>45728</v>
      </c>
      <c r="B89" s="2">
        <v>4.8</v>
      </c>
      <c r="C89" s="61">
        <v>1</v>
      </c>
      <c r="D89" s="38" t="s">
        <v>176</v>
      </c>
    </row>
    <row r="90" spans="1:4" x14ac:dyDescent="0.5">
      <c r="A90" s="1">
        <v>45729</v>
      </c>
      <c r="B90" s="2">
        <v>5</v>
      </c>
      <c r="C90" s="61">
        <v>1</v>
      </c>
      <c r="D90" s="38" t="s">
        <v>176</v>
      </c>
    </row>
    <row r="91" spans="1:4" x14ac:dyDescent="0.5">
      <c r="A91" s="1">
        <v>45730</v>
      </c>
      <c r="B91" s="2">
        <v>4</v>
      </c>
      <c r="C91" s="61">
        <v>0</v>
      </c>
      <c r="D91" s="38" t="s">
        <v>176</v>
      </c>
    </row>
    <row r="92" spans="1:4" x14ac:dyDescent="0.5">
      <c r="A92" s="1">
        <v>45731</v>
      </c>
      <c r="B92" s="2">
        <v>4</v>
      </c>
      <c r="C92" s="61">
        <v>0</v>
      </c>
      <c r="D92" s="38" t="s">
        <v>176</v>
      </c>
    </row>
    <row r="93" spans="1:4" x14ac:dyDescent="0.5">
      <c r="A93" s="1">
        <v>45732</v>
      </c>
      <c r="B93" s="2">
        <v>5</v>
      </c>
      <c r="C93" s="61">
        <v>1</v>
      </c>
      <c r="D93" s="38" t="s">
        <v>176</v>
      </c>
    </row>
    <row r="94" spans="1:4" x14ac:dyDescent="0.5">
      <c r="A94" s="1">
        <v>45733</v>
      </c>
      <c r="B94" s="2">
        <v>4.2</v>
      </c>
      <c r="C94" s="61">
        <v>0</v>
      </c>
      <c r="D94" s="38" t="s">
        <v>176</v>
      </c>
    </row>
    <row r="95" spans="1:4" x14ac:dyDescent="0.5">
      <c r="A95" s="1">
        <v>45734</v>
      </c>
      <c r="B95" s="2">
        <v>5.5</v>
      </c>
      <c r="C95" s="61">
        <v>1</v>
      </c>
      <c r="D95" s="38" t="s">
        <v>176</v>
      </c>
    </row>
    <row r="96" spans="1:4" x14ac:dyDescent="0.5">
      <c r="A96" s="1">
        <v>45735</v>
      </c>
      <c r="B96" s="2">
        <v>3</v>
      </c>
      <c r="C96" s="61">
        <v>0</v>
      </c>
      <c r="D96" s="38" t="s">
        <v>176</v>
      </c>
    </row>
    <row r="97" spans="1:4" x14ac:dyDescent="0.5">
      <c r="A97" s="1">
        <v>45736</v>
      </c>
      <c r="B97" s="2">
        <v>5</v>
      </c>
      <c r="C97" s="61">
        <v>1</v>
      </c>
      <c r="D97" s="38" t="s">
        <v>176</v>
      </c>
    </row>
    <row r="98" spans="1:4" x14ac:dyDescent="0.5">
      <c r="A98" s="1">
        <v>45737</v>
      </c>
      <c r="B98" s="2">
        <v>5</v>
      </c>
      <c r="C98" s="61">
        <v>1</v>
      </c>
      <c r="D98" s="38" t="s">
        <v>176</v>
      </c>
    </row>
    <row r="99" spans="1:4" x14ac:dyDescent="0.5">
      <c r="A99" s="1">
        <v>45738</v>
      </c>
      <c r="B99" s="2">
        <v>7.5</v>
      </c>
      <c r="C99" s="61">
        <v>1</v>
      </c>
      <c r="D99" s="38" t="s">
        <v>176</v>
      </c>
    </row>
    <row r="100" spans="1:4" x14ac:dyDescent="0.5">
      <c r="A100" s="1">
        <v>45739</v>
      </c>
      <c r="B100" s="2">
        <v>7</v>
      </c>
      <c r="C100" s="61">
        <v>1</v>
      </c>
      <c r="D100" s="38" t="s">
        <v>176</v>
      </c>
    </row>
    <row r="101" spans="1:4" x14ac:dyDescent="0.5">
      <c r="A101" s="1">
        <v>45740</v>
      </c>
      <c r="B101" s="2">
        <v>4</v>
      </c>
      <c r="C101" s="61">
        <v>0</v>
      </c>
      <c r="D101" s="38" t="s">
        <v>176</v>
      </c>
    </row>
    <row r="102" spans="1:4" x14ac:dyDescent="0.5">
      <c r="A102" s="1">
        <v>45741</v>
      </c>
      <c r="B102" s="2">
        <v>5.5</v>
      </c>
      <c r="C102" s="61">
        <v>1</v>
      </c>
      <c r="D102" s="38" t="s">
        <v>176</v>
      </c>
    </row>
    <row r="103" spans="1:4" x14ac:dyDescent="0.5">
      <c r="A103" s="1">
        <v>45742</v>
      </c>
      <c r="B103" s="2">
        <v>6</v>
      </c>
      <c r="C103" s="61">
        <v>1</v>
      </c>
      <c r="D103" s="38" t="s">
        <v>176</v>
      </c>
    </row>
    <row r="104" spans="1:4" x14ac:dyDescent="0.5">
      <c r="A104" s="1">
        <v>45743</v>
      </c>
      <c r="B104" s="2">
        <v>5.2</v>
      </c>
      <c r="C104" s="61">
        <v>1</v>
      </c>
      <c r="D104" s="38" t="s">
        <v>176</v>
      </c>
    </row>
    <row r="105" spans="1:4" x14ac:dyDescent="0.5">
      <c r="A105" s="1">
        <v>45744</v>
      </c>
      <c r="B105" s="2">
        <v>4.5</v>
      </c>
      <c r="C105" s="61">
        <v>1</v>
      </c>
      <c r="D105" s="38" t="s">
        <v>176</v>
      </c>
    </row>
    <row r="106" spans="1:4" x14ac:dyDescent="0.5">
      <c r="A106" s="1">
        <v>45745</v>
      </c>
      <c r="B106" s="2">
        <v>4</v>
      </c>
      <c r="C106" s="61">
        <v>0</v>
      </c>
      <c r="D106" s="38" t="s">
        <v>176</v>
      </c>
    </row>
    <row r="107" spans="1:4" x14ac:dyDescent="0.5">
      <c r="A107" s="1">
        <v>45746</v>
      </c>
      <c r="B107" s="2">
        <v>6.5</v>
      </c>
      <c r="C107" s="61">
        <v>1</v>
      </c>
      <c r="D107" s="38" t="s">
        <v>176</v>
      </c>
    </row>
    <row r="108" spans="1:4" x14ac:dyDescent="0.5">
      <c r="A108" s="1">
        <v>45747</v>
      </c>
      <c r="B108" s="2">
        <v>5.5</v>
      </c>
      <c r="C108" s="61">
        <v>1</v>
      </c>
      <c r="D108" s="38" t="s">
        <v>176</v>
      </c>
    </row>
    <row r="109" spans="1:4" x14ac:dyDescent="0.5">
      <c r="A109" s="1">
        <v>45748</v>
      </c>
      <c r="B109" s="2">
        <v>4.8</v>
      </c>
      <c r="C109" s="61">
        <v>1</v>
      </c>
      <c r="D109" s="38" t="s">
        <v>176</v>
      </c>
    </row>
    <row r="110" spans="1:4" x14ac:dyDescent="0.5">
      <c r="A110" s="1">
        <v>45749</v>
      </c>
      <c r="B110" s="2">
        <v>4.2</v>
      </c>
      <c r="C110" s="61">
        <v>1</v>
      </c>
      <c r="D110" s="38" t="s">
        <v>176</v>
      </c>
    </row>
    <row r="111" spans="1:4" x14ac:dyDescent="0.5">
      <c r="A111" s="1">
        <v>45750</v>
      </c>
      <c r="B111" s="2">
        <v>4</v>
      </c>
      <c r="C111" s="61">
        <v>1</v>
      </c>
      <c r="D111" s="38" t="s">
        <v>176</v>
      </c>
    </row>
    <row r="112" spans="1:4" x14ac:dyDescent="0.5">
      <c r="A112" s="1">
        <v>45751</v>
      </c>
      <c r="B112" s="2">
        <v>0</v>
      </c>
      <c r="C112" s="61">
        <v>1</v>
      </c>
      <c r="D112" s="38" t="s">
        <v>176</v>
      </c>
    </row>
    <row r="113" spans="1:4" x14ac:dyDescent="0.5">
      <c r="A113" s="1">
        <v>45752</v>
      </c>
      <c r="B113" s="2">
        <v>0.5</v>
      </c>
      <c r="C113" s="61">
        <v>1</v>
      </c>
      <c r="D113" s="38" t="s">
        <v>176</v>
      </c>
    </row>
    <row r="114" spans="1:4" x14ac:dyDescent="0.5">
      <c r="A114" s="1">
        <v>45753</v>
      </c>
      <c r="B114" s="2">
        <v>5.2</v>
      </c>
      <c r="C114" s="61">
        <v>1</v>
      </c>
      <c r="D114" s="38" t="s">
        <v>176</v>
      </c>
    </row>
    <row r="115" spans="1:4" x14ac:dyDescent="0.5">
      <c r="A115" s="1">
        <v>45754</v>
      </c>
      <c r="B115" s="2">
        <v>6</v>
      </c>
      <c r="C115" s="61">
        <v>0.9</v>
      </c>
      <c r="D115" s="38" t="s">
        <v>176</v>
      </c>
    </row>
    <row r="116" spans="1:4" x14ac:dyDescent="0.5">
      <c r="A116" s="1">
        <v>45755</v>
      </c>
      <c r="B116" s="2">
        <v>4.8</v>
      </c>
      <c r="C116" s="61">
        <v>1</v>
      </c>
      <c r="D116" s="38" t="s">
        <v>176</v>
      </c>
    </row>
    <row r="117" spans="1:4" x14ac:dyDescent="0.5">
      <c r="A117" s="1">
        <v>45756</v>
      </c>
      <c r="B117" s="2">
        <v>1</v>
      </c>
      <c r="C117" s="61">
        <v>1</v>
      </c>
      <c r="D117" s="38" t="s">
        <v>176</v>
      </c>
    </row>
    <row r="118" spans="1:4" x14ac:dyDescent="0.5">
      <c r="A118" s="1">
        <v>45757</v>
      </c>
      <c r="B118" s="2">
        <v>4</v>
      </c>
      <c r="C118" s="61">
        <v>1</v>
      </c>
      <c r="D118" s="38" t="s">
        <v>176</v>
      </c>
    </row>
    <row r="119" spans="1:4" x14ac:dyDescent="0.5">
      <c r="A119" s="1">
        <v>45758</v>
      </c>
      <c r="B119" s="2">
        <v>5</v>
      </c>
      <c r="C119" s="61">
        <v>1</v>
      </c>
      <c r="D119" s="38" t="s">
        <v>176</v>
      </c>
    </row>
    <row r="120" spans="1:4" x14ac:dyDescent="0.5">
      <c r="A120" s="1">
        <v>45759</v>
      </c>
      <c r="B120" s="2">
        <v>6</v>
      </c>
      <c r="C120" s="61">
        <v>0</v>
      </c>
      <c r="D120" s="38" t="s">
        <v>176</v>
      </c>
    </row>
    <row r="121" spans="1:4" x14ac:dyDescent="0.5">
      <c r="A121" s="1">
        <v>45760</v>
      </c>
      <c r="B121" s="2">
        <v>6.5</v>
      </c>
      <c r="C121" s="61">
        <v>1</v>
      </c>
      <c r="D121" s="38" t="s">
        <v>176</v>
      </c>
    </row>
    <row r="122" spans="1:4" x14ac:dyDescent="0.5">
      <c r="A122" s="1">
        <v>45761</v>
      </c>
      <c r="B122" s="2">
        <v>7</v>
      </c>
      <c r="C122" s="61">
        <v>1</v>
      </c>
      <c r="D122" s="38" t="s">
        <v>176</v>
      </c>
    </row>
    <row r="123" spans="1:4" x14ac:dyDescent="0.5">
      <c r="A123" s="1">
        <v>45762</v>
      </c>
      <c r="B123" s="2">
        <v>6</v>
      </c>
      <c r="C123" s="61">
        <v>1</v>
      </c>
      <c r="D123" s="38" t="s">
        <v>176</v>
      </c>
    </row>
    <row r="124" spans="1:4" x14ac:dyDescent="0.5">
      <c r="A124" s="1">
        <v>45763</v>
      </c>
      <c r="B124" s="2">
        <v>5</v>
      </c>
      <c r="C124" s="61">
        <v>0</v>
      </c>
      <c r="D124" s="38" t="s">
        <v>176</v>
      </c>
    </row>
    <row r="125" spans="1:4" x14ac:dyDescent="0.5">
      <c r="A125" s="1">
        <v>45764</v>
      </c>
      <c r="B125" s="2">
        <v>7</v>
      </c>
      <c r="C125" s="61">
        <v>1</v>
      </c>
      <c r="D125" s="38" t="s">
        <v>176</v>
      </c>
    </row>
    <row r="126" spans="1:4" x14ac:dyDescent="0.5">
      <c r="A126" s="1">
        <v>45765</v>
      </c>
      <c r="B126" s="2">
        <v>5</v>
      </c>
      <c r="C126" s="61">
        <v>0</v>
      </c>
      <c r="D126" s="38" t="s">
        <v>176</v>
      </c>
    </row>
    <row r="127" spans="1:4" x14ac:dyDescent="0.5">
      <c r="A127" s="1">
        <v>45766</v>
      </c>
      <c r="B127" s="2">
        <v>5</v>
      </c>
      <c r="C127" s="61">
        <v>1</v>
      </c>
      <c r="D127" s="38" t="s">
        <v>176</v>
      </c>
    </row>
    <row r="128" spans="1:4" x14ac:dyDescent="0.5">
      <c r="A128" s="1">
        <v>45767</v>
      </c>
      <c r="B128" s="2">
        <v>3</v>
      </c>
      <c r="C128" s="61">
        <v>0</v>
      </c>
      <c r="D128" s="38" t="s">
        <v>176</v>
      </c>
    </row>
    <row r="129" spans="1:4" x14ac:dyDescent="0.5">
      <c r="A129" s="1">
        <v>45768</v>
      </c>
      <c r="B129" s="2">
        <v>5</v>
      </c>
      <c r="C129" s="61">
        <v>1</v>
      </c>
      <c r="D129" s="38" t="s">
        <v>176</v>
      </c>
    </row>
    <row r="130" spans="1:4" x14ac:dyDescent="0.5">
      <c r="A130" s="1">
        <v>45769</v>
      </c>
      <c r="B130" s="2">
        <v>3.5</v>
      </c>
      <c r="C130" s="61">
        <v>1</v>
      </c>
      <c r="D130" s="38" t="s">
        <v>176</v>
      </c>
    </row>
    <row r="131" spans="1:4" x14ac:dyDescent="0.5">
      <c r="A131" s="1">
        <v>45770</v>
      </c>
      <c r="B131" s="2">
        <v>2</v>
      </c>
      <c r="C131" s="61">
        <v>0</v>
      </c>
      <c r="D131" s="38" t="s">
        <v>176</v>
      </c>
    </row>
    <row r="132" spans="1:4" x14ac:dyDescent="0.5">
      <c r="A132" s="1">
        <v>45771</v>
      </c>
      <c r="B132" s="2">
        <v>5</v>
      </c>
      <c r="C132" s="61">
        <v>0</v>
      </c>
      <c r="D132" s="38" t="s">
        <v>176</v>
      </c>
    </row>
    <row r="133" spans="1:4" x14ac:dyDescent="0.5">
      <c r="A133" s="1">
        <v>45772</v>
      </c>
      <c r="B133" s="2">
        <v>7</v>
      </c>
      <c r="C133" s="61">
        <v>1</v>
      </c>
      <c r="D133" s="38" t="s">
        <v>176</v>
      </c>
    </row>
    <row r="134" spans="1:4" x14ac:dyDescent="0.5">
      <c r="A134" s="1">
        <v>45773</v>
      </c>
      <c r="B134" s="2">
        <v>4.8</v>
      </c>
      <c r="C134" s="61">
        <v>1</v>
      </c>
      <c r="D134" s="38" t="s">
        <v>176</v>
      </c>
    </row>
    <row r="135" spans="1:4" x14ac:dyDescent="0.5">
      <c r="A135" s="1">
        <v>45774</v>
      </c>
      <c r="B135" s="2">
        <v>5</v>
      </c>
      <c r="C135" s="61">
        <v>0</v>
      </c>
      <c r="D135" s="38" t="s">
        <v>176</v>
      </c>
    </row>
    <row r="136" spans="1:4" x14ac:dyDescent="0.5">
      <c r="A136" s="1">
        <v>45775</v>
      </c>
      <c r="B136" s="2">
        <v>7</v>
      </c>
      <c r="C136" s="61">
        <v>1</v>
      </c>
      <c r="D136" s="38" t="s">
        <v>176</v>
      </c>
    </row>
    <row r="137" spans="1:4" x14ac:dyDescent="0.5">
      <c r="A137" s="1">
        <v>45776</v>
      </c>
      <c r="B137" s="2">
        <v>9</v>
      </c>
      <c r="C137" s="61">
        <v>0</v>
      </c>
      <c r="D137" s="38" t="s">
        <v>263</v>
      </c>
    </row>
    <row r="138" spans="1:4" x14ac:dyDescent="0.5">
      <c r="A138" s="1">
        <v>45777</v>
      </c>
      <c r="B138" s="2">
        <v>8.3000000000000007</v>
      </c>
      <c r="C138" s="61">
        <v>1</v>
      </c>
      <c r="D138" s="38" t="s">
        <v>276</v>
      </c>
    </row>
    <row r="139" spans="1:4" x14ac:dyDescent="0.5">
      <c r="A139" s="1">
        <v>45778</v>
      </c>
      <c r="B139" s="2">
        <v>6.2</v>
      </c>
      <c r="C139" s="61">
        <v>1</v>
      </c>
      <c r="D139" s="38" t="s">
        <v>194</v>
      </c>
    </row>
    <row r="140" spans="1:4" x14ac:dyDescent="0.5">
      <c r="A140" s="1">
        <v>45779</v>
      </c>
      <c r="B140" s="2">
        <v>7.3</v>
      </c>
      <c r="C140" s="61">
        <v>0.9</v>
      </c>
      <c r="D140" s="38" t="s">
        <v>194</v>
      </c>
    </row>
    <row r="141" spans="1:4" x14ac:dyDescent="0.5">
      <c r="A141" s="1">
        <v>45780</v>
      </c>
      <c r="B141" s="2">
        <v>8</v>
      </c>
      <c r="C141" s="61">
        <v>0</v>
      </c>
      <c r="D141" s="38" t="s">
        <v>194</v>
      </c>
    </row>
    <row r="142" spans="1:4" x14ac:dyDescent="0.5">
      <c r="A142" s="1">
        <v>45781</v>
      </c>
      <c r="B142" s="2">
        <v>5.5</v>
      </c>
      <c r="C142" s="61">
        <v>0</v>
      </c>
      <c r="D142" s="38" t="s">
        <v>194</v>
      </c>
    </row>
    <row r="143" spans="1:4" x14ac:dyDescent="0.5">
      <c r="A143" s="1">
        <v>45782</v>
      </c>
      <c r="B143" s="2">
        <v>5.8</v>
      </c>
      <c r="C143" s="61">
        <v>0</v>
      </c>
      <c r="D143" s="38" t="s">
        <v>194</v>
      </c>
    </row>
    <row r="144" spans="1:4" x14ac:dyDescent="0.5">
      <c r="A144" s="1">
        <v>45783</v>
      </c>
      <c r="B144" s="2">
        <v>5.4</v>
      </c>
      <c r="C144" s="61">
        <v>0</v>
      </c>
      <c r="D144" s="38" t="s">
        <v>194</v>
      </c>
    </row>
    <row r="145" spans="1:4" x14ac:dyDescent="0.5">
      <c r="A145" s="1">
        <v>45784</v>
      </c>
      <c r="B145" s="2">
        <v>5.2</v>
      </c>
      <c r="C145" s="61">
        <v>0</v>
      </c>
      <c r="D145" s="38" t="s">
        <v>194</v>
      </c>
    </row>
    <row r="146" spans="1:4" x14ac:dyDescent="0.5">
      <c r="A146" s="1">
        <v>45785</v>
      </c>
      <c r="B146" s="2">
        <v>5.2</v>
      </c>
      <c r="C146" s="61">
        <v>0</v>
      </c>
      <c r="D146" s="38" t="s">
        <v>194</v>
      </c>
    </row>
    <row r="147" spans="1:4" x14ac:dyDescent="0.5">
      <c r="A147" s="1">
        <v>45786</v>
      </c>
      <c r="B147" s="2">
        <v>6</v>
      </c>
      <c r="C147" s="61">
        <v>0</v>
      </c>
      <c r="D147" s="38" t="s">
        <v>194</v>
      </c>
    </row>
    <row r="148" spans="1:4" x14ac:dyDescent="0.5">
      <c r="A148" s="1">
        <v>45787</v>
      </c>
      <c r="B148" s="2">
        <v>7</v>
      </c>
      <c r="C148" s="61">
        <v>1</v>
      </c>
      <c r="D148" s="38" t="s">
        <v>194</v>
      </c>
    </row>
    <row r="149" spans="1:4" x14ac:dyDescent="0.5">
      <c r="A149" s="1">
        <v>45788</v>
      </c>
      <c r="B149" s="2">
        <v>6.8</v>
      </c>
      <c r="C149" s="61">
        <v>0</v>
      </c>
      <c r="D149" s="38" t="s">
        <v>194</v>
      </c>
    </row>
    <row r="150" spans="1:4" x14ac:dyDescent="0.5">
      <c r="A150" s="1">
        <v>45789</v>
      </c>
      <c r="B150" s="2">
        <v>9</v>
      </c>
      <c r="C150" s="61">
        <v>0</v>
      </c>
      <c r="D150" s="38" t="s">
        <v>282</v>
      </c>
    </row>
    <row r="151" spans="1:4" x14ac:dyDescent="0.5">
      <c r="A151" s="1">
        <v>45790</v>
      </c>
      <c r="B151" s="2">
        <v>5.5</v>
      </c>
      <c r="C151" s="61">
        <v>0</v>
      </c>
      <c r="D151" s="38" t="s">
        <v>282</v>
      </c>
    </row>
    <row r="152" spans="1:4" x14ac:dyDescent="0.5">
      <c r="A152" s="1">
        <v>45791</v>
      </c>
      <c r="B152" s="2">
        <v>5.4</v>
      </c>
      <c r="C152" s="61">
        <v>0</v>
      </c>
      <c r="D152" s="38" t="s">
        <v>194</v>
      </c>
    </row>
    <row r="153" spans="1:4" x14ac:dyDescent="0.5">
      <c r="A153" s="1">
        <v>45792</v>
      </c>
      <c r="B153" s="2">
        <v>5.3</v>
      </c>
      <c r="C153" s="61">
        <v>0</v>
      </c>
      <c r="D153" s="38" t="s">
        <v>194</v>
      </c>
    </row>
    <row r="154" spans="1:4" x14ac:dyDescent="0.5">
      <c r="A154" s="1">
        <v>45793</v>
      </c>
      <c r="B154" s="2">
        <v>5.2</v>
      </c>
      <c r="C154" s="61">
        <v>0</v>
      </c>
      <c r="D154" s="38" t="s">
        <v>194</v>
      </c>
    </row>
    <row r="155" spans="1:4" x14ac:dyDescent="0.5">
      <c r="A155" s="1">
        <v>45794</v>
      </c>
      <c r="B155" s="2">
        <v>6.5</v>
      </c>
      <c r="C155" s="61">
        <v>1</v>
      </c>
      <c r="D155" s="38" t="s">
        <v>194</v>
      </c>
    </row>
    <row r="156" spans="1:4" x14ac:dyDescent="0.5">
      <c r="A156" s="1">
        <v>45795</v>
      </c>
      <c r="B156" s="2">
        <v>7</v>
      </c>
      <c r="C156" s="61">
        <v>0</v>
      </c>
      <c r="D156" s="38" t="s">
        <v>194</v>
      </c>
    </row>
    <row r="157" spans="1:4" x14ac:dyDescent="0.5">
      <c r="A157" s="1">
        <v>45796</v>
      </c>
      <c r="B157" s="2">
        <v>4.5</v>
      </c>
      <c r="C157" s="61">
        <v>0</v>
      </c>
      <c r="D157" s="38" t="s">
        <v>194</v>
      </c>
    </row>
    <row r="158" spans="1:4" x14ac:dyDescent="0.5">
      <c r="A158" s="1">
        <v>45797</v>
      </c>
      <c r="B158" s="2">
        <v>4.5</v>
      </c>
      <c r="C158" s="61">
        <v>0</v>
      </c>
      <c r="D158" s="38" t="s">
        <v>194</v>
      </c>
    </row>
    <row r="159" spans="1:4" x14ac:dyDescent="0.5">
      <c r="A159" s="1">
        <v>45798</v>
      </c>
      <c r="B159" s="2">
        <v>6</v>
      </c>
      <c r="C159" s="61">
        <v>1</v>
      </c>
      <c r="D159" s="38" t="s">
        <v>194</v>
      </c>
    </row>
    <row r="160" spans="1:4" x14ac:dyDescent="0.5">
      <c r="A160" s="1">
        <v>45799</v>
      </c>
      <c r="B160" s="2">
        <v>7</v>
      </c>
      <c r="C160" s="61">
        <v>1</v>
      </c>
      <c r="D160" s="38" t="s">
        <v>194</v>
      </c>
    </row>
    <row r="161" spans="1:4" x14ac:dyDescent="0.5">
      <c r="A161" s="1">
        <v>45800</v>
      </c>
      <c r="B161" s="2">
        <v>5</v>
      </c>
      <c r="C161" s="61">
        <v>1</v>
      </c>
      <c r="D161" s="38" t="s">
        <v>194</v>
      </c>
    </row>
    <row r="162" spans="1:4" x14ac:dyDescent="0.5">
      <c r="A162" s="1">
        <v>45801</v>
      </c>
      <c r="B162" s="2">
        <v>7</v>
      </c>
      <c r="C162" s="61">
        <v>0</v>
      </c>
      <c r="D162" s="38" t="s">
        <v>194</v>
      </c>
    </row>
    <row r="163" spans="1:4" x14ac:dyDescent="0.5">
      <c r="A163" s="1">
        <v>45802</v>
      </c>
      <c r="B163" s="2">
        <v>7</v>
      </c>
      <c r="C163" s="61">
        <v>0</v>
      </c>
      <c r="D163" s="38" t="s">
        <v>194</v>
      </c>
    </row>
    <row r="164" spans="1:4" x14ac:dyDescent="0.5">
      <c r="A164" s="1">
        <v>45803</v>
      </c>
      <c r="B164" s="2">
        <v>6.5</v>
      </c>
      <c r="C164" s="61">
        <v>1</v>
      </c>
      <c r="D164" s="38" t="s">
        <v>194</v>
      </c>
    </row>
    <row r="165" spans="1:4" x14ac:dyDescent="0.5">
      <c r="A165" s="1">
        <v>45804</v>
      </c>
      <c r="B165" s="2">
        <v>5.5</v>
      </c>
      <c r="C165" s="61">
        <v>1</v>
      </c>
      <c r="D165" s="38" t="s">
        <v>194</v>
      </c>
    </row>
    <row r="166" spans="1:4" x14ac:dyDescent="0.5">
      <c r="A166" s="1">
        <v>45805</v>
      </c>
      <c r="B166" s="2">
        <v>5</v>
      </c>
      <c r="C166" s="61">
        <v>1</v>
      </c>
      <c r="D166" s="38" t="s">
        <v>194</v>
      </c>
    </row>
    <row r="167" spans="1:4" x14ac:dyDescent="0.5">
      <c r="A167" s="1">
        <v>45806</v>
      </c>
      <c r="B167" s="2">
        <v>5</v>
      </c>
      <c r="C167" s="61">
        <v>1</v>
      </c>
      <c r="D167" s="38" t="s">
        <v>194</v>
      </c>
    </row>
    <row r="168" spans="1:4" x14ac:dyDescent="0.5">
      <c r="A168" s="1">
        <v>45807</v>
      </c>
      <c r="B168" s="2">
        <v>3.5</v>
      </c>
      <c r="C168" s="61">
        <v>1</v>
      </c>
      <c r="D168" s="38" t="s">
        <v>194</v>
      </c>
    </row>
    <row r="169" spans="1:4" x14ac:dyDescent="0.5">
      <c r="A169" s="1">
        <v>45808</v>
      </c>
      <c r="B169" s="2">
        <v>4</v>
      </c>
      <c r="C169" s="61">
        <v>1</v>
      </c>
      <c r="D169" s="38" t="s">
        <v>194</v>
      </c>
    </row>
    <row r="170" spans="1:4" x14ac:dyDescent="0.5">
      <c r="A170" s="1">
        <v>45809</v>
      </c>
      <c r="B170" s="2">
        <v>5</v>
      </c>
      <c r="C170" s="61">
        <v>1</v>
      </c>
      <c r="D170" s="38" t="s">
        <v>194</v>
      </c>
    </row>
    <row r="171" spans="1:4" x14ac:dyDescent="0.5">
      <c r="A171" s="1">
        <v>45810</v>
      </c>
      <c r="B171" s="2">
        <v>0</v>
      </c>
      <c r="C171" s="61">
        <v>0</v>
      </c>
      <c r="D171" s="38" t="s">
        <v>194</v>
      </c>
    </row>
    <row r="172" spans="1:4" x14ac:dyDescent="0.5">
      <c r="A172" s="1">
        <v>45811</v>
      </c>
      <c r="B172" s="2">
        <v>4</v>
      </c>
      <c r="C172" s="61">
        <v>0</v>
      </c>
      <c r="D172" s="38" t="s">
        <v>194</v>
      </c>
    </row>
    <row r="173" spans="1:4" x14ac:dyDescent="0.5">
      <c r="A173" s="1">
        <v>45812</v>
      </c>
      <c r="B173" s="2">
        <v>4</v>
      </c>
      <c r="C173" s="61">
        <v>0</v>
      </c>
      <c r="D173" s="38" t="s">
        <v>194</v>
      </c>
    </row>
    <row r="174" spans="1:4" x14ac:dyDescent="0.5">
      <c r="A174" s="1">
        <v>45813</v>
      </c>
      <c r="B174" s="2">
        <v>6</v>
      </c>
      <c r="C174" s="61">
        <v>0</v>
      </c>
      <c r="D174" s="38" t="s">
        <v>194</v>
      </c>
    </row>
    <row r="175" spans="1:4" x14ac:dyDescent="0.5">
      <c r="A175" s="1">
        <v>45814</v>
      </c>
      <c r="B175" s="2">
        <v>5</v>
      </c>
      <c r="C175" s="61">
        <v>0</v>
      </c>
      <c r="D175" s="38" t="s">
        <v>194</v>
      </c>
    </row>
    <row r="176" spans="1:4" x14ac:dyDescent="0.5">
      <c r="A176" s="1">
        <v>45815</v>
      </c>
      <c r="B176" s="2">
        <v>5.5</v>
      </c>
      <c r="C176" s="61">
        <v>0</v>
      </c>
      <c r="D176" s="38" t="s">
        <v>194</v>
      </c>
    </row>
    <row r="177" spans="1:4" x14ac:dyDescent="0.5">
      <c r="A177" s="1">
        <v>45816</v>
      </c>
      <c r="B177" s="2">
        <v>6</v>
      </c>
      <c r="C177" s="61">
        <v>0</v>
      </c>
      <c r="D177" s="38" t="s">
        <v>194</v>
      </c>
    </row>
    <row r="178" spans="1:4" x14ac:dyDescent="0.5">
      <c r="A178" s="1">
        <v>45817</v>
      </c>
      <c r="B178" s="2">
        <v>4</v>
      </c>
      <c r="C178" s="61">
        <v>0</v>
      </c>
      <c r="D178" s="38" t="s">
        <v>194</v>
      </c>
    </row>
    <row r="179" spans="1:4" x14ac:dyDescent="0.5">
      <c r="A179" s="1">
        <v>45818</v>
      </c>
      <c r="B179" s="2">
        <v>5</v>
      </c>
      <c r="C179" s="61">
        <v>0</v>
      </c>
      <c r="D179" s="38" t="s">
        <v>194</v>
      </c>
    </row>
    <row r="180" spans="1:4" x14ac:dyDescent="0.5">
      <c r="A180" s="1">
        <v>45819</v>
      </c>
      <c r="B180" s="2">
        <v>2</v>
      </c>
      <c r="C180" s="61">
        <v>1</v>
      </c>
      <c r="D180" s="38" t="s">
        <v>194</v>
      </c>
    </row>
    <row r="181" spans="1:4" x14ac:dyDescent="0.5">
      <c r="A181" s="1">
        <v>45820</v>
      </c>
      <c r="B181" s="2">
        <v>4</v>
      </c>
      <c r="C181" s="61">
        <v>1</v>
      </c>
      <c r="D181" s="38" t="s">
        <v>194</v>
      </c>
    </row>
    <row r="182" spans="1:4" x14ac:dyDescent="0.5">
      <c r="A182" s="1">
        <v>45821</v>
      </c>
      <c r="B182" s="2">
        <v>5</v>
      </c>
      <c r="C182" s="61">
        <v>1</v>
      </c>
      <c r="D182" s="38" t="s">
        <v>194</v>
      </c>
    </row>
    <row r="183" spans="1:4" x14ac:dyDescent="0.5">
      <c r="A183" s="1">
        <v>45822</v>
      </c>
      <c r="B183" s="2">
        <v>5</v>
      </c>
      <c r="C183" s="61">
        <v>1</v>
      </c>
      <c r="D183" s="38" t="s">
        <v>291</v>
      </c>
    </row>
    <row r="184" spans="1:4" x14ac:dyDescent="0.5">
      <c r="A184" s="1">
        <v>45823</v>
      </c>
      <c r="B184" s="2">
        <v>4.8</v>
      </c>
      <c r="C184" s="61">
        <v>1</v>
      </c>
      <c r="D184" s="38" t="s">
        <v>292</v>
      </c>
    </row>
    <row r="185" spans="1:4" x14ac:dyDescent="0.5">
      <c r="A185" s="1">
        <v>45824</v>
      </c>
      <c r="B185" s="2">
        <v>4</v>
      </c>
      <c r="C185" s="61">
        <v>0</v>
      </c>
      <c r="D185" s="38" t="s">
        <v>194</v>
      </c>
    </row>
    <row r="186" spans="1:4" x14ac:dyDescent="0.5">
      <c r="A186" s="1">
        <v>45825</v>
      </c>
      <c r="B186" s="2">
        <v>4</v>
      </c>
      <c r="C186" s="61">
        <v>0</v>
      </c>
      <c r="D186" s="38" t="s">
        <v>194</v>
      </c>
    </row>
    <row r="187" spans="1:4" x14ac:dyDescent="0.5">
      <c r="A187" s="1">
        <v>45826</v>
      </c>
      <c r="B187" s="2">
        <v>4.5</v>
      </c>
      <c r="C187" s="61">
        <v>0</v>
      </c>
      <c r="D187" s="38" t="s">
        <v>194</v>
      </c>
    </row>
    <row r="188" spans="1:4" x14ac:dyDescent="0.5">
      <c r="A188" s="1">
        <v>45827</v>
      </c>
      <c r="B188" s="2">
        <v>4.5</v>
      </c>
      <c r="C188" s="61">
        <v>0</v>
      </c>
      <c r="D188" s="38" t="s">
        <v>194</v>
      </c>
    </row>
    <row r="189" spans="1:4" x14ac:dyDescent="0.5">
      <c r="A189" s="1">
        <v>45828</v>
      </c>
      <c r="B189" s="2">
        <v>5</v>
      </c>
      <c r="C189" s="61">
        <v>1</v>
      </c>
      <c r="D189" s="38" t="s">
        <v>194</v>
      </c>
    </row>
    <row r="190" spans="1:4" x14ac:dyDescent="0.5">
      <c r="A190" s="1">
        <v>45829</v>
      </c>
      <c r="B190" s="2">
        <v>8.5</v>
      </c>
      <c r="C190" s="61">
        <v>1</v>
      </c>
      <c r="D190" s="38" t="s">
        <v>293</v>
      </c>
    </row>
    <row r="191" spans="1:4" x14ac:dyDescent="0.5">
      <c r="A191" s="1">
        <v>45830</v>
      </c>
      <c r="B191" s="2">
        <v>9</v>
      </c>
      <c r="C191" s="61">
        <v>1</v>
      </c>
      <c r="D191" s="38" t="s">
        <v>294</v>
      </c>
    </row>
    <row r="192" spans="1:4" x14ac:dyDescent="0.5">
      <c r="A192" s="1">
        <v>45831</v>
      </c>
      <c r="B192" s="2">
        <v>3.5</v>
      </c>
      <c r="C192" s="61">
        <v>0</v>
      </c>
      <c r="D192" s="38" t="s">
        <v>194</v>
      </c>
    </row>
    <row r="193" spans="1:4" x14ac:dyDescent="0.5">
      <c r="A193" s="1">
        <v>45832</v>
      </c>
      <c r="B193" s="2">
        <v>6</v>
      </c>
      <c r="C193" s="61">
        <v>0</v>
      </c>
      <c r="D193" s="38" t="s">
        <v>194</v>
      </c>
    </row>
    <row r="194" spans="1:4" x14ac:dyDescent="0.5">
      <c r="A194" s="1">
        <v>45833</v>
      </c>
      <c r="B194" s="2">
        <v>6</v>
      </c>
      <c r="C194" s="61">
        <v>0</v>
      </c>
      <c r="D194" s="38" t="s">
        <v>194</v>
      </c>
    </row>
    <row r="195" spans="1:4" x14ac:dyDescent="0.5">
      <c r="A195" s="1">
        <v>45834</v>
      </c>
      <c r="B195" s="2">
        <v>4.5</v>
      </c>
      <c r="C195" s="61">
        <v>1</v>
      </c>
      <c r="D195" s="38" t="s">
        <v>194</v>
      </c>
    </row>
    <row r="196" spans="1:4" x14ac:dyDescent="0.5">
      <c r="A196" s="1">
        <v>45835</v>
      </c>
      <c r="B196" s="2">
        <v>5</v>
      </c>
      <c r="C196" s="61">
        <v>1</v>
      </c>
      <c r="D196" s="38" t="s">
        <v>194</v>
      </c>
    </row>
    <row r="197" spans="1:4" x14ac:dyDescent="0.5">
      <c r="A197" s="1">
        <v>45836</v>
      </c>
      <c r="B197" s="2">
        <v>5</v>
      </c>
      <c r="C197" s="61">
        <v>1</v>
      </c>
      <c r="D197" s="38" t="s">
        <v>194</v>
      </c>
    </row>
    <row r="198" spans="1:4" x14ac:dyDescent="0.5">
      <c r="A198" s="1">
        <v>45837</v>
      </c>
      <c r="B198" s="2">
        <v>6</v>
      </c>
      <c r="C198" s="61">
        <v>1</v>
      </c>
      <c r="D198" s="38" t="s">
        <v>194</v>
      </c>
    </row>
    <row r="199" spans="1:4" x14ac:dyDescent="0.5">
      <c r="A199" s="1">
        <v>45838</v>
      </c>
      <c r="B199" s="2">
        <v>5</v>
      </c>
      <c r="C199" s="61">
        <v>1</v>
      </c>
      <c r="D199" s="38" t="s">
        <v>194</v>
      </c>
    </row>
    <row r="200" spans="1:4" x14ac:dyDescent="0.5">
      <c r="A200" s="1">
        <v>45839</v>
      </c>
      <c r="B200" s="2">
        <v>4</v>
      </c>
      <c r="C200" s="61">
        <v>1</v>
      </c>
      <c r="D200" s="38" t="s">
        <v>194</v>
      </c>
    </row>
    <row r="201" spans="1:4" x14ac:dyDescent="0.5">
      <c r="A201" s="1">
        <v>45840</v>
      </c>
      <c r="B201" s="2">
        <v>4.0999999999999996</v>
      </c>
      <c r="C201" s="61">
        <v>1</v>
      </c>
      <c r="D201" s="38" t="s">
        <v>194</v>
      </c>
    </row>
    <row r="202" spans="1:4" x14ac:dyDescent="0.5">
      <c r="A202" s="1">
        <v>45841</v>
      </c>
      <c r="B202" s="2">
        <v>4.2</v>
      </c>
      <c r="C202" s="61">
        <v>1</v>
      </c>
      <c r="D202" s="38" t="s">
        <v>194</v>
      </c>
    </row>
    <row r="203" spans="1:4" x14ac:dyDescent="0.5">
      <c r="A203" s="1">
        <v>45842</v>
      </c>
      <c r="B203" s="2">
        <v>8.8000000000000007</v>
      </c>
      <c r="C203" s="61">
        <v>1</v>
      </c>
      <c r="D203" s="38" t="s">
        <v>301</v>
      </c>
    </row>
    <row r="204" spans="1:4" x14ac:dyDescent="0.5">
      <c r="A204" s="1">
        <v>45843</v>
      </c>
      <c r="B204" s="2">
        <v>9</v>
      </c>
      <c r="C204" s="61">
        <v>1</v>
      </c>
      <c r="D204" s="38" t="s">
        <v>302</v>
      </c>
    </row>
    <row r="205" spans="1:4" x14ac:dyDescent="0.5">
      <c r="A205" s="1">
        <v>45844</v>
      </c>
      <c r="B205" s="2">
        <v>4.3</v>
      </c>
      <c r="C205" s="61">
        <v>0</v>
      </c>
      <c r="D205" s="38" t="s">
        <v>194</v>
      </c>
    </row>
    <row r="206" spans="1:4" x14ac:dyDescent="0.5">
      <c r="A206" s="1">
        <v>45845</v>
      </c>
      <c r="B206" s="2">
        <v>4.4000000000000004</v>
      </c>
      <c r="C206" s="61">
        <v>0</v>
      </c>
      <c r="D206" s="38" t="s">
        <v>194</v>
      </c>
    </row>
    <row r="207" spans="1:4" x14ac:dyDescent="0.5">
      <c r="A207" s="1">
        <v>45846</v>
      </c>
      <c r="B207" s="2">
        <v>5</v>
      </c>
      <c r="C207" s="61">
        <v>0</v>
      </c>
      <c r="D207" s="38" t="s">
        <v>194</v>
      </c>
    </row>
    <row r="208" spans="1:4" x14ac:dyDescent="0.5">
      <c r="A208" s="1">
        <v>45847</v>
      </c>
      <c r="B208" s="2">
        <v>1</v>
      </c>
      <c r="C208" s="61">
        <v>1</v>
      </c>
      <c r="D208" s="38" t="s">
        <v>194</v>
      </c>
    </row>
    <row r="209" spans="1:4" x14ac:dyDescent="0.5">
      <c r="A209" s="1">
        <v>45848</v>
      </c>
      <c r="B209" s="2">
        <v>6.5</v>
      </c>
      <c r="C209" s="61">
        <v>1</v>
      </c>
      <c r="D209" s="38" t="s">
        <v>194</v>
      </c>
    </row>
    <row r="210" spans="1:4" x14ac:dyDescent="0.5">
      <c r="A210" s="1">
        <v>45849</v>
      </c>
      <c r="B210" s="2">
        <v>9.1999999999999993</v>
      </c>
      <c r="C210" s="61">
        <v>1</v>
      </c>
      <c r="D210" s="38" t="s">
        <v>194</v>
      </c>
    </row>
    <row r="211" spans="1:4" x14ac:dyDescent="0.5">
      <c r="A211" s="1">
        <v>45850</v>
      </c>
      <c r="B211" s="2">
        <v>4.5</v>
      </c>
      <c r="C211" s="61">
        <v>1</v>
      </c>
      <c r="D211" s="38" t="s">
        <v>194</v>
      </c>
    </row>
    <row r="212" spans="1:4" x14ac:dyDescent="0.5">
      <c r="A212" s="1">
        <v>45851</v>
      </c>
      <c r="B212" s="2">
        <v>3</v>
      </c>
      <c r="C212" s="61">
        <v>0</v>
      </c>
      <c r="D212" s="38" t="s">
        <v>194</v>
      </c>
    </row>
    <row r="213" spans="1:4" x14ac:dyDescent="0.5">
      <c r="A213" s="1">
        <v>45852</v>
      </c>
      <c r="B213" s="2">
        <v>7.5</v>
      </c>
      <c r="C213" s="61">
        <v>1</v>
      </c>
      <c r="D213" s="38" t="s">
        <v>194</v>
      </c>
    </row>
    <row r="214" spans="1:4" x14ac:dyDescent="0.5">
      <c r="A214" s="1">
        <v>45853</v>
      </c>
      <c r="B214" s="2">
        <v>7</v>
      </c>
      <c r="C214" s="61">
        <v>1</v>
      </c>
      <c r="D214" s="38" t="s">
        <v>194</v>
      </c>
    </row>
    <row r="215" spans="1:4" x14ac:dyDescent="0.5">
      <c r="A215" s="1">
        <v>45854</v>
      </c>
      <c r="B215" s="2">
        <v>4.5</v>
      </c>
      <c r="C215" s="61">
        <v>0</v>
      </c>
      <c r="D215" s="38" t="s">
        <v>194</v>
      </c>
    </row>
    <row r="216" spans="1:4" x14ac:dyDescent="0.5">
      <c r="A216" s="1">
        <v>45855</v>
      </c>
      <c r="B216" s="2">
        <v>4.5</v>
      </c>
      <c r="C216" s="61">
        <v>0</v>
      </c>
      <c r="D216" s="38" t="s">
        <v>194</v>
      </c>
    </row>
    <row r="217" spans="1:4" x14ac:dyDescent="0.5">
      <c r="A217" s="1">
        <v>45856</v>
      </c>
      <c r="B217" s="2">
        <v>4.5</v>
      </c>
      <c r="C217" s="61">
        <v>1</v>
      </c>
      <c r="D217" s="38" t="s">
        <v>194</v>
      </c>
    </row>
    <row r="218" spans="1:4" x14ac:dyDescent="0.5">
      <c r="A218" s="1">
        <v>45857</v>
      </c>
      <c r="B218" s="2">
        <v>6</v>
      </c>
      <c r="C218" s="61">
        <v>1</v>
      </c>
      <c r="D218" s="38" t="s">
        <v>194</v>
      </c>
    </row>
    <row r="219" spans="1:4" x14ac:dyDescent="0.5">
      <c r="A219" s="1">
        <v>45858</v>
      </c>
      <c r="B219" s="2">
        <v>6</v>
      </c>
      <c r="C219" s="61">
        <v>0</v>
      </c>
      <c r="D219" s="38" t="s">
        <v>194</v>
      </c>
    </row>
    <row r="220" spans="1:4" x14ac:dyDescent="0.5">
      <c r="A220" s="1">
        <v>45859</v>
      </c>
      <c r="B220" s="2">
        <v>4</v>
      </c>
      <c r="C220" s="61">
        <v>1</v>
      </c>
      <c r="D220" s="38" t="s">
        <v>194</v>
      </c>
    </row>
    <row r="221" spans="1:4" x14ac:dyDescent="0.5">
      <c r="A221" s="1">
        <v>45860</v>
      </c>
      <c r="B221" s="2">
        <v>3.5</v>
      </c>
      <c r="C221" s="61">
        <v>1</v>
      </c>
      <c r="D221" s="38" t="s">
        <v>194</v>
      </c>
    </row>
    <row r="222" spans="1:4" x14ac:dyDescent="0.5">
      <c r="A222" s="1">
        <v>45861</v>
      </c>
      <c r="B222" s="2">
        <v>4</v>
      </c>
      <c r="C222" s="61">
        <v>0</v>
      </c>
      <c r="D222" s="38" t="s">
        <v>194</v>
      </c>
    </row>
    <row r="223" spans="1:4" x14ac:dyDescent="0.5">
      <c r="A223" s="1">
        <v>45862</v>
      </c>
      <c r="B223" s="2">
        <v>4.5</v>
      </c>
      <c r="C223" s="61">
        <v>0</v>
      </c>
      <c r="D223" s="38" t="s">
        <v>194</v>
      </c>
    </row>
    <row r="224" spans="1:4" x14ac:dyDescent="0.5">
      <c r="A224" s="1">
        <v>45863</v>
      </c>
      <c r="B224" s="2">
        <v>4.5999999999999996</v>
      </c>
      <c r="C224" s="61">
        <v>0</v>
      </c>
      <c r="D224" s="38" t="s">
        <v>194</v>
      </c>
    </row>
    <row r="225" spans="1:4" x14ac:dyDescent="0.5">
      <c r="A225" s="1">
        <v>45864</v>
      </c>
      <c r="B225" s="2">
        <v>8</v>
      </c>
      <c r="C225" s="61">
        <v>1</v>
      </c>
      <c r="D225" s="38" t="s">
        <v>194</v>
      </c>
    </row>
    <row r="226" spans="1:4" x14ac:dyDescent="0.5">
      <c r="A226" s="1">
        <v>45865</v>
      </c>
      <c r="B226" s="2">
        <v>7.5</v>
      </c>
      <c r="C226" s="61">
        <v>0</v>
      </c>
      <c r="D226" s="38" t="s">
        <v>282</v>
      </c>
    </row>
    <row r="227" spans="1:4" x14ac:dyDescent="0.5">
      <c r="A227" s="1">
        <v>45866</v>
      </c>
      <c r="B227" s="2">
        <v>4.5</v>
      </c>
      <c r="C227" s="61">
        <v>0</v>
      </c>
      <c r="D227" s="38" t="s">
        <v>194</v>
      </c>
    </row>
    <row r="228" spans="1:4" x14ac:dyDescent="0.5">
      <c r="A228" s="1">
        <v>45867</v>
      </c>
      <c r="B228" s="2">
        <v>5</v>
      </c>
      <c r="C228" s="61">
        <v>0</v>
      </c>
      <c r="D228" s="38" t="s">
        <v>194</v>
      </c>
    </row>
    <row r="229" spans="1:4" x14ac:dyDescent="0.5">
      <c r="A229" s="1">
        <v>45868</v>
      </c>
      <c r="B229" s="2">
        <v>3.5</v>
      </c>
      <c r="C229" s="61">
        <v>0</v>
      </c>
      <c r="D229" s="38" t="s">
        <v>194</v>
      </c>
    </row>
    <row r="230" spans="1:4" x14ac:dyDescent="0.5">
      <c r="A230" s="1">
        <v>45869</v>
      </c>
      <c r="B230" s="2">
        <v>10</v>
      </c>
      <c r="C230" s="61">
        <v>1</v>
      </c>
      <c r="D230" s="38" t="s">
        <v>195</v>
      </c>
    </row>
    <row r="231" spans="1:4" x14ac:dyDescent="0.5">
      <c r="A231" s="1">
        <v>45870</v>
      </c>
      <c r="B231" s="2">
        <v>7</v>
      </c>
      <c r="C231" s="61">
        <v>1</v>
      </c>
      <c r="D231" s="38" t="s">
        <v>194</v>
      </c>
    </row>
    <row r="232" spans="1:4" x14ac:dyDescent="0.5">
      <c r="A232" s="1">
        <v>45871</v>
      </c>
      <c r="B232" s="2">
        <v>4</v>
      </c>
      <c r="C232" s="61">
        <v>1</v>
      </c>
      <c r="D232" s="38" t="s">
        <v>345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2025-11-08T15:35:15Z</dcterms:modified>
</cp:coreProperties>
</file>